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85" windowHeight="12525" activeTab="7"/>
  </bookViews>
  <sheets>
    <sheet name="Exp" sheetId="1" r:id="rId1"/>
    <sheet name="Graph" sheetId="3" r:id="rId2"/>
    <sheet name="923K" sheetId="7" r:id="rId3"/>
    <sheet name="873K" sheetId="2" r:id="rId4"/>
    <sheet name="823K" sheetId="4" r:id="rId5"/>
    <sheet name="773K" sheetId="5" r:id="rId6"/>
    <sheet name="723K" sheetId="6" r:id="rId7"/>
    <sheet name="673K" sheetId="8" r:id="rId8"/>
    <sheet name="573K" sheetId="9" r:id="rId9"/>
    <sheet name="473K" sheetId="10" r:id="rId10"/>
    <sheet name="props-723to923" sheetId="11" r:id="rId11"/>
  </sheets>
  <calcPr calcId="144525"/>
</workbook>
</file>

<file path=xl/sharedStrings.xml><?xml version="1.0" encoding="utf-8"?>
<sst xmlns="http://schemas.openxmlformats.org/spreadsheetml/2006/main" count="131" uniqueCount="26">
  <si>
    <t>Strain Rate 3e-3/s</t>
  </si>
  <si>
    <t>923K 2014 Singh</t>
  </si>
  <si>
    <t>873K 2014 Singh</t>
  </si>
  <si>
    <t>823K 2014 Singh</t>
  </si>
  <si>
    <t>773K 2014 Singh</t>
  </si>
  <si>
    <t>723K 2014 Singh</t>
  </si>
  <si>
    <t>673K 2014 Singh</t>
  </si>
  <si>
    <t>573K 2014 Singh</t>
  </si>
  <si>
    <t>473K 2014 Singh</t>
  </si>
  <si>
    <t>300K 2014 Singh</t>
  </si>
  <si>
    <t>473K 2008 MatijaSevic</t>
  </si>
  <si>
    <t>time</t>
  </si>
  <si>
    <t>Ep_eff</t>
  </si>
  <si>
    <t>Phi</t>
  </si>
  <si>
    <t>eeq</t>
  </si>
  <si>
    <t>phi_1</t>
  </si>
  <si>
    <t>phi_2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</si>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</sst>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13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4" fillId="18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Exp!$S$2</c:f>
              <c:strCache>
                <c:ptCount val="1"/>
                <c:pt idx="0">
                  <c:v>573K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Exp!$S$3:$S$19</c:f>
              <c:numCache>
                <c:formatCode>General</c:formatCode>
                <c:ptCount val="17"/>
                <c:pt idx="0">
                  <c:v>0.003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</c:numCache>
            </c:numRef>
          </c:xVal>
          <c:yVal>
            <c:numRef>
              <c:f>Exp!$T$3:$T$19</c:f>
              <c:numCache>
                <c:formatCode>General</c:formatCode>
                <c:ptCount val="17"/>
                <c:pt idx="0">
                  <c:v>474.289681235917</c:v>
                </c:pt>
                <c:pt idx="1">
                  <c:v>527.883459464422</c:v>
                </c:pt>
                <c:pt idx="2">
                  <c:v>547.26300261885</c:v>
                </c:pt>
                <c:pt idx="3">
                  <c:v>561.442961094595</c:v>
                </c:pt>
                <c:pt idx="4">
                  <c:v>572.694325207371</c:v>
                </c:pt>
                <c:pt idx="5">
                  <c:v>582.05453339944</c:v>
                </c:pt>
                <c:pt idx="6">
                  <c:v>590.087730607861</c:v>
                </c:pt>
                <c:pt idx="7">
                  <c:v>597.135964219224</c:v>
                </c:pt>
                <c:pt idx="8">
                  <c:v>603.422793279546</c:v>
                </c:pt>
                <c:pt idx="9">
                  <c:v>609.102619113544</c:v>
                </c:pt>
                <c:pt idx="10">
                  <c:v>614.28668876971</c:v>
                </c:pt>
                <c:pt idx="11">
                  <c:v>619.057890318952</c:v>
                </c:pt>
                <c:pt idx="12">
                  <c:v>623.479688622804</c:v>
                </c:pt>
                <c:pt idx="13">
                  <c:v>627.601787550224</c:v>
                </c:pt>
                <c:pt idx="14">
                  <c:v>631.463862454191</c:v>
                </c:pt>
                <c:pt idx="15">
                  <c:v>635.098103409913</c:v>
                </c:pt>
                <c:pt idx="16">
                  <c:v>638.530997640319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"Sim_573K"</c:f>
              <c:strCache>
                <c:ptCount val="1"/>
                <c:pt idx="0">
                  <c:v>Sim_573K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'573K'!$K$2:$K$280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7.7492133262395e-6</c:v>
                </c:pt>
                <c:pt idx="2" c:formatCode="0.00E+00">
                  <c:v>5.5330619976925e-5</c:v>
                </c:pt>
                <c:pt idx="3">
                  <c:v>0.00029995442567447</c:v>
                </c:pt>
                <c:pt idx="4">
                  <c:v>0.00061986017284069</c:v>
                </c:pt>
                <c:pt idx="5">
                  <c:v>0.0012193015256204</c:v>
                </c:pt>
                <c:pt idx="6">
                  <c:v>0.0018183789379284</c:v>
                </c:pt>
                <c:pt idx="7">
                  <c:v>0.002417091890809</c:v>
                </c:pt>
                <c:pt idx="8">
                  <c:v>0.0030154415516216</c:v>
                </c:pt>
                <c:pt idx="9">
                  <c:v>0.0036134265068695</c:v>
                </c:pt>
                <c:pt idx="10">
                  <c:v>0.0042110451620411</c:v>
                </c:pt>
                <c:pt idx="11">
                  <c:v>0.004808299140964</c:v>
                </c:pt>
                <c:pt idx="12">
                  <c:v>0.0054051894849694</c:v>
                </c:pt>
                <c:pt idx="13">
                  <c:v>0.0060017172733592</c:v>
                </c:pt>
                <c:pt idx="14">
                  <c:v>0.0065978842970681</c:v>
                </c:pt>
                <c:pt idx="15">
                  <c:v>0.0071936911747711</c:v>
                </c:pt>
                <c:pt idx="16">
                  <c:v>0.0077891378583315</c:v>
                </c:pt>
                <c:pt idx="17">
                  <c:v>0.0083842245690551</c:v>
                </c:pt>
                <c:pt idx="18">
                  <c:v>0.0089789518516936</c:v>
                </c:pt>
                <c:pt idx="19">
                  <c:v>0.009573320321733</c:v>
                </c:pt>
                <c:pt idx="20">
                  <c:v>0.010167330374142</c:v>
                </c:pt>
                <c:pt idx="21">
                  <c:v>0.010760982323798</c:v>
                </c:pt>
                <c:pt idx="22">
                  <c:v>0.011354276648813</c:v>
                </c:pt>
                <c:pt idx="23">
                  <c:v>0.011947213968572</c:v>
                </c:pt>
                <c:pt idx="24">
                  <c:v>0.012539794882969</c:v>
                </c:pt>
                <c:pt idx="25">
                  <c:v>0.013132019892085</c:v>
                </c:pt>
                <c:pt idx="26">
                  <c:v>0.013723889689729</c:v>
                </c:pt>
                <c:pt idx="27">
                  <c:v>0.014315404875768</c:v>
                </c:pt>
                <c:pt idx="28">
                  <c:v>0.014906565848315</c:v>
                </c:pt>
                <c:pt idx="29">
                  <c:v>0.015497373007485</c:v>
                </c:pt>
                <c:pt idx="30">
                  <c:v>0.016087826687951</c:v>
                </c:pt>
                <c:pt idx="31">
                  <c:v>0.016677927227846</c:v>
                </c:pt>
                <c:pt idx="32">
                  <c:v>0.017267674912842</c:v>
                </c:pt>
                <c:pt idx="33">
                  <c:v>0.017857070026623</c:v>
                </c:pt>
                <c:pt idx="34">
                  <c:v>0.018446112878899</c:v>
                </c:pt>
                <c:pt idx="35">
                  <c:v>0.019034803807169</c:v>
                </c:pt>
                <c:pt idx="36">
                  <c:v>0.019623143179107</c:v>
                </c:pt>
                <c:pt idx="37">
                  <c:v>0.020211131400762</c:v>
                </c:pt>
                <c:pt idx="38">
                  <c:v>0.020798768841921</c:v>
                </c:pt>
                <c:pt idx="39">
                  <c:v>0.021386055918605</c:v>
                </c:pt>
                <c:pt idx="40">
                  <c:v>0.021972993038085</c:v>
                </c:pt>
                <c:pt idx="41">
                  <c:v>0.022559580588777</c:v>
                </c:pt>
                <c:pt idx="42">
                  <c:v>0.023145818986624</c:v>
                </c:pt>
                <c:pt idx="43">
                  <c:v>0.023731708646354</c:v>
                </c:pt>
                <c:pt idx="44">
                  <c:v>0.024317249964782</c:v>
                </c:pt>
                <c:pt idx="45">
                  <c:v>0.024902443349568</c:v>
                </c:pt>
                <c:pt idx="46">
                  <c:v>0.025487289210023</c:v>
                </c:pt>
                <c:pt idx="47">
                  <c:v>0.026071787946525</c:v>
                </c:pt>
                <c:pt idx="48">
                  <c:v>0.026655939947839</c:v>
                </c:pt>
                <c:pt idx="49">
                  <c:v>0.027239745587088</c:v>
                </c:pt>
                <c:pt idx="50">
                  <c:v>0.027823205221974</c:v>
                </c:pt>
                <c:pt idx="51">
                  <c:v>0.028406319218299</c:v>
                </c:pt>
                <c:pt idx="52">
                  <c:v>0.02898908793098</c:v>
                </c:pt>
                <c:pt idx="53">
                  <c:v>0.029571511736456</c:v>
                </c:pt>
                <c:pt idx="54">
                  <c:v>0.030153591023367</c:v>
                </c:pt>
                <c:pt idx="55">
                  <c:v>0.030735326178075</c:v>
                </c:pt>
                <c:pt idx="56">
                  <c:v>0.031316717610947</c:v>
                </c:pt>
                <c:pt idx="57">
                  <c:v>0.031897765735337</c:v>
                </c:pt>
                <c:pt idx="58">
                  <c:v>0.032478470974126</c:v>
                </c:pt>
                <c:pt idx="59">
                  <c:v>0.03305883376043</c:v>
                </c:pt>
                <c:pt idx="60">
                  <c:v>0.033638854502016</c:v>
                </c:pt>
                <c:pt idx="61">
                  <c:v>0.034218533617103</c:v>
                </c:pt>
                <c:pt idx="62">
                  <c:v>0.034797871495183</c:v>
                </c:pt>
                <c:pt idx="63">
                  <c:v>0.03537686854659</c:v>
                </c:pt>
                <c:pt idx="64">
                  <c:v>0.035955525158246</c:v>
                </c:pt>
                <c:pt idx="65">
                  <c:v>0.036533841716318</c:v>
                </c:pt>
                <c:pt idx="66">
                  <c:v>0.037111818620782</c:v>
                </c:pt>
                <c:pt idx="67">
                  <c:v>0.037689456265864</c:v>
                </c:pt>
                <c:pt idx="68">
                  <c:v>0.038266755064253</c:v>
                </c:pt>
                <c:pt idx="69">
                  <c:v>0.038843715384337</c:v>
                </c:pt>
                <c:pt idx="70">
                  <c:v>0.039420337632666</c:v>
                </c:pt>
                <c:pt idx="71">
                  <c:v>0.039996622215853</c:v>
                </c:pt>
                <c:pt idx="72">
                  <c:v>0.04057256952362</c:v>
                </c:pt>
                <c:pt idx="73">
                  <c:v>0.041148179961225</c:v>
                </c:pt>
                <c:pt idx="74">
                  <c:v>0.041723453917649</c:v>
                </c:pt>
                <c:pt idx="75">
                  <c:v>0.042298391800482</c:v>
                </c:pt>
                <c:pt idx="76">
                  <c:v>0.042872994016005</c:v>
                </c:pt>
                <c:pt idx="77">
                  <c:v>0.043447260951476</c:v>
                </c:pt>
                <c:pt idx="78">
                  <c:v>0.044021193010267</c:v>
                </c:pt>
                <c:pt idx="79">
                  <c:v>0.04459479060045</c:v>
                </c:pt>
                <c:pt idx="80">
                  <c:v>0.045168054112633</c:v>
                </c:pt>
                <c:pt idx="81">
                  <c:v>0.045740983959311</c:v>
                </c:pt>
                <c:pt idx="82">
                  <c:v>0.046313580540969</c:v>
                </c:pt>
                <c:pt idx="83">
                  <c:v>0.046885844253623</c:v>
                </c:pt>
                <c:pt idx="84">
                  <c:v>0.047457775506202</c:v>
                </c:pt>
                <c:pt idx="85">
                  <c:v>0.048029374692281</c:v>
                </c:pt>
                <c:pt idx="86">
                  <c:v>0.048600642204435</c:v>
                </c:pt>
                <c:pt idx="87">
                  <c:v>0.049171578437413</c:v>
                </c:pt>
                <c:pt idx="88">
                  <c:v>0.04972311687529</c:v>
                </c:pt>
              </c:numCache>
            </c:numRef>
          </c:xVal>
          <c:yVal>
            <c:numRef>
              <c:f>'573K'!$N$2:$N$230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1.7694987586654</c:v>
                </c:pt>
                <c:pt idx="2">
                  <c:v>12.63811932424</c:v>
                </c:pt>
                <c:pt idx="3">
                  <c:v>68.6249120697</c:v>
                </c:pt>
                <c:pt idx="4">
                  <c:v>142.08960225838</c:v>
                </c:pt>
                <c:pt idx="5">
                  <c:v>280.62322067128</c:v>
                </c:pt>
                <c:pt idx="6">
                  <c:v>416.24673678504</c:v>
                </c:pt>
                <c:pt idx="7">
                  <c:v>482.86231650393</c:v>
                </c:pt>
                <c:pt idx="8">
                  <c:v>506.32324627201</c:v>
                </c:pt>
                <c:pt idx="9">
                  <c:v>519.98360823818</c:v>
                </c:pt>
                <c:pt idx="10">
                  <c:v>529.17042306872</c:v>
                </c:pt>
                <c:pt idx="11">
                  <c:v>535.50715444532</c:v>
                </c:pt>
                <c:pt idx="12">
                  <c:v>540.29778180294</c:v>
                </c:pt>
                <c:pt idx="13">
                  <c:v>544.20205133385</c:v>
                </c:pt>
                <c:pt idx="14">
                  <c:v>547.54277440035</c:v>
                </c:pt>
                <c:pt idx="15">
                  <c:v>550.52832007446</c:v>
                </c:pt>
                <c:pt idx="16">
                  <c:v>553.274899983</c:v>
                </c:pt>
                <c:pt idx="17">
                  <c:v>555.84535345298</c:v>
                </c:pt>
                <c:pt idx="18">
                  <c:v>558.27881883013</c:v>
                </c:pt>
                <c:pt idx="19">
                  <c:v>560.6034050776</c:v>
                </c:pt>
                <c:pt idx="20">
                  <c:v>562.84708862465</c:v>
                </c:pt>
                <c:pt idx="21">
                  <c:v>565.02742712743</c:v>
                </c:pt>
                <c:pt idx="22">
                  <c:v>567.15840326854</c:v>
                </c:pt>
                <c:pt idx="23">
                  <c:v>569.24290787127</c:v>
                </c:pt>
                <c:pt idx="24">
                  <c:v>571.29268634768</c:v>
                </c:pt>
                <c:pt idx="25">
                  <c:v>573.30597922169</c:v>
                </c:pt>
                <c:pt idx="26">
                  <c:v>575.28822065002</c:v>
                </c:pt>
                <c:pt idx="27">
                  <c:v>577.24157449405</c:v>
                </c:pt>
                <c:pt idx="28">
                  <c:v>579.16875326361</c:v>
                </c:pt>
                <c:pt idx="29">
                  <c:v>581.07318359323</c:v>
                </c:pt>
                <c:pt idx="30">
                  <c:v>582.95340101173</c:v>
                </c:pt>
                <c:pt idx="31">
                  <c:v>584.81590562398</c:v>
                </c:pt>
                <c:pt idx="32">
                  <c:v>586.66137318532</c:v>
                </c:pt>
                <c:pt idx="33">
                  <c:v>588.49034639622</c:v>
                </c:pt>
                <c:pt idx="34">
                  <c:v>590.30429144601</c:v>
                </c:pt>
                <c:pt idx="35">
                  <c:v>592.1038030755</c:v>
                </c:pt>
                <c:pt idx="36">
                  <c:v>593.8894164622</c:v>
                </c:pt>
                <c:pt idx="37">
                  <c:v>595.66433452498</c:v>
                </c:pt>
                <c:pt idx="38">
                  <c:v>597.42638384902</c:v>
                </c:pt>
                <c:pt idx="39">
                  <c:v>599.17709719659</c:v>
                </c:pt>
                <c:pt idx="40">
                  <c:v>600.91702249178</c:v>
                </c:pt>
                <c:pt idx="41">
                  <c:v>602.64496444837</c:v>
                </c:pt>
                <c:pt idx="42">
                  <c:v>604.36319516534</c:v>
                </c:pt>
                <c:pt idx="43">
                  <c:v>606.07186046847</c:v>
                </c:pt>
                <c:pt idx="44">
                  <c:v>607.77026706717</c:v>
                </c:pt>
                <c:pt idx="45">
                  <c:v>609.45879290128</c:v>
                </c:pt>
                <c:pt idx="46">
                  <c:v>611.13766114517</c:v>
                </c:pt>
                <c:pt idx="47">
                  <c:v>612.80686652514</c:v>
                </c:pt>
                <c:pt idx="48">
                  <c:v>614.46673628787</c:v>
                </c:pt>
                <c:pt idx="49">
                  <c:v>616.1181039215</c:v>
                </c:pt>
                <c:pt idx="50">
                  <c:v>617.76041953297</c:v>
                </c:pt>
                <c:pt idx="51">
                  <c:v>619.39441781573</c:v>
                </c:pt>
                <c:pt idx="52">
                  <c:v>621.01964827017</c:v>
                </c:pt>
                <c:pt idx="53">
                  <c:v>622.63729901384</c:v>
                </c:pt>
                <c:pt idx="54">
                  <c:v>624.24679568941</c:v>
                </c:pt>
                <c:pt idx="55">
                  <c:v>625.84836035057</c:v>
                </c:pt>
                <c:pt idx="56">
                  <c:v>627.44305932994</c:v>
                </c:pt>
                <c:pt idx="57">
                  <c:v>629.02967159674</c:v>
                </c:pt>
                <c:pt idx="58">
                  <c:v>630.6092608681</c:v>
                </c:pt>
                <c:pt idx="59">
                  <c:v>632.18198855778</c:v>
                </c:pt>
                <c:pt idx="60">
                  <c:v>633.74747588111</c:v>
                </c:pt>
                <c:pt idx="61">
                  <c:v>635.30652522846</c:v>
                </c:pt>
                <c:pt idx="62">
                  <c:v>636.8583152765</c:v>
                </c:pt>
                <c:pt idx="63">
                  <c:v>638.40322450507</c:v>
                </c:pt>
                <c:pt idx="64">
                  <c:v>639.94188602259</c:v>
                </c:pt>
                <c:pt idx="65">
                  <c:v>641.47458285645</c:v>
                </c:pt>
                <c:pt idx="66">
                  <c:v>643.00057248361</c:v>
                </c:pt>
                <c:pt idx="67">
                  <c:v>644.5202813322</c:v>
                </c:pt>
                <c:pt idx="68">
                  <c:v>646.03434287267</c:v>
                </c:pt>
                <c:pt idx="69">
                  <c:v>647.54152865894</c:v>
                </c:pt>
                <c:pt idx="70">
                  <c:v>649.04243670045</c:v>
                </c:pt>
                <c:pt idx="71">
                  <c:v>650.53790069612</c:v>
                </c:pt>
                <c:pt idx="72">
                  <c:v>652.0271909542</c:v>
                </c:pt>
                <c:pt idx="73">
                  <c:v>653.51101188376</c:v>
                </c:pt>
                <c:pt idx="74">
                  <c:v>654.98876790122</c:v>
                </c:pt>
                <c:pt idx="75">
                  <c:v>656.46058233771</c:v>
                </c:pt>
                <c:pt idx="76">
                  <c:v>657.92749029014</c:v>
                </c:pt>
                <c:pt idx="77">
                  <c:v>659.38878415859</c:v>
                </c:pt>
                <c:pt idx="78">
                  <c:v>660.84374030937</c:v>
                </c:pt>
                <c:pt idx="79">
                  <c:v>662.29344167277</c:v>
                </c:pt>
                <c:pt idx="80">
                  <c:v>663.73797678744</c:v>
                </c:pt>
                <c:pt idx="81">
                  <c:v>665.17638308678</c:v>
                </c:pt>
                <c:pt idx="82">
                  <c:v>666.60978488398</c:v>
                </c:pt>
                <c:pt idx="83">
                  <c:v>668.03776223319</c:v>
                </c:pt>
                <c:pt idx="84">
                  <c:v>669.46009604087</c:v>
                </c:pt>
                <c:pt idx="85">
                  <c:v>670.87789298842</c:v>
                </c:pt>
                <c:pt idx="86">
                  <c:v>672.29047724708</c:v>
                </c:pt>
                <c:pt idx="87">
                  <c:v>673.69795789473</c:v>
                </c:pt>
                <c:pt idx="88">
                  <c:v>675.0764683486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Exp!$D$2</c:f>
              <c:strCache>
                <c:ptCount val="1"/>
                <c:pt idx="0">
                  <c:v>873K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Exp!$D$3:$D$26</c:f>
              <c:numCache>
                <c:formatCode>General</c:formatCode>
                <c:ptCount val="24"/>
                <c:pt idx="0">
                  <c:v>0.0024</c:v>
                </c:pt>
                <c:pt idx="1">
                  <c:v>0.00271</c:v>
                </c:pt>
                <c:pt idx="2">
                  <c:v>0.00303</c:v>
                </c:pt>
                <c:pt idx="3">
                  <c:v>0.00339</c:v>
                </c:pt>
                <c:pt idx="4">
                  <c:v>0.00379</c:v>
                </c:pt>
                <c:pt idx="5">
                  <c:v>0.00424</c:v>
                </c:pt>
                <c:pt idx="6">
                  <c:v>0.00475</c:v>
                </c:pt>
                <c:pt idx="7">
                  <c:v>0.00531</c:v>
                </c:pt>
                <c:pt idx="8">
                  <c:v>0.00594</c:v>
                </c:pt>
                <c:pt idx="9">
                  <c:v>0.00665</c:v>
                </c:pt>
                <c:pt idx="10">
                  <c:v>0.00743</c:v>
                </c:pt>
                <c:pt idx="11">
                  <c:v>0.00832</c:v>
                </c:pt>
                <c:pt idx="12">
                  <c:v>0.0093</c:v>
                </c:pt>
                <c:pt idx="13">
                  <c:v>0.01041</c:v>
                </c:pt>
                <c:pt idx="14">
                  <c:v>0.01164</c:v>
                </c:pt>
                <c:pt idx="15">
                  <c:v>0.01303</c:v>
                </c:pt>
                <c:pt idx="16">
                  <c:v>0.01457</c:v>
                </c:pt>
                <c:pt idx="17">
                  <c:v>0.0163</c:v>
                </c:pt>
                <c:pt idx="18">
                  <c:v>0.01824</c:v>
                </c:pt>
                <c:pt idx="19">
                  <c:v>0.0204</c:v>
                </c:pt>
                <c:pt idx="20">
                  <c:v>0.02283</c:v>
                </c:pt>
                <c:pt idx="21">
                  <c:v>0.02554</c:v>
                </c:pt>
                <c:pt idx="22">
                  <c:v>0.02857</c:v>
                </c:pt>
                <c:pt idx="23">
                  <c:v>0.03069</c:v>
                </c:pt>
              </c:numCache>
            </c:numRef>
          </c:xVal>
          <c:yVal>
            <c:numRef>
              <c:f>Exp!$E$3:$E$26</c:f>
              <c:numCache>
                <c:formatCode>General</c:formatCode>
                <c:ptCount val="24"/>
                <c:pt idx="0">
                  <c:v>345.07187</c:v>
                </c:pt>
                <c:pt idx="1">
                  <c:v>348.62585</c:v>
                </c:pt>
                <c:pt idx="2">
                  <c:v>351.53479</c:v>
                </c:pt>
                <c:pt idx="3">
                  <c:v>354.33207</c:v>
                </c:pt>
                <c:pt idx="4">
                  <c:v>357.39352</c:v>
                </c:pt>
                <c:pt idx="5">
                  <c:v>359.81189</c:v>
                </c:pt>
                <c:pt idx="6">
                  <c:v>362.70428</c:v>
                </c:pt>
                <c:pt idx="7">
                  <c:v>365.23203</c:v>
                </c:pt>
                <c:pt idx="8">
                  <c:v>367.88623</c:v>
                </c:pt>
                <c:pt idx="9">
                  <c:v>370.04803</c:v>
                </c:pt>
                <c:pt idx="10">
                  <c:v>372.93002</c:v>
                </c:pt>
                <c:pt idx="11">
                  <c:v>375.59997</c:v>
                </c:pt>
                <c:pt idx="12">
                  <c:v>377.9656</c:v>
                </c:pt>
                <c:pt idx="13">
                  <c:v>380.00619</c:v>
                </c:pt>
                <c:pt idx="14">
                  <c:v>381.27192</c:v>
                </c:pt>
                <c:pt idx="15">
                  <c:v>383.65398</c:v>
                </c:pt>
                <c:pt idx="16">
                  <c:v>385.54</c:v>
                </c:pt>
                <c:pt idx="17">
                  <c:v>387.96265</c:v>
                </c:pt>
                <c:pt idx="18">
                  <c:v>389.80265</c:v>
                </c:pt>
                <c:pt idx="19">
                  <c:v>391.88548</c:v>
                </c:pt>
                <c:pt idx="20">
                  <c:v>393.70789</c:v>
                </c:pt>
                <c:pt idx="21">
                  <c:v>395.48788</c:v>
                </c:pt>
                <c:pt idx="22">
                  <c:v>396.45457</c:v>
                </c:pt>
                <c:pt idx="23">
                  <c:v>397.33305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"Sim_873"</c:f>
              <c:strCache>
                <c:ptCount val="1"/>
                <c:pt idx="0">
                  <c:v>Sim_873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'873K'!$B$2:$B$280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1.2667300649071e-23</c:v>
                </c:pt>
                <c:pt idx="2" c:formatCode="0.00E+00">
                  <c:v>7.1696723668771e-21</c:v>
                </c:pt>
                <c:pt idx="3" c:formatCode="0.00E+00">
                  <c:v>8.1604125547644e-15</c:v>
                </c:pt>
                <c:pt idx="4" c:formatCode="0.00E+00">
                  <c:v>5.1276232579973e-11</c:v>
                </c:pt>
                <c:pt idx="5" c:formatCode="0.00E+00">
                  <c:v>4.9395516322199e-6</c:v>
                </c:pt>
                <c:pt idx="6">
                  <c:v>0.00029464907210339</c:v>
                </c:pt>
                <c:pt idx="7">
                  <c:v>0.00087629831457348</c:v>
                </c:pt>
                <c:pt idx="8">
                  <c:v>0.0014865440004843</c:v>
                </c:pt>
                <c:pt idx="9">
                  <c:v>0.0020943070820355</c:v>
                </c:pt>
                <c:pt idx="10">
                  <c:v>0.0027001819795953</c:v>
                </c:pt>
                <c:pt idx="11">
                  <c:v>0.0033054332491456</c:v>
                </c:pt>
                <c:pt idx="12">
                  <c:v>0.0039104917982433</c:v>
                </c:pt>
                <c:pt idx="13">
                  <c:v>0.0045156380639418</c:v>
                </c:pt>
                <c:pt idx="14">
                  <c:v>0.0051210168823105</c:v>
                </c:pt>
                <c:pt idx="15">
                  <c:v>0.0057266862091607</c:v>
                </c:pt>
                <c:pt idx="16">
                  <c:v>0.0063326570221724</c:v>
                </c:pt>
                <c:pt idx="17">
                  <c:v>0.0069388697790859</c:v>
                </c:pt>
                <c:pt idx="18">
                  <c:v>0.0075452429036915</c:v>
                </c:pt>
                <c:pt idx="19">
                  <c:v>0.0081516967431181</c:v>
                </c:pt>
                <c:pt idx="20">
                  <c:v>0.008758170580961</c:v>
                </c:pt>
                <c:pt idx="21">
                  <c:v>0.0093646225238339</c:v>
                </c:pt>
                <c:pt idx="22">
                  <c:v>0.0099710596200284</c:v>
                </c:pt>
                <c:pt idx="23">
                  <c:v>0.010577484548132</c:v>
                </c:pt>
                <c:pt idx="24">
                  <c:v>0.011183897041653</c:v>
                </c:pt>
                <c:pt idx="25">
                  <c:v>0.011790283808865</c:v>
                </c:pt>
                <c:pt idx="26">
                  <c:v>0.012396651025687</c:v>
                </c:pt>
                <c:pt idx="27">
                  <c:v>0.013002978091731</c:v>
                </c:pt>
                <c:pt idx="28">
                  <c:v>0.013609251555689</c:v>
                </c:pt>
                <c:pt idx="29">
                  <c:v>0.014215455539722</c:v>
                </c:pt>
                <c:pt idx="30">
                  <c:v>0.014821589090977</c:v>
                </c:pt>
                <c:pt idx="31">
                  <c:v>0.015427633572339</c:v>
                </c:pt>
                <c:pt idx="32">
                  <c:v>0.016033584093511</c:v>
                </c:pt>
                <c:pt idx="33">
                  <c:v>0.016639434608832</c:v>
                </c:pt>
                <c:pt idx="34">
                  <c:v>0.017245195886552</c:v>
                </c:pt>
                <c:pt idx="35">
                  <c:v>0.0178508672239</c:v>
                </c:pt>
                <c:pt idx="36">
                  <c:v>0.018456455716447</c:v>
                </c:pt>
                <c:pt idx="37">
                  <c:v>0.019061959653342</c:v>
                </c:pt>
                <c:pt idx="38">
                  <c:v>0.019667385995099</c:v>
                </c:pt>
                <c:pt idx="39">
                  <c:v>0.020272736224714</c:v>
                </c:pt>
                <c:pt idx="40">
                  <c:v>0.020878019157131</c:v>
                </c:pt>
                <c:pt idx="41">
                  <c:v>0.021483235329072</c:v>
                </c:pt>
                <c:pt idx="42">
                  <c:v>0.022088388994097</c:v>
                </c:pt>
                <c:pt idx="43">
                  <c:v>0.022693485529068</c:v>
                </c:pt>
                <c:pt idx="44">
                  <c:v>0.02329852408415</c:v>
                </c:pt>
                <c:pt idx="45">
                  <c:v>0.023903511914941</c:v>
                </c:pt>
                <c:pt idx="46">
                  <c:v>0.024508446811285</c:v>
                </c:pt>
                <c:pt idx="47">
                  <c:v>0.025113334423141</c:v>
                </c:pt>
                <c:pt idx="48">
                  <c:v>0.02571817731716</c:v>
                </c:pt>
                <c:pt idx="49">
                  <c:v>0.026322985223772</c:v>
                </c:pt>
                <c:pt idx="50">
                  <c:v>0.026927757066867</c:v>
                </c:pt>
                <c:pt idx="51">
                  <c:v>0.02753249416095</c:v>
                </c:pt>
                <c:pt idx="52">
                  <c:v>0.028137201094215</c:v>
                </c:pt>
                <c:pt idx="53">
                  <c:v>0.028741870280003</c:v>
                </c:pt>
                <c:pt idx="54">
                  <c:v>0.029346519875278</c:v>
                </c:pt>
                <c:pt idx="55">
                  <c:v>0.029951145808475</c:v>
                </c:pt>
                <c:pt idx="56">
                  <c:v>0.030555743903562</c:v>
                </c:pt>
                <c:pt idx="57">
                  <c:v>0.031160321109003</c:v>
                </c:pt>
                <c:pt idx="58">
                  <c:v>0.031764884394072</c:v>
                </c:pt>
                <c:pt idx="59">
                  <c:v>0.032369427585333</c:v>
                </c:pt>
                <c:pt idx="60">
                  <c:v>0.032973954738173</c:v>
                </c:pt>
                <c:pt idx="61">
                  <c:v>0.033578478124588</c:v>
                </c:pt>
                <c:pt idx="62">
                  <c:v>0.03418298797981</c:v>
                </c:pt>
                <c:pt idx="63">
                  <c:v>0.034787492291181</c:v>
                </c:pt>
                <c:pt idx="64">
                  <c:v>0.035391987180656</c:v>
                </c:pt>
                <c:pt idx="65">
                  <c:v>0.035996475702017</c:v>
                </c:pt>
                <c:pt idx="66">
                  <c:v>0.036600962085075</c:v>
                </c:pt>
                <c:pt idx="67">
                  <c:v>0.037205445233245</c:v>
                </c:pt>
                <c:pt idx="68">
                  <c:v>0.037809926193008</c:v>
                </c:pt>
                <c:pt idx="69">
                  <c:v>0.038414411465572</c:v>
                </c:pt>
                <c:pt idx="70">
                  <c:v>0.03901889639286</c:v>
                </c:pt>
                <c:pt idx="71">
                  <c:v>0.039623384483592</c:v>
                </c:pt>
                <c:pt idx="72">
                  <c:v>0.040227875052639</c:v>
                </c:pt>
                <c:pt idx="73">
                  <c:v>0.040832371487988</c:v>
                </c:pt>
                <c:pt idx="74">
                  <c:v>0.041436876373704</c:v>
                </c:pt>
                <c:pt idx="75">
                  <c:v>0.042041390748363</c:v>
                </c:pt>
                <c:pt idx="76">
                  <c:v>0.042645913283609</c:v>
                </c:pt>
                <c:pt idx="77">
                  <c:v>0.043250447927563</c:v>
                </c:pt>
                <c:pt idx="78">
                  <c:v>0.043854991673125</c:v>
                </c:pt>
                <c:pt idx="79">
                  <c:v>0.044459545659791</c:v>
                </c:pt>
                <c:pt idx="80">
                  <c:v>0.045064119431806</c:v>
                </c:pt>
                <c:pt idx="81">
                  <c:v>0.045668702056762</c:v>
                </c:pt>
                <c:pt idx="82">
                  <c:v>0.046273303671854</c:v>
                </c:pt>
                <c:pt idx="83">
                  <c:v>0.046877917986539</c:v>
                </c:pt>
                <c:pt idx="84">
                  <c:v>0.047482556053085</c:v>
                </c:pt>
                <c:pt idx="85">
                  <c:v>0.048087214539331</c:v>
                </c:pt>
                <c:pt idx="86">
                  <c:v>0.04869189683612</c:v>
                </c:pt>
                <c:pt idx="87">
                  <c:v>0.049296598032959</c:v>
                </c:pt>
                <c:pt idx="88">
                  <c:v>0.049880966497232</c:v>
                </c:pt>
              </c:numCache>
            </c:numRef>
          </c:xVal>
          <c:yVal>
            <c:numRef>
              <c:f>'873K'!$N$2:$N$230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1.5981953552448</c:v>
                </c:pt>
                <c:pt idx="2">
                  <c:v>11.414705110833</c:v>
                </c:pt>
                <c:pt idx="3">
                  <c:v>61.983911854816</c:v>
                </c:pt>
                <c:pt idx="4">
                  <c:v>128.34451857236</c:v>
                </c:pt>
                <c:pt idx="5">
                  <c:v>252.5494970694</c:v>
                </c:pt>
                <c:pt idx="6">
                  <c:v>324.98933344314</c:v>
                </c:pt>
                <c:pt idx="7">
                  <c:v>343.66941662814</c:v>
                </c:pt>
                <c:pt idx="8">
                  <c:v>352.31255511105</c:v>
                </c:pt>
                <c:pt idx="9">
                  <c:v>357.45909111505</c:v>
                </c:pt>
                <c:pt idx="10">
                  <c:v>360.92095002168</c:v>
                </c:pt>
                <c:pt idx="11">
                  <c:v>363.52564870478</c:v>
                </c:pt>
                <c:pt idx="12">
                  <c:v>365.65588766997</c:v>
                </c:pt>
                <c:pt idx="13">
                  <c:v>367.49565407893</c:v>
                </c:pt>
                <c:pt idx="14">
                  <c:v>369.14853492815</c:v>
                </c:pt>
                <c:pt idx="15">
                  <c:v>370.67712103943</c:v>
                </c:pt>
                <c:pt idx="16">
                  <c:v>372.12148438331</c:v>
                </c:pt>
                <c:pt idx="17">
                  <c:v>373.50505384393</c:v>
                </c:pt>
                <c:pt idx="18">
                  <c:v>374.84133134206</c:v>
                </c:pt>
                <c:pt idx="19">
                  <c:v>376.13955169715</c:v>
                </c:pt>
                <c:pt idx="20">
                  <c:v>377.40476544913</c:v>
                </c:pt>
                <c:pt idx="21">
                  <c:v>378.64262700132</c:v>
                </c:pt>
                <c:pt idx="22">
                  <c:v>379.85706645025</c:v>
                </c:pt>
                <c:pt idx="23">
                  <c:v>381.05224222035</c:v>
                </c:pt>
                <c:pt idx="24">
                  <c:v>382.2305774193</c:v>
                </c:pt>
                <c:pt idx="25">
                  <c:v>383.39396660824</c:v>
                </c:pt>
                <c:pt idx="26">
                  <c:v>384.54247236026</c:v>
                </c:pt>
                <c:pt idx="27">
                  <c:v>385.67859091141</c:v>
                </c:pt>
                <c:pt idx="28">
                  <c:v>386.80300341208</c:v>
                </c:pt>
                <c:pt idx="29">
                  <c:v>387.91787205797</c:v>
                </c:pt>
                <c:pt idx="30">
                  <c:v>389.02107340517</c:v>
                </c:pt>
                <c:pt idx="31">
                  <c:v>390.11515271892</c:v>
                </c:pt>
                <c:pt idx="32">
                  <c:v>391.20024583568</c:v>
                </c:pt>
                <c:pt idx="33">
                  <c:v>392.27761553613</c:v>
                </c:pt>
                <c:pt idx="34">
                  <c:v>393.3465783475</c:v>
                </c:pt>
                <c:pt idx="35">
                  <c:v>394.40798535321</c:v>
                </c:pt>
                <c:pt idx="36">
                  <c:v>395.46135367001</c:v>
                </c:pt>
                <c:pt idx="37">
                  <c:v>396.50825342898</c:v>
                </c:pt>
                <c:pt idx="38">
                  <c:v>397.54853979097</c:v>
                </c:pt>
                <c:pt idx="39">
                  <c:v>398.58312311845</c:v>
                </c:pt>
                <c:pt idx="40">
                  <c:v>399.6108107856</c:v>
                </c:pt>
                <c:pt idx="41">
                  <c:v>400.63242359215</c:v>
                </c:pt>
                <c:pt idx="42">
                  <c:v>401.64843085775</c:v>
                </c:pt>
                <c:pt idx="43">
                  <c:v>402.65862104417</c:v>
                </c:pt>
                <c:pt idx="44">
                  <c:v>403.66407058335</c:v>
                </c:pt>
                <c:pt idx="45">
                  <c:v>404.66393591032</c:v>
                </c:pt>
                <c:pt idx="46">
                  <c:v>405.65979469944</c:v>
                </c:pt>
                <c:pt idx="47">
                  <c:v>406.65115770878</c:v>
                </c:pt>
                <c:pt idx="48">
                  <c:v>407.6383504832</c:v>
                </c:pt>
                <c:pt idx="49">
                  <c:v>408.61947888582</c:v>
                </c:pt>
                <c:pt idx="50">
                  <c:v>409.59595374289</c:v>
                </c:pt>
                <c:pt idx="51">
                  <c:v>410.56798548266</c:v>
                </c:pt>
                <c:pt idx="52">
                  <c:v>411.53539513083</c:v>
                </c:pt>
                <c:pt idx="53">
                  <c:v>412.5001462851</c:v>
                </c:pt>
                <c:pt idx="54">
                  <c:v>413.45942096628</c:v>
                </c:pt>
                <c:pt idx="55">
                  <c:v>414.41436384277</c:v>
                </c:pt>
                <c:pt idx="56">
                  <c:v>415.36627824678</c:v>
                </c:pt>
                <c:pt idx="57">
                  <c:v>416.31458171661</c:v>
                </c:pt>
                <c:pt idx="58">
                  <c:v>417.25836793</c:v>
                </c:pt>
                <c:pt idx="59">
                  <c:v>418.19956281907</c:v>
                </c:pt>
                <c:pt idx="60">
                  <c:v>419.13632387561</c:v>
                </c:pt>
                <c:pt idx="61">
                  <c:v>420.0683031678</c:v>
                </c:pt>
                <c:pt idx="62">
                  <c:v>420.99724394843</c:v>
                </c:pt>
                <c:pt idx="63">
                  <c:v>421.92209771406</c:v>
                </c:pt>
                <c:pt idx="64">
                  <c:v>422.84400549541</c:v>
                </c:pt>
                <c:pt idx="65">
                  <c:v>423.76265032905</c:v>
                </c:pt>
                <c:pt idx="66">
                  <c:v>424.67739656202</c:v>
                </c:pt>
                <c:pt idx="67">
                  <c:v>425.5888367805</c:v>
                </c:pt>
                <c:pt idx="68">
                  <c:v>426.49716218303</c:v>
                </c:pt>
                <c:pt idx="69">
                  <c:v>427.40131904253</c:v>
                </c:pt>
                <c:pt idx="70">
                  <c:v>428.30268506202</c:v>
                </c:pt>
                <c:pt idx="71">
                  <c:v>429.20074201296</c:v>
                </c:pt>
                <c:pt idx="72">
                  <c:v>430.09616946123</c:v>
                </c:pt>
                <c:pt idx="73">
                  <c:v>430.98834553237</c:v>
                </c:pt>
                <c:pt idx="74">
                  <c:v>431.8770448627</c:v>
                </c:pt>
                <c:pt idx="75">
                  <c:v>432.76249509427</c:v>
                </c:pt>
                <c:pt idx="76">
                  <c:v>433.64491538807</c:v>
                </c:pt>
                <c:pt idx="77">
                  <c:v>434.52417434136</c:v>
                </c:pt>
                <c:pt idx="78">
                  <c:v>435.40079372911</c:v>
                </c:pt>
                <c:pt idx="79">
                  <c:v>436.27508631468</c:v>
                </c:pt>
                <c:pt idx="80">
                  <c:v>437.14523840703</c:v>
                </c:pt>
                <c:pt idx="81">
                  <c:v>438.01329370054</c:v>
                </c:pt>
                <c:pt idx="82">
                  <c:v>438.8781845707</c:v>
                </c:pt>
                <c:pt idx="83">
                  <c:v>439.74116719434</c:v>
                </c:pt>
                <c:pt idx="84">
                  <c:v>440.60060172946</c:v>
                </c:pt>
                <c:pt idx="85">
                  <c:v>441.45724991952</c:v>
                </c:pt>
                <c:pt idx="86">
                  <c:v>442.31062983786</c:v>
                </c:pt>
                <c:pt idx="87">
                  <c:v>443.16181984819</c:v>
                </c:pt>
                <c:pt idx="88">
                  <c:v>444.0054805129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Exp!$G$2</c:f>
              <c:strCache>
                <c:ptCount val="1"/>
                <c:pt idx="0">
                  <c:v>823K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Exp!$G$3:$G$28</c:f>
              <c:numCache>
                <c:formatCode>General</c:formatCode>
                <c:ptCount val="26"/>
                <c:pt idx="0">
                  <c:v>0.00257</c:v>
                </c:pt>
                <c:pt idx="1">
                  <c:v>0.00288</c:v>
                </c:pt>
                <c:pt idx="2">
                  <c:v>0.00321</c:v>
                </c:pt>
                <c:pt idx="3">
                  <c:v>0.0036</c:v>
                </c:pt>
                <c:pt idx="4">
                  <c:v>0.00402</c:v>
                </c:pt>
                <c:pt idx="5">
                  <c:v>0.0045</c:v>
                </c:pt>
                <c:pt idx="6">
                  <c:v>0.00503</c:v>
                </c:pt>
                <c:pt idx="7">
                  <c:v>0.00563</c:v>
                </c:pt>
                <c:pt idx="8">
                  <c:v>0.0063</c:v>
                </c:pt>
                <c:pt idx="9">
                  <c:v>0.00705</c:v>
                </c:pt>
                <c:pt idx="10">
                  <c:v>0.00789</c:v>
                </c:pt>
                <c:pt idx="11">
                  <c:v>0.00882</c:v>
                </c:pt>
                <c:pt idx="12">
                  <c:v>0.00987</c:v>
                </c:pt>
                <c:pt idx="13">
                  <c:v>0.01104</c:v>
                </c:pt>
                <c:pt idx="14">
                  <c:v>0.01235</c:v>
                </c:pt>
                <c:pt idx="15">
                  <c:v>0.01382</c:v>
                </c:pt>
                <c:pt idx="16">
                  <c:v>0.01545</c:v>
                </c:pt>
                <c:pt idx="17">
                  <c:v>0.01729</c:v>
                </c:pt>
                <c:pt idx="18">
                  <c:v>0.01934</c:v>
                </c:pt>
                <c:pt idx="19">
                  <c:v>0.02164</c:v>
                </c:pt>
                <c:pt idx="20">
                  <c:v>0.02421</c:v>
                </c:pt>
                <c:pt idx="21">
                  <c:v>0.02708</c:v>
                </c:pt>
                <c:pt idx="22">
                  <c:v>0.03029</c:v>
                </c:pt>
                <c:pt idx="23">
                  <c:v>0.03389</c:v>
                </c:pt>
                <c:pt idx="24">
                  <c:v>0.03791</c:v>
                </c:pt>
                <c:pt idx="25">
                  <c:v>0.04114</c:v>
                </c:pt>
              </c:numCache>
            </c:numRef>
          </c:xVal>
          <c:yVal>
            <c:numRef>
              <c:f>Exp!$H$3:$H$28</c:f>
              <c:numCache>
                <c:formatCode>General</c:formatCode>
                <c:ptCount val="26"/>
                <c:pt idx="0">
                  <c:v>403.8299</c:v>
                </c:pt>
                <c:pt idx="1">
                  <c:v>406.36375</c:v>
                </c:pt>
                <c:pt idx="2">
                  <c:v>408.43995</c:v>
                </c:pt>
                <c:pt idx="3">
                  <c:v>411.55532</c:v>
                </c:pt>
                <c:pt idx="4">
                  <c:v>414.21106</c:v>
                </c:pt>
                <c:pt idx="5">
                  <c:v>416.91328</c:v>
                </c:pt>
                <c:pt idx="6">
                  <c:v>419.94125</c:v>
                </c:pt>
                <c:pt idx="7">
                  <c:v>422.52788</c:v>
                </c:pt>
                <c:pt idx="8">
                  <c:v>425.47316</c:v>
                </c:pt>
                <c:pt idx="9">
                  <c:v>428.29775</c:v>
                </c:pt>
                <c:pt idx="10">
                  <c:v>430.91264</c:v>
                </c:pt>
                <c:pt idx="11">
                  <c:v>434.36473</c:v>
                </c:pt>
                <c:pt idx="12">
                  <c:v>437.61184</c:v>
                </c:pt>
                <c:pt idx="13">
                  <c:v>440.57302</c:v>
                </c:pt>
                <c:pt idx="14">
                  <c:v>443.75498</c:v>
                </c:pt>
                <c:pt idx="15">
                  <c:v>446.82512</c:v>
                </c:pt>
                <c:pt idx="16">
                  <c:v>449.76384</c:v>
                </c:pt>
                <c:pt idx="17">
                  <c:v>452.89263</c:v>
                </c:pt>
                <c:pt idx="18">
                  <c:v>455.81969</c:v>
                </c:pt>
                <c:pt idx="19">
                  <c:v>458.76568</c:v>
                </c:pt>
                <c:pt idx="20">
                  <c:v>461.38264</c:v>
                </c:pt>
                <c:pt idx="21">
                  <c:v>464.08453</c:v>
                </c:pt>
                <c:pt idx="22">
                  <c:v>466.80223</c:v>
                </c:pt>
                <c:pt idx="23">
                  <c:v>469.39424</c:v>
                </c:pt>
                <c:pt idx="24">
                  <c:v>471.78712</c:v>
                </c:pt>
                <c:pt idx="25">
                  <c:v>472.94071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"Sim_823"</c:f>
              <c:strCache>
                <c:ptCount val="1"/>
                <c:pt idx="0">
                  <c:v>Sim_823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'823K'!$B$2:$B$280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4.4901358807698e-26</c:v>
                </c:pt>
                <c:pt idx="2" c:formatCode="0.00E+00">
                  <c:v>4.1330963820023e-23</c:v>
                </c:pt>
                <c:pt idx="3" c:formatCode="0.00E+00">
                  <c:v>1.7523567141049e-16</c:v>
                </c:pt>
                <c:pt idx="4" c:formatCode="0.00E+00">
                  <c:v>2.7442360531389e-12</c:v>
                </c:pt>
                <c:pt idx="5" c:formatCode="0.00E+00">
                  <c:v>7.5588964647259e-7</c:v>
                </c:pt>
                <c:pt idx="6">
                  <c:v>0.00018691547018441</c:v>
                </c:pt>
                <c:pt idx="7">
                  <c:v>0.00073963344744356</c:v>
                </c:pt>
                <c:pt idx="8">
                  <c:v>0.0013506153327604</c:v>
                </c:pt>
                <c:pt idx="9">
                  <c:v>0.0019620963846657</c:v>
                </c:pt>
                <c:pt idx="10">
                  <c:v>0.0025702194829828</c:v>
                </c:pt>
                <c:pt idx="11">
                  <c:v>0.0031767607304307</c:v>
                </c:pt>
                <c:pt idx="12">
                  <c:v>0.0037825510547665</c:v>
                </c:pt>
                <c:pt idx="13">
                  <c:v>0.0043880820951986</c:v>
                </c:pt>
                <c:pt idx="14">
                  <c:v>0.0049935970643537</c:v>
                </c:pt>
                <c:pt idx="15">
                  <c:v>0.0055991859084902</c:v>
                </c:pt>
                <c:pt idx="16">
                  <c:v>0.0062049082047741</c:v>
                </c:pt>
                <c:pt idx="17">
                  <c:v>0.0068108175350314</c:v>
                </c:pt>
                <c:pt idx="18">
                  <c:v>0.0074169045830655</c:v>
                </c:pt>
                <c:pt idx="19">
                  <c:v>0.0080231157789559</c:v>
                </c:pt>
                <c:pt idx="20">
                  <c:v>0.0086293778446385</c:v>
                </c:pt>
                <c:pt idx="21">
                  <c:v>0.009235642246254</c:v>
                </c:pt>
                <c:pt idx="22">
                  <c:v>0.009841851068776</c:v>
                </c:pt>
                <c:pt idx="23">
                  <c:v>0.010448000776316</c:v>
                </c:pt>
                <c:pt idx="24">
                  <c:v>0.011054100771568</c:v>
                </c:pt>
                <c:pt idx="25">
                  <c:v>0.011660182021657</c:v>
                </c:pt>
                <c:pt idx="26">
                  <c:v>0.012266234943145</c:v>
                </c:pt>
                <c:pt idx="27">
                  <c:v>0.012872267301129</c:v>
                </c:pt>
                <c:pt idx="28">
                  <c:v>0.013478275091488</c:v>
                </c:pt>
                <c:pt idx="29">
                  <c:v>0.014084245046377</c:v>
                </c:pt>
                <c:pt idx="30">
                  <c:v>0.014690179422592</c:v>
                </c:pt>
                <c:pt idx="31">
                  <c:v>0.015296066698473</c:v>
                </c:pt>
                <c:pt idx="32">
                  <c:v>0.015901893056045</c:v>
                </c:pt>
                <c:pt idx="33">
                  <c:v>0.016507654448604</c:v>
                </c:pt>
                <c:pt idx="34">
                  <c:v>0.017113344183122</c:v>
                </c:pt>
                <c:pt idx="35">
                  <c:v>0.017718956512051</c:v>
                </c:pt>
                <c:pt idx="36">
                  <c:v>0.018324489176596</c:v>
                </c:pt>
                <c:pt idx="37">
                  <c:v>0.018929929405201</c:v>
                </c:pt>
                <c:pt idx="38">
                  <c:v>0.019535288640255</c:v>
                </c:pt>
                <c:pt idx="39">
                  <c:v>0.020140568091765</c:v>
                </c:pt>
                <c:pt idx="40">
                  <c:v>0.020745774747034</c:v>
                </c:pt>
                <c:pt idx="41">
                  <c:v>0.021350906986317</c:v>
                </c:pt>
                <c:pt idx="42">
                  <c:v>0.021955974236135</c:v>
                </c:pt>
                <c:pt idx="43">
                  <c:v>0.022560980621305</c:v>
                </c:pt>
                <c:pt idx="44">
                  <c:v>0.023165922639069</c:v>
                </c:pt>
                <c:pt idx="45">
                  <c:v>0.023770806047894</c:v>
                </c:pt>
                <c:pt idx="46">
                  <c:v>0.024375637100761</c:v>
                </c:pt>
                <c:pt idx="47">
                  <c:v>0.024980421651253</c:v>
                </c:pt>
                <c:pt idx="48">
                  <c:v>0.025585157816036</c:v>
                </c:pt>
                <c:pt idx="49">
                  <c:v>0.026189848323348</c:v>
                </c:pt>
                <c:pt idx="50">
                  <c:v>0.026794501733914</c:v>
                </c:pt>
                <c:pt idx="51">
                  <c:v>0.027399119127446</c:v>
                </c:pt>
                <c:pt idx="52">
                  <c:v>0.028003695805156</c:v>
                </c:pt>
                <c:pt idx="53">
                  <c:v>0.028608242024468</c:v>
                </c:pt>
                <c:pt idx="54">
                  <c:v>0.029212757762222</c:v>
                </c:pt>
                <c:pt idx="55">
                  <c:v>0.029817247198884</c:v>
                </c:pt>
                <c:pt idx="56">
                  <c:v>0.030421709890314</c:v>
                </c:pt>
                <c:pt idx="57">
                  <c:v>0.031026148067129</c:v>
                </c:pt>
                <c:pt idx="58">
                  <c:v>0.031630570315993</c:v>
                </c:pt>
                <c:pt idx="59">
                  <c:v>0.032234969821975</c:v>
                </c:pt>
                <c:pt idx="60">
                  <c:v>0.032839349471905</c:v>
                </c:pt>
                <c:pt idx="61">
                  <c:v>0.03344371899869</c:v>
                </c:pt>
                <c:pt idx="62">
                  <c:v>0.034048080523156</c:v>
                </c:pt>
                <c:pt idx="63">
                  <c:v>0.034652431858581</c:v>
                </c:pt>
                <c:pt idx="64">
                  <c:v>0.035256772120653</c:v>
                </c:pt>
                <c:pt idx="65">
                  <c:v>0.035861108454356</c:v>
                </c:pt>
                <c:pt idx="66">
                  <c:v>0.036465437124722</c:v>
                </c:pt>
                <c:pt idx="67">
                  <c:v>0.037069761961511</c:v>
                </c:pt>
                <c:pt idx="68">
                  <c:v>0.037674082826519</c:v>
                </c:pt>
                <c:pt idx="69">
                  <c:v>0.038278406807002</c:v>
                </c:pt>
                <c:pt idx="70">
                  <c:v>0.038882727098367</c:v>
                </c:pt>
                <c:pt idx="71">
                  <c:v>0.03948705408085</c:v>
                </c:pt>
                <c:pt idx="72">
                  <c:v>0.040091386593702</c:v>
                </c:pt>
                <c:pt idx="73">
                  <c:v>0.040695719417207</c:v>
                </c:pt>
                <c:pt idx="74">
                  <c:v>0.041300062642355</c:v>
                </c:pt>
                <c:pt idx="75">
                  <c:v>0.041904414124479</c:v>
                </c:pt>
                <c:pt idx="76">
                  <c:v>0.042508770036836</c:v>
                </c:pt>
                <c:pt idx="77">
                  <c:v>0.043113140169113</c:v>
                </c:pt>
                <c:pt idx="78">
                  <c:v>0.043717524083102</c:v>
                </c:pt>
                <c:pt idx="79">
                  <c:v>0.044321914512975</c:v>
                </c:pt>
                <c:pt idx="80">
                  <c:v>0.044926322655109</c:v>
                </c:pt>
                <c:pt idx="81">
                  <c:v>0.04553074497703</c:v>
                </c:pt>
                <c:pt idx="82">
                  <c:v>0.04613518395027</c:v>
                </c:pt>
                <c:pt idx="83">
                  <c:v>0.046739642207298</c:v>
                </c:pt>
                <c:pt idx="84">
                  <c:v>0.047344120231945</c:v>
                </c:pt>
                <c:pt idx="85">
                  <c:v>0.047948613572155</c:v>
                </c:pt>
                <c:pt idx="86">
                  <c:v>0.048553124559712</c:v>
                </c:pt>
                <c:pt idx="87">
                  <c:v>0.04915766287825</c:v>
                </c:pt>
                <c:pt idx="88">
                  <c:v>0.049741887083743</c:v>
                </c:pt>
              </c:numCache>
            </c:numRef>
          </c:xVal>
          <c:yVal>
            <c:numRef>
              <c:f>'823K'!$N$2:$N$230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1.6278583382669</c:v>
                </c:pt>
                <c:pt idx="2">
                  <c:v>11.626550267611</c:v>
                </c:pt>
                <c:pt idx="3">
                  <c:v>63.133803619597</c:v>
                </c:pt>
                <c:pt idx="4">
                  <c:v>130.72435102523</c:v>
                </c:pt>
                <c:pt idx="5">
                  <c:v>258.04790104535</c:v>
                </c:pt>
                <c:pt idx="6">
                  <c:v>351.68042582754</c:v>
                </c:pt>
                <c:pt idx="7">
                  <c:v>378.22508622022</c:v>
                </c:pt>
                <c:pt idx="8">
                  <c:v>389.72139233768</c:v>
                </c:pt>
                <c:pt idx="9">
                  <c:v>396.48746863179</c:v>
                </c:pt>
                <c:pt idx="10">
                  <c:v>400.90892622638</c:v>
                </c:pt>
                <c:pt idx="11">
                  <c:v>404.14839087851</c:v>
                </c:pt>
                <c:pt idx="12">
                  <c:v>406.74729483188</c:v>
                </c:pt>
                <c:pt idx="13">
                  <c:v>408.96338471139</c:v>
                </c:pt>
                <c:pt idx="14">
                  <c:v>410.92872418888</c:v>
                </c:pt>
                <c:pt idx="15">
                  <c:v>412.72804530116</c:v>
                </c:pt>
                <c:pt idx="16">
                  <c:v>414.41338333111</c:v>
                </c:pt>
                <c:pt idx="17">
                  <c:v>416.016948007</c:v>
                </c:pt>
                <c:pt idx="18">
                  <c:v>417.56161978306</c:v>
                </c:pt>
                <c:pt idx="19">
                  <c:v>419.05843061783</c:v>
                </c:pt>
                <c:pt idx="20">
                  <c:v>420.51723192812</c:v>
                </c:pt>
                <c:pt idx="21">
                  <c:v>421.94213415408</c:v>
                </c:pt>
                <c:pt idx="22">
                  <c:v>423.33879504825</c:v>
                </c:pt>
                <c:pt idx="23">
                  <c:v>424.71013578622</c:v>
                </c:pt>
                <c:pt idx="24">
                  <c:v>426.06068759515</c:v>
                </c:pt>
                <c:pt idx="25">
                  <c:v>427.39105996367</c:v>
                </c:pt>
                <c:pt idx="26">
                  <c:v>428.70588489954</c:v>
                </c:pt>
                <c:pt idx="27">
                  <c:v>430.00458480463</c:v>
                </c:pt>
                <c:pt idx="28">
                  <c:v>431.28927563711</c:v>
                </c:pt>
                <c:pt idx="29">
                  <c:v>432.56228479832</c:v>
                </c:pt>
                <c:pt idx="30">
                  <c:v>433.82239135251</c:v>
                </c:pt>
                <c:pt idx="31">
                  <c:v>435.0712896588</c:v>
                </c:pt>
                <c:pt idx="32">
                  <c:v>436.31110125</c:v>
                </c:pt>
                <c:pt idx="33">
                  <c:v>437.54129010101</c:v>
                </c:pt>
                <c:pt idx="34">
                  <c:v>438.76171585693</c:v>
                </c:pt>
                <c:pt idx="35">
                  <c:v>439.97234365368</c:v>
                </c:pt>
                <c:pt idx="36">
                  <c:v>441.1734735915</c:v>
                </c:pt>
                <c:pt idx="37">
                  <c:v>442.36780426956</c:v>
                </c:pt>
                <c:pt idx="38">
                  <c:v>443.55397896485</c:v>
                </c:pt>
                <c:pt idx="39">
                  <c:v>444.73299801499</c:v>
                </c:pt>
                <c:pt idx="40">
                  <c:v>445.90434528492</c:v>
                </c:pt>
                <c:pt idx="41">
                  <c:v>447.06931530875</c:v>
                </c:pt>
                <c:pt idx="42">
                  <c:v>448.22721437918</c:v>
                </c:pt>
                <c:pt idx="43">
                  <c:v>449.37797223032</c:v>
                </c:pt>
                <c:pt idx="44">
                  <c:v>450.52322572941</c:v>
                </c:pt>
                <c:pt idx="45">
                  <c:v>451.66263735233</c:v>
                </c:pt>
                <c:pt idx="46">
                  <c:v>452.7961951216</c:v>
                </c:pt>
                <c:pt idx="47">
                  <c:v>453.92309400258</c:v>
                </c:pt>
                <c:pt idx="48">
                  <c:v>455.04476341085</c:v>
                </c:pt>
                <c:pt idx="49">
                  <c:v>456.161418116</c:v>
                </c:pt>
                <c:pt idx="50">
                  <c:v>457.27180767117</c:v>
                </c:pt>
                <c:pt idx="51">
                  <c:v>458.37638653194</c:v>
                </c:pt>
                <c:pt idx="52">
                  <c:v>459.4770706913</c:v>
                </c:pt>
                <c:pt idx="53">
                  <c:v>460.57213510787</c:v>
                </c:pt>
                <c:pt idx="54">
                  <c:v>461.66270871672</c:v>
                </c:pt>
                <c:pt idx="55">
                  <c:v>462.74815858336</c:v>
                </c:pt>
                <c:pt idx="56">
                  <c:v>463.82907025143</c:v>
                </c:pt>
                <c:pt idx="57">
                  <c:v>464.90578479642</c:v>
                </c:pt>
                <c:pt idx="58">
                  <c:v>465.97701046663</c:v>
                </c:pt>
                <c:pt idx="59">
                  <c:v>467.0446223147</c:v>
                </c:pt>
                <c:pt idx="60">
                  <c:v>468.10862964829</c:v>
                </c:pt>
                <c:pt idx="61">
                  <c:v>469.16731647899</c:v>
                </c:pt>
                <c:pt idx="62">
                  <c:v>470.22100465494</c:v>
                </c:pt>
                <c:pt idx="63">
                  <c:v>471.27059303362</c:v>
                </c:pt>
                <c:pt idx="64">
                  <c:v>472.31680767743</c:v>
                </c:pt>
                <c:pt idx="65">
                  <c:v>473.35851024869</c:v>
                </c:pt>
                <c:pt idx="66">
                  <c:v>474.3965609356</c:v>
                </c:pt>
                <c:pt idx="67">
                  <c:v>475.43073830691</c:v>
                </c:pt>
                <c:pt idx="68">
                  <c:v>476.46111651465</c:v>
                </c:pt>
                <c:pt idx="69">
                  <c:v>477.48706474154</c:v>
                </c:pt>
                <c:pt idx="70">
                  <c:v>478.50981145007</c:v>
                </c:pt>
                <c:pt idx="71">
                  <c:v>479.52806754287</c:v>
                </c:pt>
                <c:pt idx="72">
                  <c:v>480.54228380652</c:v>
                </c:pt>
                <c:pt idx="73">
                  <c:v>481.55375231219</c:v>
                </c:pt>
                <c:pt idx="74">
                  <c:v>482.56102913657</c:v>
                </c:pt>
                <c:pt idx="75">
                  <c:v>483.56446824407</c:v>
                </c:pt>
                <c:pt idx="76">
                  <c:v>484.56535068996</c:v>
                </c:pt>
                <c:pt idx="77">
                  <c:v>485.56196398448</c:v>
                </c:pt>
                <c:pt idx="78">
                  <c:v>486.55463235598</c:v>
                </c:pt>
                <c:pt idx="79">
                  <c:v>487.544490149</c:v>
                </c:pt>
                <c:pt idx="80">
                  <c:v>488.53048877496</c:v>
                </c:pt>
                <c:pt idx="81">
                  <c:v>489.51356295854</c:v>
                </c:pt>
                <c:pt idx="82">
                  <c:v>490.49335844629</c:v>
                </c:pt>
                <c:pt idx="83">
                  <c:v>491.46932780066</c:v>
                </c:pt>
                <c:pt idx="84">
                  <c:v>492.44172124998</c:v>
                </c:pt>
                <c:pt idx="85">
                  <c:v>493.41146791485</c:v>
                </c:pt>
                <c:pt idx="86">
                  <c:v>494.37813183623</c:v>
                </c:pt>
                <c:pt idx="87">
                  <c:v>495.34108998671</c:v>
                </c:pt>
                <c:pt idx="88">
                  <c:v>496.2902774029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Exp!$J$2</c:f>
              <c:strCache>
                <c:ptCount val="1"/>
                <c:pt idx="0">
                  <c:v>773K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Exp!$J$3:$J$34</c:f>
              <c:numCache>
                <c:formatCode>General</c:formatCode>
                <c:ptCount val="32"/>
                <c:pt idx="0">
                  <c:v>0.00232</c:v>
                </c:pt>
                <c:pt idx="1">
                  <c:v>0.00266</c:v>
                </c:pt>
                <c:pt idx="2">
                  <c:v>0.00297</c:v>
                </c:pt>
                <c:pt idx="3">
                  <c:v>0.0033</c:v>
                </c:pt>
                <c:pt idx="4">
                  <c:v>0.0037</c:v>
                </c:pt>
                <c:pt idx="5">
                  <c:v>0.00418</c:v>
                </c:pt>
                <c:pt idx="6">
                  <c:v>0.0048</c:v>
                </c:pt>
                <c:pt idx="7">
                  <c:v>0.00535</c:v>
                </c:pt>
                <c:pt idx="8">
                  <c:v>0.00598</c:v>
                </c:pt>
                <c:pt idx="9">
                  <c:v>0.00669</c:v>
                </c:pt>
                <c:pt idx="10">
                  <c:v>0.00748</c:v>
                </c:pt>
                <c:pt idx="11">
                  <c:v>0.00837</c:v>
                </c:pt>
                <c:pt idx="12">
                  <c:v>0.00937</c:v>
                </c:pt>
                <c:pt idx="13">
                  <c:v>0.01048</c:v>
                </c:pt>
                <c:pt idx="14">
                  <c:v>0.01172</c:v>
                </c:pt>
                <c:pt idx="15">
                  <c:v>0.01311</c:v>
                </c:pt>
                <c:pt idx="16">
                  <c:v>0.01467</c:v>
                </c:pt>
                <c:pt idx="17">
                  <c:v>0.01641</c:v>
                </c:pt>
                <c:pt idx="18">
                  <c:v>0.01835</c:v>
                </c:pt>
                <c:pt idx="19">
                  <c:v>0.02053</c:v>
                </c:pt>
                <c:pt idx="20">
                  <c:v>0.02297</c:v>
                </c:pt>
                <c:pt idx="21">
                  <c:v>0.02569</c:v>
                </c:pt>
                <c:pt idx="22">
                  <c:v>0.02874</c:v>
                </c:pt>
                <c:pt idx="23">
                  <c:v>0.03215</c:v>
                </c:pt>
                <c:pt idx="24">
                  <c:v>0.03597</c:v>
                </c:pt>
                <c:pt idx="25">
                  <c:v>0.04024</c:v>
                </c:pt>
                <c:pt idx="26">
                  <c:v>0.04501</c:v>
                </c:pt>
                <c:pt idx="27">
                  <c:v>0.05035</c:v>
                </c:pt>
                <c:pt idx="28">
                  <c:v>0.05633</c:v>
                </c:pt>
                <c:pt idx="29">
                  <c:v>0.06301</c:v>
                </c:pt>
                <c:pt idx="30">
                  <c:v>0.07049</c:v>
                </c:pt>
                <c:pt idx="31">
                  <c:v>0.07886</c:v>
                </c:pt>
              </c:numCache>
            </c:numRef>
          </c:xVal>
          <c:yVal>
            <c:numRef>
              <c:f>Exp!$K$3:$K$34</c:f>
              <c:numCache>
                <c:formatCode>General</c:formatCode>
                <c:ptCount val="32"/>
                <c:pt idx="0">
                  <c:v>429.74229</c:v>
                </c:pt>
                <c:pt idx="1">
                  <c:v>435.39068</c:v>
                </c:pt>
                <c:pt idx="2">
                  <c:v>437.97853</c:v>
                </c:pt>
                <c:pt idx="3">
                  <c:v>440.511</c:v>
                </c:pt>
                <c:pt idx="4">
                  <c:v>443.71927</c:v>
                </c:pt>
                <c:pt idx="5">
                  <c:v>448.91837</c:v>
                </c:pt>
                <c:pt idx="6">
                  <c:v>452.71912</c:v>
                </c:pt>
                <c:pt idx="7">
                  <c:v>455.1512</c:v>
                </c:pt>
                <c:pt idx="8">
                  <c:v>458.30018</c:v>
                </c:pt>
                <c:pt idx="9">
                  <c:v>461.9584</c:v>
                </c:pt>
                <c:pt idx="10">
                  <c:v>465.36499</c:v>
                </c:pt>
                <c:pt idx="11">
                  <c:v>468.65532</c:v>
                </c:pt>
                <c:pt idx="12">
                  <c:v>472.3962</c:v>
                </c:pt>
                <c:pt idx="13">
                  <c:v>475.30592</c:v>
                </c:pt>
                <c:pt idx="14">
                  <c:v>479.24442</c:v>
                </c:pt>
                <c:pt idx="15">
                  <c:v>483.9449</c:v>
                </c:pt>
                <c:pt idx="16">
                  <c:v>488.17582</c:v>
                </c:pt>
                <c:pt idx="17">
                  <c:v>492.22097</c:v>
                </c:pt>
                <c:pt idx="18">
                  <c:v>496.37449</c:v>
                </c:pt>
                <c:pt idx="19">
                  <c:v>500.41209</c:v>
                </c:pt>
                <c:pt idx="20">
                  <c:v>504.25433</c:v>
                </c:pt>
                <c:pt idx="21">
                  <c:v>508.43271</c:v>
                </c:pt>
                <c:pt idx="22">
                  <c:v>512.87771</c:v>
                </c:pt>
                <c:pt idx="23">
                  <c:v>516.89362</c:v>
                </c:pt>
                <c:pt idx="24">
                  <c:v>521.01954</c:v>
                </c:pt>
                <c:pt idx="25">
                  <c:v>525.25761</c:v>
                </c:pt>
                <c:pt idx="26">
                  <c:v>529.61002</c:v>
                </c:pt>
                <c:pt idx="27">
                  <c:v>533.75694</c:v>
                </c:pt>
                <c:pt idx="28">
                  <c:v>538.09862</c:v>
                </c:pt>
                <c:pt idx="29">
                  <c:v>542.39381</c:v>
                </c:pt>
                <c:pt idx="30">
                  <c:v>546.64083</c:v>
                </c:pt>
                <c:pt idx="31">
                  <c:v>550.75495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"Sim_773"</c:f>
              <c:strCache>
                <c:ptCount val="1"/>
                <c:pt idx="0">
                  <c:v>Sim_773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'773K'!$B$2:$B$280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8.0905728566801e-29</c:v>
                </c:pt>
                <c:pt idx="2" c:formatCode="0.00E+00">
                  <c:v>1.4716739026031e-25</c:v>
                </c:pt>
                <c:pt idx="3" c:formatCode="0.00E+00">
                  <c:v>1.1410687558911e-18</c:v>
                </c:pt>
                <c:pt idx="4" c:formatCode="0.00E+00">
                  <c:v>1.0037432741852e-13</c:v>
                </c:pt>
                <c:pt idx="5" c:formatCode="0.00E+00">
                  <c:v>7.4034848420343e-8</c:v>
                </c:pt>
                <c:pt idx="6">
                  <c:v>0.00010158366648952</c:v>
                </c:pt>
                <c:pt idx="7">
                  <c:v>0.00060517158548279</c:v>
                </c:pt>
                <c:pt idx="8">
                  <c:v>0.0012128232966701</c:v>
                </c:pt>
                <c:pt idx="9">
                  <c:v>0.0018273701761489</c:v>
                </c:pt>
                <c:pt idx="10">
                  <c:v>0.0024380045632729</c:v>
                </c:pt>
                <c:pt idx="11">
                  <c:v>0.0030459677434251</c:v>
                </c:pt>
                <c:pt idx="12">
                  <c:v>0.003652514760355</c:v>
                </c:pt>
                <c:pt idx="13">
                  <c:v>0.0042583889106961</c:v>
                </c:pt>
                <c:pt idx="14">
                  <c:v>0.0048640424481382</c:v>
                </c:pt>
                <c:pt idx="15">
                  <c:v>0.0054696338717292</c:v>
                </c:pt>
                <c:pt idx="16">
                  <c:v>0.0060752156587388</c:v>
                </c:pt>
                <c:pt idx="17">
                  <c:v>0.0066808273910133</c:v>
                </c:pt>
                <c:pt idx="18">
                  <c:v>0.0072865247910015</c:v>
                </c:pt>
                <c:pt idx="19">
                  <c:v>0.0078923409997662</c:v>
                </c:pt>
                <c:pt idx="20">
                  <c:v>0.0084982516335732</c:v>
                </c:pt>
                <c:pt idx="21">
                  <c:v>0.0091042090287376</c:v>
                </c:pt>
                <c:pt idx="22">
                  <c:v>0.0097101539594651</c:v>
                </c:pt>
                <c:pt idx="23">
                  <c:v>0.01031604848091</c:v>
                </c:pt>
                <c:pt idx="24">
                  <c:v>0.010921863490497</c:v>
                </c:pt>
                <c:pt idx="25">
                  <c:v>0.011527602238804</c:v>
                </c:pt>
                <c:pt idx="26">
                  <c:v>0.012133284223768</c:v>
                </c:pt>
                <c:pt idx="27">
                  <c:v>0.01273892891121</c:v>
                </c:pt>
                <c:pt idx="28">
                  <c:v>0.013344542725479</c:v>
                </c:pt>
                <c:pt idx="29">
                  <c:v>0.013950127613573</c:v>
                </c:pt>
                <c:pt idx="30">
                  <c:v>0.014555693500376</c:v>
                </c:pt>
                <c:pt idx="31">
                  <c:v>0.015161226195205</c:v>
                </c:pt>
                <c:pt idx="32">
                  <c:v>0.015766731756949</c:v>
                </c:pt>
                <c:pt idx="33">
                  <c:v>0.016372202142945</c:v>
                </c:pt>
                <c:pt idx="34">
                  <c:v>0.016977640499534</c:v>
                </c:pt>
                <c:pt idx="35">
                  <c:v>0.017583029261655</c:v>
                </c:pt>
                <c:pt idx="36">
                  <c:v>0.018188368883303</c:v>
                </c:pt>
                <c:pt idx="37">
                  <c:v>0.018793661035038</c:v>
                </c:pt>
                <c:pt idx="38">
                  <c:v>0.019398890164018</c:v>
                </c:pt>
                <c:pt idx="39">
                  <c:v>0.020004048041204</c:v>
                </c:pt>
                <c:pt idx="40">
                  <c:v>0.020609133160753</c:v>
                </c:pt>
                <c:pt idx="41">
                  <c:v>0.021214140519213</c:v>
                </c:pt>
                <c:pt idx="42">
                  <c:v>0.021819078718612</c:v>
                </c:pt>
                <c:pt idx="43">
                  <c:v>0.022423947092899</c:v>
                </c:pt>
                <c:pt idx="44">
                  <c:v>0.02302874631852</c:v>
                </c:pt>
                <c:pt idx="45">
                  <c:v>0.023633492667162</c:v>
                </c:pt>
                <c:pt idx="46">
                  <c:v>0.024238181698359</c:v>
                </c:pt>
                <c:pt idx="47">
                  <c:v>0.024842820321941</c:v>
                </c:pt>
                <c:pt idx="48">
                  <c:v>0.025447410267095</c:v>
                </c:pt>
                <c:pt idx="49">
                  <c:v>0.026051943847352</c:v>
                </c:pt>
                <c:pt idx="50">
                  <c:v>0.026656438853556</c:v>
                </c:pt>
                <c:pt idx="51">
                  <c:v>0.027260892405785</c:v>
                </c:pt>
                <c:pt idx="52">
                  <c:v>0.027865305701937</c:v>
                </c:pt>
                <c:pt idx="53">
                  <c:v>0.028469686605989</c:v>
                </c:pt>
                <c:pt idx="54">
                  <c:v>0.029074030437044</c:v>
                </c:pt>
                <c:pt idx="55">
                  <c:v>0.029678344008133</c:v>
                </c:pt>
                <c:pt idx="56">
                  <c:v>0.030282635198588</c:v>
                </c:pt>
                <c:pt idx="57">
                  <c:v>0.030886897636507</c:v>
                </c:pt>
                <c:pt idx="58">
                  <c:v>0.031491134027329</c:v>
                </c:pt>
                <c:pt idx="59">
                  <c:v>0.03209534581916</c:v>
                </c:pt>
                <c:pt idx="60">
                  <c:v>0.032699547533226</c:v>
                </c:pt>
                <c:pt idx="61">
                  <c:v>0.033303725237743</c:v>
                </c:pt>
                <c:pt idx="62">
                  <c:v>0.033907896907612</c:v>
                </c:pt>
                <c:pt idx="63">
                  <c:v>0.034512055268485</c:v>
                </c:pt>
                <c:pt idx="64">
                  <c:v>0.035116204419529</c:v>
                </c:pt>
                <c:pt idx="65">
                  <c:v>0.035720343395901</c:v>
                </c:pt>
                <c:pt idx="66">
                  <c:v>0.036324475035896</c:v>
                </c:pt>
                <c:pt idx="67">
                  <c:v>0.036928602596929</c:v>
                </c:pt>
                <c:pt idx="68">
                  <c:v>0.037532728598185</c:v>
                </c:pt>
                <c:pt idx="69">
                  <c:v>0.038136850268074</c:v>
                </c:pt>
                <c:pt idx="70">
                  <c:v>0.038740971691282</c:v>
                </c:pt>
                <c:pt idx="71">
                  <c:v>0.039345095088559</c:v>
                </c:pt>
                <c:pt idx="72">
                  <c:v>0.039949220647767</c:v>
                </c:pt>
                <c:pt idx="73">
                  <c:v>0.040553354724327</c:v>
                </c:pt>
                <c:pt idx="74">
                  <c:v>0.041157491722137</c:v>
                </c:pt>
                <c:pt idx="75">
                  <c:v>0.041761634984192</c:v>
                </c:pt>
                <c:pt idx="76">
                  <c:v>0.042365789088545</c:v>
                </c:pt>
                <c:pt idx="77">
                  <c:v>0.042969953169528</c:v>
                </c:pt>
                <c:pt idx="78">
                  <c:v>0.043574127012306</c:v>
                </c:pt>
                <c:pt idx="79">
                  <c:v>0.044178314792473</c:v>
                </c:pt>
                <c:pt idx="80">
                  <c:v>0.044782520221655</c:v>
                </c:pt>
                <c:pt idx="81">
                  <c:v>0.045386740231726</c:v>
                </c:pt>
                <c:pt idx="82">
                  <c:v>0.04599097159258</c:v>
                </c:pt>
                <c:pt idx="83">
                  <c:v>0.046595221852292</c:v>
                </c:pt>
                <c:pt idx="84">
                  <c:v>0.047199486286319</c:v>
                </c:pt>
                <c:pt idx="85">
                  <c:v>0.047803774498942</c:v>
                </c:pt>
                <c:pt idx="86">
                  <c:v>0.04840808127687</c:v>
                </c:pt>
                <c:pt idx="87">
                  <c:v>0.0490124085648</c:v>
                </c:pt>
                <c:pt idx="88">
                  <c:v>0.049596428245198</c:v>
                </c:pt>
              </c:numCache>
            </c:numRef>
          </c:xVal>
          <c:yVal>
            <c:numRef>
              <c:f>'773K'!$N$2:$N$230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1.657021400466</c:v>
                </c:pt>
                <c:pt idx="2">
                  <c:v>11.834825957964</c:v>
                </c:pt>
                <c:pt idx="3">
                  <c:v>64.264346019854</c:v>
                </c:pt>
                <c:pt idx="4">
                  <c:v>133.064192804</c:v>
                </c:pt>
                <c:pt idx="5">
                  <c:v>262.79697629922</c:v>
                </c:pt>
                <c:pt idx="6">
                  <c:v>374.30743608652</c:v>
                </c:pt>
                <c:pt idx="7">
                  <c:v>411.99343789959</c:v>
                </c:pt>
                <c:pt idx="8">
                  <c:v>427.00693523936</c:v>
                </c:pt>
                <c:pt idx="9">
                  <c:v>435.76596988371</c:v>
                </c:pt>
                <c:pt idx="10">
                  <c:v>441.43489473249</c:v>
                </c:pt>
                <c:pt idx="11">
                  <c:v>445.46339425728</c:v>
                </c:pt>
                <c:pt idx="12">
                  <c:v>448.62985095368</c:v>
                </c:pt>
                <c:pt idx="13">
                  <c:v>451.28921791702</c:v>
                </c:pt>
                <c:pt idx="14">
                  <c:v>453.6253373398</c:v>
                </c:pt>
                <c:pt idx="15">
                  <c:v>455.74129000753</c:v>
                </c:pt>
                <c:pt idx="16">
                  <c:v>457.70359078504</c:v>
                </c:pt>
                <c:pt idx="17">
                  <c:v>459.55441969047</c:v>
                </c:pt>
                <c:pt idx="18">
                  <c:v>461.32646916087</c:v>
                </c:pt>
                <c:pt idx="19">
                  <c:v>463.03987378786</c:v>
                </c:pt>
                <c:pt idx="20">
                  <c:v>464.70634594004</c:v>
                </c:pt>
                <c:pt idx="21">
                  <c:v>466.33262734425</c:v>
                </c:pt>
                <c:pt idx="22">
                  <c:v>467.92634088906</c:v>
                </c:pt>
                <c:pt idx="23">
                  <c:v>469.48973764661</c:v>
                </c:pt>
                <c:pt idx="24">
                  <c:v>471.02472946792</c:v>
                </c:pt>
                <c:pt idx="25">
                  <c:v>472.53612850743</c:v>
                </c:pt>
                <c:pt idx="26">
                  <c:v>474.02667893874</c:v>
                </c:pt>
                <c:pt idx="27">
                  <c:v>475.49850881922</c:v>
                </c:pt>
                <c:pt idx="28">
                  <c:v>476.95451668386</c:v>
                </c:pt>
                <c:pt idx="29">
                  <c:v>478.39624204418</c:v>
                </c:pt>
                <c:pt idx="30">
                  <c:v>479.82312931888</c:v>
                </c:pt>
                <c:pt idx="31">
                  <c:v>481.23812229033</c:v>
                </c:pt>
                <c:pt idx="32">
                  <c:v>482.63989079683</c:v>
                </c:pt>
                <c:pt idx="33">
                  <c:v>484.03052915439</c:v>
                </c:pt>
                <c:pt idx="34">
                  <c:v>485.4094380817</c:v>
                </c:pt>
                <c:pt idx="35">
                  <c:v>486.77951008031</c:v>
                </c:pt>
                <c:pt idx="36">
                  <c:v>488.1401390004</c:v>
                </c:pt>
                <c:pt idx="37">
                  <c:v>489.49045576112</c:v>
                </c:pt>
                <c:pt idx="38">
                  <c:v>490.83169540311</c:v>
                </c:pt>
                <c:pt idx="39">
                  <c:v>492.16444263791</c:v>
                </c:pt>
                <c:pt idx="40">
                  <c:v>493.48811034379</c:v>
                </c:pt>
                <c:pt idx="41">
                  <c:v>494.80407163256</c:v>
                </c:pt>
                <c:pt idx="42">
                  <c:v>496.11147863119</c:v>
                </c:pt>
                <c:pt idx="43">
                  <c:v>497.4114050142</c:v>
                </c:pt>
                <c:pt idx="44">
                  <c:v>498.70543355697</c:v>
                </c:pt>
                <c:pt idx="45">
                  <c:v>499.99111884777</c:v>
                </c:pt>
                <c:pt idx="46">
                  <c:v>501.27010771853</c:v>
                </c:pt>
                <c:pt idx="47">
                  <c:v>502.54198898414</c:v>
                </c:pt>
                <c:pt idx="48">
                  <c:v>503.80720744882</c:v>
                </c:pt>
                <c:pt idx="49">
                  <c:v>505.06712696635</c:v>
                </c:pt>
                <c:pt idx="50">
                  <c:v>506.31977144712</c:v>
                </c:pt>
                <c:pt idx="51">
                  <c:v>507.56684871436</c:v>
                </c:pt>
                <c:pt idx="52">
                  <c:v>508.80786680325</c:v>
                </c:pt>
                <c:pt idx="53">
                  <c:v>510.04245486509</c:v>
                </c:pt>
                <c:pt idx="54">
                  <c:v>511.27264126072</c:v>
                </c:pt>
                <c:pt idx="55">
                  <c:v>512.4972941146</c:v>
                </c:pt>
                <c:pt idx="56">
                  <c:v>513.71534359221</c:v>
                </c:pt>
                <c:pt idx="57">
                  <c:v>514.92877352707</c:v>
                </c:pt>
                <c:pt idx="58">
                  <c:v>516.13699698915</c:v>
                </c:pt>
                <c:pt idx="59">
                  <c:v>517.34075623879</c:v>
                </c:pt>
                <c:pt idx="60">
                  <c:v>518.53790103955</c:v>
                </c:pt>
                <c:pt idx="61">
                  <c:v>519.73088327342</c:v>
                </c:pt>
                <c:pt idx="62">
                  <c:v>520.91769368485</c:v>
                </c:pt>
                <c:pt idx="63">
                  <c:v>522.09990092874</c:v>
                </c:pt>
                <c:pt idx="64">
                  <c:v>523.27703503769</c:v>
                </c:pt>
                <c:pt idx="65">
                  <c:v>524.44975367408</c:v>
                </c:pt>
                <c:pt idx="66">
                  <c:v>525.6182214943</c:v>
                </c:pt>
                <c:pt idx="67">
                  <c:v>526.781678695</c:v>
                </c:pt>
                <c:pt idx="68">
                  <c:v>527.94028623545</c:v>
                </c:pt>
                <c:pt idx="69">
                  <c:v>529.09505331444</c:v>
                </c:pt>
                <c:pt idx="70">
                  <c:v>530.24542494299</c:v>
                </c:pt>
                <c:pt idx="71">
                  <c:v>531.3911189391</c:v>
                </c:pt>
                <c:pt idx="72">
                  <c:v>532.53296929047</c:v>
                </c:pt>
                <c:pt idx="73">
                  <c:v>533.669686615</c:v>
                </c:pt>
                <c:pt idx="74">
                  <c:v>534.80259986994</c:v>
                </c:pt>
                <c:pt idx="75">
                  <c:v>535.93185373366</c:v>
                </c:pt>
                <c:pt idx="76">
                  <c:v>537.05640888972</c:v>
                </c:pt>
                <c:pt idx="77">
                  <c:v>538.17691744453</c:v>
                </c:pt>
                <c:pt idx="78">
                  <c:v>539.29362577882</c:v>
                </c:pt>
                <c:pt idx="79">
                  <c:v>540.40611129647</c:v>
                </c:pt>
                <c:pt idx="80">
                  <c:v>541.5138754207</c:v>
                </c:pt>
                <c:pt idx="81">
                  <c:v>542.61759319915</c:v>
                </c:pt>
                <c:pt idx="82">
                  <c:v>543.71832847756</c:v>
                </c:pt>
                <c:pt idx="83">
                  <c:v>544.81479291894</c:v>
                </c:pt>
                <c:pt idx="84">
                  <c:v>545.90824418119</c:v>
                </c:pt>
                <c:pt idx="85">
                  <c:v>546.99716770271</c:v>
                </c:pt>
                <c:pt idx="86">
                  <c:v>548.08237742523</c:v>
                </c:pt>
                <c:pt idx="87">
                  <c:v>549.16406670868</c:v>
                </c:pt>
                <c:pt idx="88">
                  <c:v>550.22790629942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Exp!$M$2</c:f>
              <c:strCache>
                <c:ptCount val="1"/>
                <c:pt idx="0">
                  <c:v>723K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Exp!$M$3:$M$35</c:f>
              <c:numCache>
                <c:formatCode>General</c:formatCode>
                <c:ptCount val="33"/>
                <c:pt idx="0">
                  <c:v>0.00231</c:v>
                </c:pt>
                <c:pt idx="1">
                  <c:v>0.00259</c:v>
                </c:pt>
                <c:pt idx="2">
                  <c:v>0.00291</c:v>
                </c:pt>
                <c:pt idx="3">
                  <c:v>0.00324</c:v>
                </c:pt>
                <c:pt idx="4">
                  <c:v>0.00363</c:v>
                </c:pt>
                <c:pt idx="5">
                  <c:v>0.00406</c:v>
                </c:pt>
                <c:pt idx="6">
                  <c:v>0.00454</c:v>
                </c:pt>
                <c:pt idx="7">
                  <c:v>0.00508</c:v>
                </c:pt>
                <c:pt idx="8">
                  <c:v>0.00568</c:v>
                </c:pt>
                <c:pt idx="9">
                  <c:v>0.00635</c:v>
                </c:pt>
                <c:pt idx="10">
                  <c:v>0.00711</c:v>
                </c:pt>
                <c:pt idx="11">
                  <c:v>0.00795</c:v>
                </c:pt>
                <c:pt idx="12">
                  <c:v>0.00889</c:v>
                </c:pt>
                <c:pt idx="13">
                  <c:v>0.00995</c:v>
                </c:pt>
                <c:pt idx="14">
                  <c:v>0.01113</c:v>
                </c:pt>
                <c:pt idx="15">
                  <c:v>0.01245</c:v>
                </c:pt>
                <c:pt idx="16">
                  <c:v>0.01392</c:v>
                </c:pt>
                <c:pt idx="17">
                  <c:v>0.01558</c:v>
                </c:pt>
                <c:pt idx="18">
                  <c:v>0.01742</c:v>
                </c:pt>
                <c:pt idx="19">
                  <c:v>0.01949</c:v>
                </c:pt>
                <c:pt idx="20">
                  <c:v>0.0218</c:v>
                </c:pt>
                <c:pt idx="21">
                  <c:v>0.02439</c:v>
                </c:pt>
                <c:pt idx="22">
                  <c:v>0.02728</c:v>
                </c:pt>
                <c:pt idx="23">
                  <c:v>0.03052</c:v>
                </c:pt>
                <c:pt idx="24">
                  <c:v>0.03414</c:v>
                </c:pt>
                <c:pt idx="25">
                  <c:v>0.03819</c:v>
                </c:pt>
                <c:pt idx="26">
                  <c:v>0.04272</c:v>
                </c:pt>
                <c:pt idx="27">
                  <c:v>0.04779</c:v>
                </c:pt>
                <c:pt idx="28">
                  <c:v>0.05346</c:v>
                </c:pt>
                <c:pt idx="29">
                  <c:v>0.0598</c:v>
                </c:pt>
                <c:pt idx="30">
                  <c:v>0.0669</c:v>
                </c:pt>
                <c:pt idx="31">
                  <c:v>0.07467</c:v>
                </c:pt>
                <c:pt idx="32">
                  <c:v>0.08182</c:v>
                </c:pt>
              </c:numCache>
            </c:numRef>
          </c:xVal>
          <c:yVal>
            <c:numRef>
              <c:f>Exp!$N$3:$N$35</c:f>
              <c:numCache>
                <c:formatCode>General</c:formatCode>
                <c:ptCount val="33"/>
                <c:pt idx="0">
                  <c:v>448.23921</c:v>
                </c:pt>
                <c:pt idx="1">
                  <c:v>452.40283</c:v>
                </c:pt>
                <c:pt idx="2">
                  <c:v>457.36345</c:v>
                </c:pt>
                <c:pt idx="3">
                  <c:v>460.4656</c:v>
                </c:pt>
                <c:pt idx="4">
                  <c:v>465.00311</c:v>
                </c:pt>
                <c:pt idx="5">
                  <c:v>468.78553</c:v>
                </c:pt>
                <c:pt idx="6">
                  <c:v>472.95524</c:v>
                </c:pt>
                <c:pt idx="7">
                  <c:v>476.58667</c:v>
                </c:pt>
                <c:pt idx="8">
                  <c:v>480.02872</c:v>
                </c:pt>
                <c:pt idx="9">
                  <c:v>483.95422</c:v>
                </c:pt>
                <c:pt idx="10">
                  <c:v>489.56507</c:v>
                </c:pt>
                <c:pt idx="11">
                  <c:v>493.47286</c:v>
                </c:pt>
                <c:pt idx="12">
                  <c:v>497.712</c:v>
                </c:pt>
                <c:pt idx="13">
                  <c:v>502.21475</c:v>
                </c:pt>
                <c:pt idx="14">
                  <c:v>505.8419</c:v>
                </c:pt>
                <c:pt idx="15">
                  <c:v>510.57218</c:v>
                </c:pt>
                <c:pt idx="16">
                  <c:v>514.88056</c:v>
                </c:pt>
                <c:pt idx="17">
                  <c:v>519.46027</c:v>
                </c:pt>
                <c:pt idx="18">
                  <c:v>524.23883</c:v>
                </c:pt>
                <c:pt idx="19">
                  <c:v>529.30078</c:v>
                </c:pt>
                <c:pt idx="20">
                  <c:v>534.65347</c:v>
                </c:pt>
                <c:pt idx="21">
                  <c:v>539.97884</c:v>
                </c:pt>
                <c:pt idx="22">
                  <c:v>545.275</c:v>
                </c:pt>
                <c:pt idx="23">
                  <c:v>551.20474</c:v>
                </c:pt>
                <c:pt idx="24">
                  <c:v>557.03091</c:v>
                </c:pt>
                <c:pt idx="25">
                  <c:v>562.57917</c:v>
                </c:pt>
                <c:pt idx="26">
                  <c:v>568.52557</c:v>
                </c:pt>
                <c:pt idx="27">
                  <c:v>574.01515</c:v>
                </c:pt>
                <c:pt idx="28">
                  <c:v>579.82002</c:v>
                </c:pt>
                <c:pt idx="29">
                  <c:v>585.77193</c:v>
                </c:pt>
                <c:pt idx="30">
                  <c:v>592.3207</c:v>
                </c:pt>
                <c:pt idx="31">
                  <c:v>597.33227</c:v>
                </c:pt>
                <c:pt idx="32">
                  <c:v>601.62688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"Sim_723"</c:f>
              <c:strCache>
                <c:ptCount val="1"/>
                <c:pt idx="0">
                  <c:v>Sim_723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'723K'!$B$2:$B$280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6.3529717571166e-32</c:v>
                </c:pt>
                <c:pt idx="2" c:formatCode="0.00E+00">
                  <c:v>2.2159457893483e-28</c:v>
                </c:pt>
                <c:pt idx="3" c:formatCode="0.00E+00">
                  <c:v>8.4926769441773e-21</c:v>
                </c:pt>
                <c:pt idx="4" c:formatCode="0.00E+00">
                  <c:v>2.5691089753217e-15</c:v>
                </c:pt>
                <c:pt idx="5" c:formatCode="0.00E+00">
                  <c:v>4.7855984504065e-9</c:v>
                </c:pt>
                <c:pt idx="6" c:formatCode="0.00E+00">
                  <c:v>4.4777911639497e-5</c:v>
                </c:pt>
                <c:pt idx="7">
                  <c:v>0.00047527555403273</c:v>
                </c:pt>
                <c:pt idx="8">
                  <c:v>0.0010745588220001</c:v>
                </c:pt>
                <c:pt idx="9">
                  <c:v>0.0016904447079382</c:v>
                </c:pt>
                <c:pt idx="10">
                  <c:v>0.0023037531744211</c:v>
                </c:pt>
                <c:pt idx="11">
                  <c:v>0.0029132473982443</c:v>
                </c:pt>
                <c:pt idx="12">
                  <c:v>0.003520650015916</c:v>
                </c:pt>
                <c:pt idx="13">
                  <c:v>0.0041268549287312</c:v>
                </c:pt>
                <c:pt idx="14">
                  <c:v>0.0047325535475237</c:v>
                </c:pt>
                <c:pt idx="15">
                  <c:v>0.0053380960465654</c:v>
                </c:pt>
                <c:pt idx="16">
                  <c:v>0.0059435799105224</c:v>
                </c:pt>
                <c:pt idx="17">
                  <c:v>0.0065490124118733</c:v>
                </c:pt>
                <c:pt idx="18">
                  <c:v>0.0071543816752202</c:v>
                </c:pt>
                <c:pt idx="19">
                  <c:v>0.0077597477461141</c:v>
                </c:pt>
                <c:pt idx="20">
                  <c:v>0.0083651780308347</c:v>
                </c:pt>
                <c:pt idx="21">
                  <c:v>0.0089706798018465</c:v>
                </c:pt>
                <c:pt idx="22">
                  <c:v>0.0095762201241702</c:v>
                </c:pt>
                <c:pt idx="23">
                  <c:v>0.010181760779867</c:v>
                </c:pt>
                <c:pt idx="24">
                  <c:v>0.010787263950996</c:v>
                </c:pt>
                <c:pt idx="25">
                  <c:v>0.011392685598827</c:v>
                </c:pt>
                <c:pt idx="26">
                  <c:v>0.011998012218224</c:v>
                </c:pt>
                <c:pt idx="27">
                  <c:v>0.012603259233163</c:v>
                </c:pt>
                <c:pt idx="28">
                  <c:v>0.013208440612604</c:v>
                </c:pt>
                <c:pt idx="29">
                  <c:v>0.013813581879689</c:v>
                </c:pt>
                <c:pt idx="30">
                  <c:v>0.014418689555102</c:v>
                </c:pt>
                <c:pt idx="31">
                  <c:v>0.015023774172892</c:v>
                </c:pt>
                <c:pt idx="32">
                  <c:v>0.015628834031566</c:v>
                </c:pt>
                <c:pt idx="33">
                  <c:v>0.016233872617717</c:v>
                </c:pt>
                <c:pt idx="34">
                  <c:v>0.016838881602148</c:v>
                </c:pt>
                <c:pt idx="35">
                  <c:v>0.017443871294431</c:v>
                </c:pt>
                <c:pt idx="36">
                  <c:v>0.018048832382842</c:v>
                </c:pt>
                <c:pt idx="37">
                  <c:v>0.018653771902251</c:v>
                </c:pt>
                <c:pt idx="38">
                  <c:v>0.01925867857716</c:v>
                </c:pt>
                <c:pt idx="39">
                  <c:v>0.019863551871588</c:v>
                </c:pt>
                <c:pt idx="40">
                  <c:v>0.020468391079971</c:v>
                </c:pt>
                <c:pt idx="41">
                  <c:v>0.02107318986796</c:v>
                </c:pt>
                <c:pt idx="42">
                  <c:v>0.021677934989777</c:v>
                </c:pt>
                <c:pt idx="43">
                  <c:v>0.022282621806444</c:v>
                </c:pt>
                <c:pt idx="44">
                  <c:v>0.022887243480516</c:v>
                </c:pt>
                <c:pt idx="45">
                  <c:v>0.023491802940014</c:v>
                </c:pt>
                <c:pt idx="46">
                  <c:v>0.024096296832529</c:v>
                </c:pt>
                <c:pt idx="47">
                  <c:v>0.024700738711897</c:v>
                </c:pt>
                <c:pt idx="48">
                  <c:v>0.025305125803998</c:v>
                </c:pt>
                <c:pt idx="49">
                  <c:v>0.025909465137524</c:v>
                </c:pt>
                <c:pt idx="50">
                  <c:v>0.026513757291266</c:v>
                </c:pt>
                <c:pt idx="51">
                  <c:v>0.027118006686218</c:v>
                </c:pt>
                <c:pt idx="52">
                  <c:v>0.027722217122495</c:v>
                </c:pt>
                <c:pt idx="53">
                  <c:v>0.028326393057927</c:v>
                </c:pt>
                <c:pt idx="54">
                  <c:v>0.028930531622122</c:v>
                </c:pt>
                <c:pt idx="55">
                  <c:v>0.029534639206719</c:v>
                </c:pt>
                <c:pt idx="56">
                  <c:v>0.030138716002617</c:v>
                </c:pt>
                <c:pt idx="57">
                  <c:v>0.030742766139192</c:v>
                </c:pt>
                <c:pt idx="58">
                  <c:v>0.031346793452527</c:v>
                </c:pt>
                <c:pt idx="59">
                  <c:v>0.031950798136084</c:v>
                </c:pt>
                <c:pt idx="60">
                  <c:v>0.032554782634717</c:v>
                </c:pt>
                <c:pt idx="61">
                  <c:v>0.03315874860654</c:v>
                </c:pt>
                <c:pt idx="62">
                  <c:v>0.03376270012403</c:v>
                </c:pt>
                <c:pt idx="63">
                  <c:v>0.034366627916094</c:v>
                </c:pt>
                <c:pt idx="64">
                  <c:v>0.034970550825237</c:v>
                </c:pt>
                <c:pt idx="65">
                  <c:v>0.035574461824019</c:v>
                </c:pt>
                <c:pt idx="66">
                  <c:v>0.036178364161373</c:v>
                </c:pt>
                <c:pt idx="67">
                  <c:v>0.036782259929703</c:v>
                </c:pt>
                <c:pt idx="68">
                  <c:v>0.037386150465239</c:v>
                </c:pt>
                <c:pt idx="69">
                  <c:v>0.037990033721878</c:v>
                </c:pt>
                <c:pt idx="70">
                  <c:v>0.03859391971566</c:v>
                </c:pt>
                <c:pt idx="71">
                  <c:v>0.039197810630695</c:v>
                </c:pt>
                <c:pt idx="72">
                  <c:v>0.039801697472068</c:v>
                </c:pt>
                <c:pt idx="73">
                  <c:v>0.040405589428736</c:v>
                </c:pt>
                <c:pt idx="74">
                  <c:v>0.04100948677662</c:v>
                </c:pt>
                <c:pt idx="75">
                  <c:v>0.041613393570201</c:v>
                </c:pt>
                <c:pt idx="76">
                  <c:v>0.042217300917454</c:v>
                </c:pt>
                <c:pt idx="77">
                  <c:v>0.042821217987792</c:v>
                </c:pt>
                <c:pt idx="78">
                  <c:v>0.043425144375954</c:v>
                </c:pt>
                <c:pt idx="79">
                  <c:v>0.044029084998143</c:v>
                </c:pt>
                <c:pt idx="80">
                  <c:v>0.044633042218999</c:v>
                </c:pt>
                <c:pt idx="81">
                  <c:v>0.045237011850236</c:v>
                </c:pt>
                <c:pt idx="82">
                  <c:v>0.0458410002264</c:v>
                </c:pt>
                <c:pt idx="83">
                  <c:v>0.046445003169246</c:v>
                </c:pt>
                <c:pt idx="84">
                  <c:v>0.047049017249053</c:v>
                </c:pt>
                <c:pt idx="85">
                  <c:v>0.047653054786229</c:v>
                </c:pt>
                <c:pt idx="86">
                  <c:v>0.048257113090874</c:v>
                </c:pt>
                <c:pt idx="87">
                  <c:v>0.048861192820594</c:v>
                </c:pt>
                <c:pt idx="88">
                  <c:v>0.049444971891111</c:v>
                </c:pt>
              </c:numCache>
            </c:numRef>
          </c:xVal>
          <c:yVal>
            <c:numRef>
              <c:f>'723K'!$N$2:$N$230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1.6857299647675</c:v>
                </c:pt>
                <c:pt idx="2">
                  <c:v>12.039856479517</c:v>
                </c:pt>
                <c:pt idx="3">
                  <c:v>65.37729623366</c:v>
                </c:pt>
                <c:pt idx="4">
                  <c:v>135.36768115488</c:v>
                </c:pt>
                <c:pt idx="5">
                  <c:v>267.3561830442</c:v>
                </c:pt>
                <c:pt idx="6">
                  <c:v>391.72116562997</c:v>
                </c:pt>
                <c:pt idx="7">
                  <c:v>444.74595894966</c:v>
                </c:pt>
                <c:pt idx="8">
                  <c:v>464.05567468626</c:v>
                </c:pt>
                <c:pt idx="9">
                  <c:v>475.12063257063</c:v>
                </c:pt>
                <c:pt idx="10">
                  <c:v>482.37815695461</c:v>
                </c:pt>
                <c:pt idx="11">
                  <c:v>487.4021012454</c:v>
                </c:pt>
                <c:pt idx="12">
                  <c:v>491.2597479237</c:v>
                </c:pt>
                <c:pt idx="13">
                  <c:v>494.44421143642</c:v>
                </c:pt>
                <c:pt idx="14">
                  <c:v>497.20730052944</c:v>
                </c:pt>
                <c:pt idx="15">
                  <c:v>499.68820601761</c:v>
                </c:pt>
                <c:pt idx="16">
                  <c:v>501.970059424</c:v>
                </c:pt>
                <c:pt idx="17">
                  <c:v>504.10714075436</c:v>
                </c:pt>
                <c:pt idx="18">
                  <c:v>506.1368473028</c:v>
                </c:pt>
                <c:pt idx="19">
                  <c:v>508.08783498275</c:v>
                </c:pt>
                <c:pt idx="20">
                  <c:v>509.97962819942</c:v>
                </c:pt>
                <c:pt idx="21">
                  <c:v>511.82400728268</c:v>
                </c:pt>
                <c:pt idx="22">
                  <c:v>513.6276967642</c:v>
                </c:pt>
                <c:pt idx="23">
                  <c:v>515.39621698899</c:v>
                </c:pt>
                <c:pt idx="24">
                  <c:v>517.13343510711</c:v>
                </c:pt>
                <c:pt idx="25">
                  <c:v>518.84181120458</c:v>
                </c:pt>
                <c:pt idx="26">
                  <c:v>520.52424198548</c:v>
                </c:pt>
                <c:pt idx="27">
                  <c:v>522.18284780413</c:v>
                </c:pt>
                <c:pt idx="28">
                  <c:v>523.82185650341</c:v>
                </c:pt>
                <c:pt idx="29">
                  <c:v>525.44173403945</c:v>
                </c:pt>
                <c:pt idx="30">
                  <c:v>527.04553837002</c:v>
                </c:pt>
                <c:pt idx="31">
                  <c:v>528.63405250436</c:v>
                </c:pt>
                <c:pt idx="32">
                  <c:v>530.20857106255</c:v>
                </c:pt>
                <c:pt idx="33">
                  <c:v>531.76996199964</c:v>
                </c:pt>
                <c:pt idx="34">
                  <c:v>533.3198755283</c:v>
                </c:pt>
                <c:pt idx="35">
                  <c:v>534.85700950137</c:v>
                </c:pt>
                <c:pt idx="36">
                  <c:v>536.38324395879</c:v>
                </c:pt>
                <c:pt idx="37">
                  <c:v>537.89808520486</c:v>
                </c:pt>
                <c:pt idx="38">
                  <c:v>539.40303379175</c:v>
                </c:pt>
                <c:pt idx="39">
                  <c:v>540.89878975062</c:v>
                </c:pt>
                <c:pt idx="40">
                  <c:v>542.38477558725</c:v>
                </c:pt>
                <c:pt idx="41">
                  <c:v>543.86087625734</c:v>
                </c:pt>
                <c:pt idx="42">
                  <c:v>545.32857223348</c:v>
                </c:pt>
                <c:pt idx="43">
                  <c:v>546.78716834757</c:v>
                </c:pt>
                <c:pt idx="44">
                  <c:v>548.23702214336</c:v>
                </c:pt>
                <c:pt idx="45">
                  <c:v>549.67823459378</c:v>
                </c:pt>
                <c:pt idx="46">
                  <c:v>551.11223394269</c:v>
                </c:pt>
                <c:pt idx="47">
                  <c:v>552.53750295341</c:v>
                </c:pt>
                <c:pt idx="48">
                  <c:v>553.95608105671</c:v>
                </c:pt>
                <c:pt idx="49">
                  <c:v>555.36697515213</c:v>
                </c:pt>
                <c:pt idx="50">
                  <c:v>556.77136759498</c:v>
                </c:pt>
                <c:pt idx="51">
                  <c:v>558.16856544981</c:v>
                </c:pt>
                <c:pt idx="52">
                  <c:v>559.55892073073</c:v>
                </c:pt>
                <c:pt idx="53">
                  <c:v>560.94190571681</c:v>
                </c:pt>
                <c:pt idx="54">
                  <c:v>562.31899927176</c:v>
                </c:pt>
                <c:pt idx="55">
                  <c:v>563.68918836769</c:v>
                </c:pt>
                <c:pt idx="56">
                  <c:v>565.05343433811</c:v>
                </c:pt>
                <c:pt idx="57">
                  <c:v>566.41146792597</c:v>
                </c:pt>
                <c:pt idx="58">
                  <c:v>567.76295012257</c:v>
                </c:pt>
                <c:pt idx="59">
                  <c:v>569.1083831007</c:v>
                </c:pt>
                <c:pt idx="60">
                  <c:v>570.44801383216</c:v>
                </c:pt>
                <c:pt idx="61">
                  <c:v>571.78206504096</c:v>
                </c:pt>
                <c:pt idx="62">
                  <c:v>573.11005765556</c:v>
                </c:pt>
                <c:pt idx="63">
                  <c:v>574.43446789451</c:v>
                </c:pt>
                <c:pt idx="64">
                  <c:v>575.75171852247</c:v>
                </c:pt>
                <c:pt idx="65">
                  <c:v>577.06411690541</c:v>
                </c:pt>
                <c:pt idx="66">
                  <c:v>578.37107442517</c:v>
                </c:pt>
                <c:pt idx="67">
                  <c:v>579.67279385482</c:v>
                </c:pt>
                <c:pt idx="68">
                  <c:v>580.96940811866</c:v>
                </c:pt>
                <c:pt idx="69">
                  <c:v>582.26159802463</c:v>
                </c:pt>
                <c:pt idx="70">
                  <c:v>583.54784250657</c:v>
                </c:pt>
                <c:pt idx="71">
                  <c:v>584.82791621682</c:v>
                </c:pt>
                <c:pt idx="72">
                  <c:v>586.10405286938</c:v>
                </c:pt>
                <c:pt idx="73">
                  <c:v>587.37488391935</c:v>
                </c:pt>
                <c:pt idx="74">
                  <c:v>588.6409814465</c:v>
                </c:pt>
                <c:pt idx="75">
                  <c:v>589.90155673782</c:v>
                </c:pt>
                <c:pt idx="76">
                  <c:v>591.15896072122</c:v>
                </c:pt>
                <c:pt idx="77">
                  <c:v>592.4112788775</c:v>
                </c:pt>
                <c:pt idx="78">
                  <c:v>593.65938347384</c:v>
                </c:pt>
                <c:pt idx="79">
                  <c:v>594.90263844606</c:v>
                </c:pt>
                <c:pt idx="80">
                  <c:v>596.14053676554</c:v>
                </c:pt>
                <c:pt idx="81">
                  <c:v>597.37449256123</c:v>
                </c:pt>
                <c:pt idx="82">
                  <c:v>598.60307234807</c:v>
                </c:pt>
                <c:pt idx="83">
                  <c:v>599.82774190946</c:v>
                </c:pt>
                <c:pt idx="84">
                  <c:v>601.04882926337</c:v>
                </c:pt>
                <c:pt idx="85">
                  <c:v>602.2650436601</c:v>
                </c:pt>
                <c:pt idx="86">
                  <c:v>603.47699363682</c:v>
                </c:pt>
                <c:pt idx="87">
                  <c:v>604.68428318866</c:v>
                </c:pt>
                <c:pt idx="88">
                  <c:v>605.86909804978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Exp!$A$2</c:f>
              <c:strCache>
                <c:ptCount val="1"/>
                <c:pt idx="0">
                  <c:v>923K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Exp!$A$3:$A$24</c:f>
              <c:numCache>
                <c:formatCode>General</c:formatCode>
                <c:ptCount val="22"/>
                <c:pt idx="0">
                  <c:v>0.00243</c:v>
                </c:pt>
                <c:pt idx="1">
                  <c:v>0.00272</c:v>
                </c:pt>
                <c:pt idx="2">
                  <c:v>0.00304</c:v>
                </c:pt>
                <c:pt idx="3">
                  <c:v>0.0034</c:v>
                </c:pt>
                <c:pt idx="4">
                  <c:v>0.0038</c:v>
                </c:pt>
                <c:pt idx="5">
                  <c:v>0.00426</c:v>
                </c:pt>
                <c:pt idx="6">
                  <c:v>0.00476</c:v>
                </c:pt>
                <c:pt idx="7">
                  <c:v>0.00533</c:v>
                </c:pt>
                <c:pt idx="8">
                  <c:v>0.00596</c:v>
                </c:pt>
                <c:pt idx="9">
                  <c:v>0.00667</c:v>
                </c:pt>
                <c:pt idx="10">
                  <c:v>0.00746</c:v>
                </c:pt>
                <c:pt idx="11">
                  <c:v>0.00834</c:v>
                </c:pt>
                <c:pt idx="12">
                  <c:v>0.00933</c:v>
                </c:pt>
                <c:pt idx="13">
                  <c:v>0.01044</c:v>
                </c:pt>
                <c:pt idx="14">
                  <c:v>0.01168</c:v>
                </c:pt>
                <c:pt idx="15">
                  <c:v>0.01307</c:v>
                </c:pt>
                <c:pt idx="16">
                  <c:v>0.01462</c:v>
                </c:pt>
                <c:pt idx="17">
                  <c:v>0.01636</c:v>
                </c:pt>
                <c:pt idx="18">
                  <c:v>0.0183</c:v>
                </c:pt>
                <c:pt idx="19">
                  <c:v>0.02047</c:v>
                </c:pt>
                <c:pt idx="20">
                  <c:v>0.0229</c:v>
                </c:pt>
                <c:pt idx="21">
                  <c:v>0.02485</c:v>
                </c:pt>
              </c:numCache>
            </c:numRef>
          </c:xVal>
          <c:yVal>
            <c:numRef>
              <c:f>Exp!$B$3:$B$24</c:f>
              <c:numCache>
                <c:formatCode>General</c:formatCode>
                <c:ptCount val="22"/>
                <c:pt idx="0">
                  <c:v>287.54627</c:v>
                </c:pt>
                <c:pt idx="1">
                  <c:v>290.5856</c:v>
                </c:pt>
                <c:pt idx="2">
                  <c:v>292.9537</c:v>
                </c:pt>
                <c:pt idx="3">
                  <c:v>294.97606</c:v>
                </c:pt>
                <c:pt idx="4">
                  <c:v>297.23668</c:v>
                </c:pt>
                <c:pt idx="5">
                  <c:v>298.57603</c:v>
                </c:pt>
                <c:pt idx="6">
                  <c:v>300.50574</c:v>
                </c:pt>
                <c:pt idx="7">
                  <c:v>302.7674</c:v>
                </c:pt>
                <c:pt idx="8">
                  <c:v>305.13811</c:v>
                </c:pt>
                <c:pt idx="9">
                  <c:v>306.97131</c:v>
                </c:pt>
                <c:pt idx="10">
                  <c:v>309.18836</c:v>
                </c:pt>
                <c:pt idx="11">
                  <c:v>310.48345</c:v>
                </c:pt>
                <c:pt idx="12">
                  <c:v>311.97212</c:v>
                </c:pt>
                <c:pt idx="13">
                  <c:v>313.5625</c:v>
                </c:pt>
                <c:pt idx="14">
                  <c:v>314.68601</c:v>
                </c:pt>
                <c:pt idx="15">
                  <c:v>316.00413</c:v>
                </c:pt>
                <c:pt idx="16">
                  <c:v>317.23207</c:v>
                </c:pt>
                <c:pt idx="17">
                  <c:v>318.36874</c:v>
                </c:pt>
                <c:pt idx="18">
                  <c:v>319.75051</c:v>
                </c:pt>
                <c:pt idx="19">
                  <c:v>320.75103</c:v>
                </c:pt>
                <c:pt idx="20">
                  <c:v>321.65765</c:v>
                </c:pt>
                <c:pt idx="21">
                  <c:v>322.01648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"Sim_923"</c:f>
              <c:strCache>
                <c:ptCount val="1"/>
                <c:pt idx="0">
                  <c:v>Sim_923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'923K'!$B$2:$B$280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1.9976580863321e-21</c:v>
                </c:pt>
                <c:pt idx="2" c:formatCode="0.00E+00">
                  <c:v>8.3470414830802e-19</c:v>
                </c:pt>
                <c:pt idx="3" c:formatCode="0.00E+00">
                  <c:v>2.4057483144833e-13</c:v>
                </c:pt>
                <c:pt idx="4" c:formatCode="0.00E+00">
                  <c:v>7.1450922529776e-10</c:v>
                </c:pt>
                <c:pt idx="5" c:formatCode="0.00E+00">
                  <c:v>2.145030330591e-5</c:v>
                </c:pt>
                <c:pt idx="6">
                  <c:v>0.00041694893074141</c:v>
                </c:pt>
                <c:pt idx="7">
                  <c:v>0.0010128051338546</c:v>
                </c:pt>
                <c:pt idx="8">
                  <c:v>0.0016194367361445</c:v>
                </c:pt>
                <c:pt idx="9">
                  <c:v>0.0022236723534006</c:v>
                </c:pt>
                <c:pt idx="10">
                  <c:v>0.0028275152493409</c:v>
                </c:pt>
                <c:pt idx="11">
                  <c:v>0.0034315426940108</c:v>
                </c:pt>
                <c:pt idx="12">
                  <c:v>0.0040359269018757</c:v>
                </c:pt>
                <c:pt idx="13">
                  <c:v>0.0046407787749649</c:v>
                </c:pt>
                <c:pt idx="14">
                  <c:v>0.0052461319126971</c:v>
                </c:pt>
                <c:pt idx="15">
                  <c:v>0.0058519384987292</c:v>
                </c:pt>
                <c:pt idx="16">
                  <c:v>0.0064580980561857</c:v>
                </c:pt>
                <c:pt idx="17">
                  <c:v>0.0070644818515668</c:v>
                </c:pt>
                <c:pt idx="18">
                  <c:v>0.0076709998070894</c:v>
                </c:pt>
                <c:pt idx="19">
                  <c:v>0.0082775696338343</c:v>
                </c:pt>
                <c:pt idx="20">
                  <c:v>0.0088841838232816</c:v>
                </c:pt>
                <c:pt idx="21">
                  <c:v>0.0094908218649026</c:v>
                </c:pt>
                <c:pt idx="22">
                  <c:v>0.010097475813749</c:v>
                </c:pt>
                <c:pt idx="23">
                  <c:v>0.010704113344034</c:v>
                </c:pt>
                <c:pt idx="24">
                  <c:v>0.011310735664348</c:v>
                </c:pt>
                <c:pt idx="25">
                  <c:v>0.01191730705987</c:v>
                </c:pt>
                <c:pt idx="26">
                  <c:v>0.012523806225538</c:v>
                </c:pt>
                <c:pt idx="27">
                  <c:v>0.013130227235826</c:v>
                </c:pt>
                <c:pt idx="28">
                  <c:v>0.013736559259472</c:v>
                </c:pt>
                <c:pt idx="29">
                  <c:v>0.01434279657423</c:v>
                </c:pt>
                <c:pt idx="30">
                  <c:v>0.014948934656153</c:v>
                </c:pt>
                <c:pt idx="31">
                  <c:v>0.015554970342874</c:v>
                </c:pt>
                <c:pt idx="32">
                  <c:v>0.016160913545216</c:v>
                </c:pt>
                <c:pt idx="33">
                  <c:v>0.016766765688697</c:v>
                </c:pt>
                <c:pt idx="34">
                  <c:v>0.017372525492591</c:v>
                </c:pt>
                <c:pt idx="35">
                  <c:v>0.017978202737755</c:v>
                </c:pt>
                <c:pt idx="36">
                  <c:v>0.018583800135392</c:v>
                </c:pt>
                <c:pt idx="37">
                  <c:v>0.019189319833137</c:v>
                </c:pt>
                <c:pt idx="38">
                  <c:v>0.01979476685498</c:v>
                </c:pt>
                <c:pt idx="39">
                  <c:v>0.020400146442959</c:v>
                </c:pt>
                <c:pt idx="40">
                  <c:v>0.021005462792414</c:v>
                </c:pt>
                <c:pt idx="41">
                  <c:v>0.021610715501036</c:v>
                </c:pt>
                <c:pt idx="42">
                  <c:v>0.02221591396023</c:v>
                </c:pt>
                <c:pt idx="43">
                  <c:v>0.022821056905004</c:v>
                </c:pt>
                <c:pt idx="44">
                  <c:v>0.0234261532113</c:v>
                </c:pt>
                <c:pt idx="45">
                  <c:v>0.0240311995348</c:v>
                </c:pt>
                <c:pt idx="46">
                  <c:v>0.024636202970525</c:v>
                </c:pt>
                <c:pt idx="47">
                  <c:v>0.025241156018145</c:v>
                </c:pt>
                <c:pt idx="48">
                  <c:v>0.025846073016901</c:v>
                </c:pt>
                <c:pt idx="49">
                  <c:v>0.026450960588548</c:v>
                </c:pt>
                <c:pt idx="50">
                  <c:v>0.027055814790133</c:v>
                </c:pt>
                <c:pt idx="51">
                  <c:v>0.027660637357696</c:v>
                </c:pt>
                <c:pt idx="52">
                  <c:v>0.028265423745195</c:v>
                </c:pt>
                <c:pt idx="53">
                  <c:v>0.028870189767793</c:v>
                </c:pt>
                <c:pt idx="54">
                  <c:v>0.029474931484444</c:v>
                </c:pt>
                <c:pt idx="55">
                  <c:v>0.030079653318191</c:v>
                </c:pt>
              </c:numCache>
            </c:numRef>
          </c:xVal>
          <c:yVal>
            <c:numRef>
              <c:f>'923K'!$N$2:$N$230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1.567979671108</c:v>
                </c:pt>
                <c:pt idx="2">
                  <c:v>11.198913666838</c:v>
                </c:pt>
                <c:pt idx="3">
                  <c:v>60.81262906788</c:v>
                </c:pt>
                <c:pt idx="4">
                  <c:v>125.92036968485</c:v>
                </c:pt>
                <c:pt idx="5">
                  <c:v>244.6181802847</c:v>
                </c:pt>
                <c:pt idx="6">
                  <c:v>295.54122543105</c:v>
                </c:pt>
                <c:pt idx="7">
                  <c:v>308.58261880694</c:v>
                </c:pt>
                <c:pt idx="8">
                  <c:v>314.95973560066</c:v>
                </c:pt>
                <c:pt idx="9">
                  <c:v>318.87245994559</c:v>
                </c:pt>
                <c:pt idx="10">
                  <c:v>321.5925392827</c:v>
                </c:pt>
                <c:pt idx="11">
                  <c:v>323.68707960359</c:v>
                </c:pt>
                <c:pt idx="12">
                  <c:v>325.42609224734</c:v>
                </c:pt>
                <c:pt idx="13">
                  <c:v>326.95040391857</c:v>
                </c:pt>
                <c:pt idx="14">
                  <c:v>328.33772557042</c:v>
                </c:pt>
                <c:pt idx="15">
                  <c:v>329.63380062882</c:v>
                </c:pt>
                <c:pt idx="16">
                  <c:v>330.86437850933</c:v>
                </c:pt>
                <c:pt idx="17">
                  <c:v>332.04776035467</c:v>
                </c:pt>
                <c:pt idx="18">
                  <c:v>333.19139273567</c:v>
                </c:pt>
                <c:pt idx="19">
                  <c:v>334.30535946684</c:v>
                </c:pt>
                <c:pt idx="20">
                  <c:v>335.39177483592</c:v>
                </c:pt>
                <c:pt idx="21">
                  <c:v>336.45737748623</c:v>
                </c:pt>
                <c:pt idx="22">
                  <c:v>337.50413504236</c:v>
                </c:pt>
                <c:pt idx="23">
                  <c:v>338.53719702063</c:v>
                </c:pt>
                <c:pt idx="24">
                  <c:v>339.55401093736</c:v>
                </c:pt>
                <c:pt idx="25">
                  <c:v>340.55926334027</c:v>
                </c:pt>
                <c:pt idx="26">
                  <c:v>341.55414978221</c:v>
                </c:pt>
                <c:pt idx="27">
                  <c:v>342.53782900627</c:v>
                </c:pt>
                <c:pt idx="28">
                  <c:v>343.51084972782</c:v>
                </c:pt>
                <c:pt idx="29">
                  <c:v>344.47396868878</c:v>
                </c:pt>
                <c:pt idx="30">
                  <c:v>345.42858223268</c:v>
                </c:pt>
                <c:pt idx="31">
                  <c:v>346.37617883763</c:v>
                </c:pt>
                <c:pt idx="32">
                  <c:v>347.31574267727</c:v>
                </c:pt>
                <c:pt idx="33">
                  <c:v>348.24820278239</c:v>
                </c:pt>
                <c:pt idx="34">
                  <c:v>349.17505014769</c:v>
                </c:pt>
                <c:pt idx="35">
                  <c:v>350.09522113106</c:v>
                </c:pt>
                <c:pt idx="36">
                  <c:v>351.00923576782</c:v>
                </c:pt>
                <c:pt idx="37">
                  <c:v>351.91818091038</c:v>
                </c:pt>
                <c:pt idx="38">
                  <c:v>352.82162142424</c:v>
                </c:pt>
                <c:pt idx="39">
                  <c:v>353.72015970555</c:v>
                </c:pt>
                <c:pt idx="40">
                  <c:v>354.61345661649</c:v>
                </c:pt>
                <c:pt idx="41">
                  <c:v>355.50256172516</c:v>
                </c:pt>
                <c:pt idx="42">
                  <c:v>356.38617036302</c:v>
                </c:pt>
                <c:pt idx="43">
                  <c:v>357.26538028927</c:v>
                </c:pt>
                <c:pt idx="44">
                  <c:v>358.13947761264</c:v>
                </c:pt>
                <c:pt idx="45">
                  <c:v>359.00968300447</c:v>
                </c:pt>
                <c:pt idx="46">
                  <c:v>359.87543155047</c:v>
                </c:pt>
                <c:pt idx="47">
                  <c:v>360.73771340326</c:v>
                </c:pt>
                <c:pt idx="48">
                  <c:v>361.59659354228</c:v>
                </c:pt>
                <c:pt idx="49">
                  <c:v>362.45047070483</c:v>
                </c:pt>
                <c:pt idx="50">
                  <c:v>363.30065281524</c:v>
                </c:pt>
                <c:pt idx="51">
                  <c:v>364.14745885944</c:v>
                </c:pt>
                <c:pt idx="52">
                  <c:v>364.99228107889</c:v>
                </c:pt>
                <c:pt idx="53">
                  <c:v>365.83194724167</c:v>
                </c:pt>
                <c:pt idx="54">
                  <c:v>366.66837145744</c:v>
                </c:pt>
                <c:pt idx="55">
                  <c:v>367.50094613616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Exp!$P$2</c:f>
              <c:strCache>
                <c:ptCount val="1"/>
                <c:pt idx="0">
                  <c:v>673K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Exp!$P$3:$P$19</c:f>
              <c:numCache>
                <c:formatCode>General</c:formatCode>
                <c:ptCount val="17"/>
                <c:pt idx="0">
                  <c:v>0.003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</c:numCache>
            </c:numRef>
          </c:xVal>
          <c:yVal>
            <c:numRef>
              <c:f>Exp!$Q$3:$Q$19</c:f>
              <c:numCache>
                <c:formatCode>General</c:formatCode>
                <c:ptCount val="17"/>
                <c:pt idx="0">
                  <c:v>462.167963485811</c:v>
                </c:pt>
                <c:pt idx="1">
                  <c:v>516.303040216597</c:v>
                </c:pt>
                <c:pt idx="2">
                  <c:v>535.926310003873</c:v>
                </c:pt>
                <c:pt idx="3">
                  <c:v>550.299910236815</c:v>
                </c:pt>
                <c:pt idx="4">
                  <c:v>561.713889963145</c:v>
                </c:pt>
                <c:pt idx="5">
                  <c:v>571.215308290564</c:v>
                </c:pt>
                <c:pt idx="6">
                  <c:v>579.373920694223</c:v>
                </c:pt>
                <c:pt idx="7">
                  <c:v>586.535363184391</c:v>
                </c:pt>
                <c:pt idx="8">
                  <c:v>592.925643555112</c:v>
                </c:pt>
                <c:pt idx="9">
                  <c:v>598.700916221245</c:v>
                </c:pt>
                <c:pt idx="10">
                  <c:v>603.973730731917</c:v>
                </c:pt>
                <c:pt idx="11">
                  <c:v>608.827971933541</c:v>
                </c:pt>
                <c:pt idx="12">
                  <c:v>613.327886146323</c:v>
                </c:pt>
                <c:pt idx="13">
                  <c:v>617.523802334824</c:v>
                </c:pt>
                <c:pt idx="14">
                  <c:v>621.455904446707</c:v>
                </c:pt>
                <c:pt idx="15">
                  <c:v>625.156802438509</c:v>
                </c:pt>
                <c:pt idx="16">
                  <c:v>628.653334582081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"Sim_673K"</c:f>
              <c:strCache>
                <c:ptCount val="1"/>
                <c:pt idx="0">
                  <c:v>Sim_673K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'673K'!$K$2:$K$280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7.749213245188e-6</c:v>
                </c:pt>
                <c:pt idx="2" c:formatCode="0.00E+00">
                  <c:v>5.5330615847005e-5</c:v>
                </c:pt>
                <c:pt idx="3">
                  <c:v>0.00029995430434372</c:v>
                </c:pt>
                <c:pt idx="4">
                  <c:v>0.00061985965497356</c:v>
                </c:pt>
                <c:pt idx="5">
                  <c:v>0.0012192995235674</c:v>
                </c:pt>
                <c:pt idx="6">
                  <c:v>0.0018183742982909</c:v>
                </c:pt>
                <c:pt idx="7">
                  <c:v>0.0024170842017577</c:v>
                </c:pt>
                <c:pt idx="8">
                  <c:v>0.0030154305915807</c:v>
                </c:pt>
                <c:pt idx="9">
                  <c:v>0.0036134111351229</c:v>
                </c:pt>
                <c:pt idx="10">
                  <c:v>0.0042110262478079</c:v>
                </c:pt>
                <c:pt idx="11">
                  <c:v>0.0048082774044137</c:v>
                </c:pt>
                <c:pt idx="12">
                  <c:v>0.0054051655228865</c:v>
                </c:pt>
                <c:pt idx="13">
                  <c:v>0.0060016920714953</c:v>
                </c:pt>
                <c:pt idx="14">
                  <c:v>0.0065978579390583</c:v>
                </c:pt>
                <c:pt idx="15">
                  <c:v>0.007193663332216</c:v>
                </c:pt>
                <c:pt idx="16">
                  <c:v>0.0077891085169409</c:v>
                </c:pt>
                <c:pt idx="17">
                  <c:v>0.0083841940013684</c:v>
                </c:pt>
                <c:pt idx="18">
                  <c:v>0.0089789202433828</c:v>
                </c:pt>
                <c:pt idx="19">
                  <c:v>0.0095732875753165</c:v>
                </c:pt>
                <c:pt idx="20">
                  <c:v>0.010167296397758</c:v>
                </c:pt>
                <c:pt idx="21">
                  <c:v>0.010760947293878</c:v>
                </c:pt>
                <c:pt idx="22">
                  <c:v>0.011354240915738</c:v>
                </c:pt>
                <c:pt idx="23">
                  <c:v>0.011947177833823</c:v>
                </c:pt>
                <c:pt idx="24">
                  <c:v>0.012539758717876</c:v>
                </c:pt>
                <c:pt idx="25">
                  <c:v>0.013131984152864</c:v>
                </c:pt>
                <c:pt idx="26">
                  <c:v>0.013723854504849</c:v>
                </c:pt>
                <c:pt idx="27">
                  <c:v>0.01431537011012</c:v>
                </c:pt>
                <c:pt idx="28">
                  <c:v>0.014906531282895</c:v>
                </c:pt>
                <c:pt idx="29">
                  <c:v>0.015497338318262</c:v>
                </c:pt>
                <c:pt idx="30">
                  <c:v>0.01608779151754</c:v>
                </c:pt>
                <c:pt idx="31">
                  <c:v>0.016677891196192</c:v>
                </c:pt>
                <c:pt idx="32">
                  <c:v>0.017267637690933</c:v>
                </c:pt>
                <c:pt idx="33">
                  <c:v>0.017857031358844</c:v>
                </c:pt>
                <c:pt idx="34">
                  <c:v>0.018446072582754</c:v>
                </c:pt>
                <c:pt idx="35">
                  <c:v>0.01903476175425</c:v>
                </c:pt>
                <c:pt idx="36">
                  <c:v>0.019623099268849</c:v>
                </c:pt>
                <c:pt idx="37">
                  <c:v>0.020211085525833</c:v>
                </c:pt>
                <c:pt idx="38">
                  <c:v>0.020798720931211</c:v>
                </c:pt>
                <c:pt idx="39">
                  <c:v>0.02138600590133</c:v>
                </c:pt>
                <c:pt idx="40">
                  <c:v>0.021972940838305</c:v>
                </c:pt>
                <c:pt idx="41">
                  <c:v>0.022559526150357</c:v>
                </c:pt>
                <c:pt idx="42">
                  <c:v>0.023145762244713</c:v>
                </c:pt>
                <c:pt idx="43">
                  <c:v>0.023731649514971</c:v>
                </c:pt>
                <c:pt idx="44">
                  <c:v>0.024317188331723</c:v>
                </c:pt>
                <c:pt idx="45">
                  <c:v>0.02490237905975</c:v>
                </c:pt>
                <c:pt idx="46">
                  <c:v>0.025487222067718</c:v>
                </c:pt>
                <c:pt idx="47">
                  <c:v>0.026071717724415</c:v>
                </c:pt>
                <c:pt idx="48">
                  <c:v>0.026655866426396</c:v>
                </c:pt>
                <c:pt idx="49">
                  <c:v>0.027239668569237</c:v>
                </c:pt>
                <c:pt idx="50">
                  <c:v>0.02782312456656</c:v>
                </c:pt>
                <c:pt idx="51">
                  <c:v>0.028406234838802</c:v>
                </c:pt>
                <c:pt idx="52">
                  <c:v>0.028988999805859</c:v>
                </c:pt>
                <c:pt idx="53">
                  <c:v>0.029571419889056</c:v>
                </c:pt>
                <c:pt idx="54">
                  <c:v>0.030153495509139</c:v>
                </c:pt>
                <c:pt idx="55">
                  <c:v>0.030735227059969</c:v>
                </c:pt>
                <c:pt idx="56">
                  <c:v>0.031316614963868</c:v>
                </c:pt>
                <c:pt idx="57">
                  <c:v>0.031897659606623</c:v>
                </c:pt>
                <c:pt idx="58">
                  <c:v>0.032478361393387</c:v>
                </c:pt>
                <c:pt idx="59">
                  <c:v>0.033058720716435</c:v>
                </c:pt>
                <c:pt idx="60">
                  <c:v>0.033638737976323</c:v>
                </c:pt>
                <c:pt idx="61">
                  <c:v>0.03421841356241</c:v>
                </c:pt>
                <c:pt idx="62">
                  <c:v>0.034797747883123</c:v>
                </c:pt>
                <c:pt idx="63">
                  <c:v>0.035376741341346</c:v>
                </c:pt>
                <c:pt idx="64">
                  <c:v>0.035955394326856</c:v>
                </c:pt>
                <c:pt idx="65">
                  <c:v>0.036533707233128</c:v>
                </c:pt>
                <c:pt idx="66">
                  <c:v>0.037111680465691</c:v>
                </c:pt>
                <c:pt idx="67">
                  <c:v>0.037689314420093</c:v>
                </c:pt>
                <c:pt idx="68">
                  <c:v>0.038266609487342</c:v>
                </c:pt>
                <c:pt idx="69">
                  <c:v>0.038843566062464</c:v>
                </c:pt>
                <c:pt idx="70">
                  <c:v>0.039420184535954</c:v>
                </c:pt>
                <c:pt idx="71">
                  <c:v>0.039996465293477</c:v>
                </c:pt>
                <c:pt idx="72">
                  <c:v>0.040572408740103</c:v>
                </c:pt>
                <c:pt idx="73">
                  <c:v>0.041148015252305</c:v>
                </c:pt>
                <c:pt idx="74">
                  <c:v>0.041723285232476</c:v>
                </c:pt>
                <c:pt idx="75">
                  <c:v>0.042298219090278</c:v>
                </c:pt>
                <c:pt idx="76">
                  <c:v>0.042872817193202</c:v>
                </c:pt>
                <c:pt idx="77">
                  <c:v>0.043447079949836</c:v>
                </c:pt>
                <c:pt idx="78">
                  <c:v>0.044021007751858</c:v>
                </c:pt>
                <c:pt idx="79">
                  <c:v>0.044594601012891</c:v>
                </c:pt>
                <c:pt idx="80">
                  <c:v>0.045167860120966</c:v>
                </c:pt>
                <c:pt idx="81">
                  <c:v>0.045740785469777</c:v>
                </c:pt>
                <c:pt idx="82">
                  <c:v>0.046313377451734</c:v>
                </c:pt>
                <c:pt idx="83">
                  <c:v>0.046885636462666</c:v>
                </c:pt>
                <c:pt idx="84">
                  <c:v>0.047457562893532</c:v>
                </c:pt>
                <c:pt idx="85">
                  <c:v>0.048029157127796</c:v>
                </c:pt>
                <c:pt idx="86">
                  <c:v>0.048600419540219</c:v>
                </c:pt>
                <c:pt idx="87">
                  <c:v>0.049171350523451</c:v>
                </c:pt>
                <c:pt idx="88">
                  <c:v>0.049722883742417</c:v>
                </c:pt>
              </c:numCache>
            </c:numRef>
          </c:xVal>
          <c:yVal>
            <c:numRef>
              <c:f>'673K'!$N$2:$N$230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1.714023442138</c:v>
                </c:pt>
                <c:pt idx="2">
                  <c:v>12.241923210628</c:v>
                </c:pt>
                <c:pt idx="3">
                  <c:v>66.47417898324</c:v>
                </c:pt>
                <c:pt idx="4">
                  <c:v>137.63796568834</c:v>
                </c:pt>
                <c:pt idx="5">
                  <c:v>271.83674080884</c:v>
                </c:pt>
                <c:pt idx="6">
                  <c:v>393.62154482913</c:v>
                </c:pt>
                <c:pt idx="7">
                  <c:v>437.70097422713</c:v>
                </c:pt>
                <c:pt idx="8">
                  <c:v>455.21081239218</c:v>
                </c:pt>
                <c:pt idx="9">
                  <c:v>465.54923493265</c:v>
                </c:pt>
                <c:pt idx="10">
                  <c:v>472.24471718026</c:v>
                </c:pt>
                <c:pt idx="11">
                  <c:v>476.93215312134</c:v>
                </c:pt>
                <c:pt idx="12">
                  <c:v>480.59004139473</c:v>
                </c:pt>
                <c:pt idx="13">
                  <c:v>483.63724026551</c:v>
                </c:pt>
                <c:pt idx="14">
                  <c:v>486.30720471608</c:v>
                </c:pt>
                <c:pt idx="15">
                  <c:v>488.72288598714</c:v>
                </c:pt>
                <c:pt idx="16">
                  <c:v>490.95839395142</c:v>
                </c:pt>
                <c:pt idx="17">
                  <c:v>493.05927886199</c:v>
                </c:pt>
                <c:pt idx="18">
                  <c:v>495.06092200976</c:v>
                </c:pt>
                <c:pt idx="19">
                  <c:v>496.99083844958</c:v>
                </c:pt>
                <c:pt idx="20">
                  <c:v>498.8669139213</c:v>
                </c:pt>
                <c:pt idx="21">
                  <c:v>500.69476028786</c:v>
                </c:pt>
                <c:pt idx="22">
                  <c:v>502.48465038839</c:v>
                </c:pt>
                <c:pt idx="23">
                  <c:v>504.24042200897</c:v>
                </c:pt>
                <c:pt idx="24">
                  <c:v>505.96464521965</c:v>
                </c:pt>
                <c:pt idx="25">
                  <c:v>507.65996435401</c:v>
                </c:pt>
                <c:pt idx="26">
                  <c:v>509.32914691386</c:v>
                </c:pt>
                <c:pt idx="27">
                  <c:v>510.97631743357</c:v>
                </c:pt>
                <c:pt idx="28">
                  <c:v>512.60470147288</c:v>
                </c:pt>
                <c:pt idx="29">
                  <c:v>514.21452802023</c:v>
                </c:pt>
                <c:pt idx="30">
                  <c:v>515.80829068851</c:v>
                </c:pt>
                <c:pt idx="31">
                  <c:v>517.38708545233</c:v>
                </c:pt>
                <c:pt idx="32">
                  <c:v>518.95261077338</c:v>
                </c:pt>
                <c:pt idx="33">
                  <c:v>520.50508323726</c:v>
                </c:pt>
                <c:pt idx="34">
                  <c:v>522.04512570696</c:v>
                </c:pt>
                <c:pt idx="35">
                  <c:v>523.57347996746</c:v>
                </c:pt>
                <c:pt idx="36">
                  <c:v>525.0909215591</c:v>
                </c:pt>
                <c:pt idx="37">
                  <c:v>526.59802610396</c:v>
                </c:pt>
                <c:pt idx="38">
                  <c:v>528.0950025512</c:v>
                </c:pt>
                <c:pt idx="39">
                  <c:v>529.58308868035</c:v>
                </c:pt>
                <c:pt idx="40">
                  <c:v>531.06095279797</c:v>
                </c:pt>
                <c:pt idx="41">
                  <c:v>532.52917137219</c:v>
                </c:pt>
                <c:pt idx="42">
                  <c:v>533.98850146734</c:v>
                </c:pt>
                <c:pt idx="43">
                  <c:v>535.43877224921</c:v>
                </c:pt>
                <c:pt idx="44">
                  <c:v>536.88047091906</c:v>
                </c:pt>
                <c:pt idx="45">
                  <c:v>538.31389448437</c:v>
                </c:pt>
                <c:pt idx="46">
                  <c:v>539.73880107525</c:v>
                </c:pt>
                <c:pt idx="47">
                  <c:v>541.15632525494</c:v>
                </c:pt>
                <c:pt idx="48">
                  <c:v>542.56675179569</c:v>
                </c:pt>
                <c:pt idx="49">
                  <c:v>543.96927183841</c:v>
                </c:pt>
                <c:pt idx="50">
                  <c:v>545.36472647401</c:v>
                </c:pt>
                <c:pt idx="51">
                  <c:v>546.7531601707</c:v>
                </c:pt>
                <c:pt idx="52">
                  <c:v>548.13459156697</c:v>
                </c:pt>
                <c:pt idx="53">
                  <c:v>549.50906956245</c:v>
                </c:pt>
                <c:pt idx="54">
                  <c:v>550.87791042482</c:v>
                </c:pt>
                <c:pt idx="55">
                  <c:v>552.24009246943</c:v>
                </c:pt>
                <c:pt idx="56">
                  <c:v>553.59604072134</c:v>
                </c:pt>
                <c:pt idx="57">
                  <c:v>554.94565440008</c:v>
                </c:pt>
                <c:pt idx="58">
                  <c:v>556.28852353839</c:v>
                </c:pt>
                <c:pt idx="59">
                  <c:v>557.62608280405</c:v>
                </c:pt>
                <c:pt idx="60">
                  <c:v>558.9572130346</c:v>
                </c:pt>
                <c:pt idx="61">
                  <c:v>560.28286236158</c:v>
                </c:pt>
                <c:pt idx="62">
                  <c:v>561.60294639407</c:v>
                </c:pt>
                <c:pt idx="63">
                  <c:v>562.91817493148</c:v>
                </c:pt>
                <c:pt idx="64">
                  <c:v>564.2277832511</c:v>
                </c:pt>
                <c:pt idx="65">
                  <c:v>565.5315958132</c:v>
                </c:pt>
                <c:pt idx="66">
                  <c:v>566.82997943808</c:v>
                </c:pt>
                <c:pt idx="67">
                  <c:v>568.12313697556</c:v>
                </c:pt>
                <c:pt idx="68">
                  <c:v>569.41074072003</c:v>
                </c:pt>
                <c:pt idx="69">
                  <c:v>570.69326081983</c:v>
                </c:pt>
                <c:pt idx="70">
                  <c:v>571.97068675301</c:v>
                </c:pt>
                <c:pt idx="71">
                  <c:v>573.24260390409</c:v>
                </c:pt>
                <c:pt idx="72">
                  <c:v>574.51064467784</c:v>
                </c:pt>
                <c:pt idx="73">
                  <c:v>575.77287117164</c:v>
                </c:pt>
                <c:pt idx="74">
                  <c:v>577.0304111441</c:v>
                </c:pt>
                <c:pt idx="75">
                  <c:v>578.28361375129</c:v>
                </c:pt>
                <c:pt idx="76">
                  <c:v>579.53195540026</c:v>
                </c:pt>
                <c:pt idx="77">
                  <c:v>580.77523460032</c:v>
                </c:pt>
                <c:pt idx="78">
                  <c:v>582.01365878388</c:v>
                </c:pt>
                <c:pt idx="79">
                  <c:v>583.24800805791</c:v>
                </c:pt>
                <c:pt idx="80">
                  <c:v>584.47714163835</c:v>
                </c:pt>
                <c:pt idx="81">
                  <c:v>585.70169370764</c:v>
                </c:pt>
                <c:pt idx="82">
                  <c:v>586.92281717898</c:v>
                </c:pt>
                <c:pt idx="83">
                  <c:v>588.13869379467</c:v>
                </c:pt>
                <c:pt idx="84">
                  <c:v>589.35034859365</c:v>
                </c:pt>
                <c:pt idx="85">
                  <c:v>590.55774371709</c:v>
                </c:pt>
                <c:pt idx="86">
                  <c:v>591.76129828309</c:v>
                </c:pt>
                <c:pt idx="87">
                  <c:v>592.95990504681</c:v>
                </c:pt>
                <c:pt idx="88">
                  <c:v>594.13729149477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Exp!$M$2</c:f>
              <c:strCache>
                <c:ptCount val="1"/>
                <c:pt idx="0">
                  <c:v>723K 2014 Singh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Exp!$M$3:$M$30</c:f>
              <c:numCache>
                <c:formatCode>General</c:formatCode>
                <c:ptCount val="28"/>
                <c:pt idx="0">
                  <c:v>0.00231</c:v>
                </c:pt>
                <c:pt idx="1">
                  <c:v>0.00259</c:v>
                </c:pt>
                <c:pt idx="2">
                  <c:v>0.00291</c:v>
                </c:pt>
                <c:pt idx="3">
                  <c:v>0.00324</c:v>
                </c:pt>
                <c:pt idx="4">
                  <c:v>0.00363</c:v>
                </c:pt>
                <c:pt idx="5">
                  <c:v>0.00406</c:v>
                </c:pt>
                <c:pt idx="6">
                  <c:v>0.00454</c:v>
                </c:pt>
                <c:pt idx="7">
                  <c:v>0.00508</c:v>
                </c:pt>
                <c:pt idx="8">
                  <c:v>0.00568</c:v>
                </c:pt>
                <c:pt idx="9">
                  <c:v>0.00635</c:v>
                </c:pt>
                <c:pt idx="10">
                  <c:v>0.00711</c:v>
                </c:pt>
                <c:pt idx="11">
                  <c:v>0.00795</c:v>
                </c:pt>
                <c:pt idx="12">
                  <c:v>0.00889</c:v>
                </c:pt>
                <c:pt idx="13">
                  <c:v>0.00995</c:v>
                </c:pt>
                <c:pt idx="14">
                  <c:v>0.01113</c:v>
                </c:pt>
                <c:pt idx="15">
                  <c:v>0.01245</c:v>
                </c:pt>
                <c:pt idx="16">
                  <c:v>0.01392</c:v>
                </c:pt>
                <c:pt idx="17">
                  <c:v>0.01558</c:v>
                </c:pt>
                <c:pt idx="18">
                  <c:v>0.01742</c:v>
                </c:pt>
                <c:pt idx="19">
                  <c:v>0.01949</c:v>
                </c:pt>
                <c:pt idx="20">
                  <c:v>0.0218</c:v>
                </c:pt>
                <c:pt idx="21">
                  <c:v>0.02439</c:v>
                </c:pt>
                <c:pt idx="22">
                  <c:v>0.02728</c:v>
                </c:pt>
                <c:pt idx="23">
                  <c:v>0.03052</c:v>
                </c:pt>
                <c:pt idx="24">
                  <c:v>0.03414</c:v>
                </c:pt>
                <c:pt idx="25">
                  <c:v>0.03819</c:v>
                </c:pt>
                <c:pt idx="26">
                  <c:v>0.04272</c:v>
                </c:pt>
                <c:pt idx="27">
                  <c:v>0.04779</c:v>
                </c:pt>
              </c:numCache>
            </c:numRef>
          </c:xVal>
          <c:yVal>
            <c:numRef>
              <c:f>Exp!$N$3:$N$31</c:f>
              <c:numCache>
                <c:formatCode>General</c:formatCode>
                <c:ptCount val="29"/>
                <c:pt idx="0">
                  <c:v>448.23921</c:v>
                </c:pt>
                <c:pt idx="1">
                  <c:v>452.40283</c:v>
                </c:pt>
                <c:pt idx="2">
                  <c:v>457.36345</c:v>
                </c:pt>
                <c:pt idx="3">
                  <c:v>460.4656</c:v>
                </c:pt>
                <c:pt idx="4">
                  <c:v>465.00311</c:v>
                </c:pt>
                <c:pt idx="5">
                  <c:v>468.78553</c:v>
                </c:pt>
                <c:pt idx="6">
                  <c:v>472.95524</c:v>
                </c:pt>
                <c:pt idx="7">
                  <c:v>476.58667</c:v>
                </c:pt>
                <c:pt idx="8">
                  <c:v>480.02872</c:v>
                </c:pt>
                <c:pt idx="9">
                  <c:v>483.95422</c:v>
                </c:pt>
                <c:pt idx="10">
                  <c:v>489.56507</c:v>
                </c:pt>
                <c:pt idx="11">
                  <c:v>493.47286</c:v>
                </c:pt>
                <c:pt idx="12">
                  <c:v>497.712</c:v>
                </c:pt>
                <c:pt idx="13">
                  <c:v>502.21475</c:v>
                </c:pt>
                <c:pt idx="14">
                  <c:v>505.8419</c:v>
                </c:pt>
                <c:pt idx="15">
                  <c:v>510.57218</c:v>
                </c:pt>
                <c:pt idx="16">
                  <c:v>514.88056</c:v>
                </c:pt>
                <c:pt idx="17">
                  <c:v>519.46027</c:v>
                </c:pt>
                <c:pt idx="18">
                  <c:v>524.23883</c:v>
                </c:pt>
                <c:pt idx="19">
                  <c:v>529.30078</c:v>
                </c:pt>
                <c:pt idx="20">
                  <c:v>534.65347</c:v>
                </c:pt>
                <c:pt idx="21">
                  <c:v>539.97884</c:v>
                </c:pt>
                <c:pt idx="22">
                  <c:v>545.275</c:v>
                </c:pt>
                <c:pt idx="23">
                  <c:v>551.20474</c:v>
                </c:pt>
                <c:pt idx="24">
                  <c:v>557.03091</c:v>
                </c:pt>
                <c:pt idx="25">
                  <c:v>562.57917</c:v>
                </c:pt>
                <c:pt idx="26">
                  <c:v>568.52557</c:v>
                </c:pt>
                <c:pt idx="27">
                  <c:v>574.01515</c:v>
                </c:pt>
                <c:pt idx="28">
                  <c:v>579.82002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Exp!$S$2</c:f>
              <c:strCache>
                <c:ptCount val="1"/>
                <c:pt idx="0">
                  <c:v>573K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Exp!$S$3:$S$19</c:f>
              <c:numCache>
                <c:formatCode>General</c:formatCode>
                <c:ptCount val="17"/>
                <c:pt idx="0">
                  <c:v>0.003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</c:numCache>
            </c:numRef>
          </c:xVal>
          <c:yVal>
            <c:numRef>
              <c:f>Exp!$T$3:$T$19</c:f>
              <c:numCache>
                <c:formatCode>General</c:formatCode>
                <c:ptCount val="17"/>
                <c:pt idx="0">
                  <c:v>474.289681235917</c:v>
                </c:pt>
                <c:pt idx="1">
                  <c:v>527.883459464422</c:v>
                </c:pt>
                <c:pt idx="2">
                  <c:v>547.26300261885</c:v>
                </c:pt>
                <c:pt idx="3">
                  <c:v>561.442961094595</c:v>
                </c:pt>
                <c:pt idx="4">
                  <c:v>572.694325207371</c:v>
                </c:pt>
                <c:pt idx="5">
                  <c:v>582.05453339944</c:v>
                </c:pt>
                <c:pt idx="6">
                  <c:v>590.087730607861</c:v>
                </c:pt>
                <c:pt idx="7">
                  <c:v>597.135964219224</c:v>
                </c:pt>
                <c:pt idx="8">
                  <c:v>603.422793279546</c:v>
                </c:pt>
                <c:pt idx="9">
                  <c:v>609.102619113544</c:v>
                </c:pt>
                <c:pt idx="10">
                  <c:v>614.28668876971</c:v>
                </c:pt>
                <c:pt idx="11">
                  <c:v>619.057890318952</c:v>
                </c:pt>
                <c:pt idx="12">
                  <c:v>623.479688622804</c:v>
                </c:pt>
                <c:pt idx="13">
                  <c:v>627.601787550224</c:v>
                </c:pt>
                <c:pt idx="14">
                  <c:v>631.463862454191</c:v>
                </c:pt>
                <c:pt idx="15">
                  <c:v>635.098103409913</c:v>
                </c:pt>
                <c:pt idx="16">
                  <c:v>638.530997640319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"Sim_573K"</c:f>
              <c:strCache>
                <c:ptCount val="1"/>
                <c:pt idx="0">
                  <c:v>Sim_573K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'573K'!$K$2:$K$280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7.7492133262395e-6</c:v>
                </c:pt>
                <c:pt idx="2" c:formatCode="0.00E+00">
                  <c:v>5.5330619976925e-5</c:v>
                </c:pt>
                <c:pt idx="3">
                  <c:v>0.00029995442567447</c:v>
                </c:pt>
                <c:pt idx="4">
                  <c:v>0.00061986017284069</c:v>
                </c:pt>
                <c:pt idx="5">
                  <c:v>0.0012193015256204</c:v>
                </c:pt>
                <c:pt idx="6">
                  <c:v>0.0018183789379284</c:v>
                </c:pt>
                <c:pt idx="7">
                  <c:v>0.002417091890809</c:v>
                </c:pt>
                <c:pt idx="8">
                  <c:v>0.0030154415516216</c:v>
                </c:pt>
                <c:pt idx="9">
                  <c:v>0.0036134265068695</c:v>
                </c:pt>
                <c:pt idx="10">
                  <c:v>0.0042110451620411</c:v>
                </c:pt>
                <c:pt idx="11">
                  <c:v>0.004808299140964</c:v>
                </c:pt>
                <c:pt idx="12">
                  <c:v>0.0054051894849694</c:v>
                </c:pt>
                <c:pt idx="13">
                  <c:v>0.0060017172733592</c:v>
                </c:pt>
                <c:pt idx="14">
                  <c:v>0.0065978842970681</c:v>
                </c:pt>
                <c:pt idx="15">
                  <c:v>0.0071936911747711</c:v>
                </c:pt>
                <c:pt idx="16">
                  <c:v>0.0077891378583315</c:v>
                </c:pt>
                <c:pt idx="17">
                  <c:v>0.0083842245690551</c:v>
                </c:pt>
                <c:pt idx="18">
                  <c:v>0.0089789518516936</c:v>
                </c:pt>
                <c:pt idx="19">
                  <c:v>0.009573320321733</c:v>
                </c:pt>
                <c:pt idx="20">
                  <c:v>0.010167330374142</c:v>
                </c:pt>
                <c:pt idx="21">
                  <c:v>0.010760982323798</c:v>
                </c:pt>
                <c:pt idx="22">
                  <c:v>0.011354276648813</c:v>
                </c:pt>
                <c:pt idx="23">
                  <c:v>0.011947213968572</c:v>
                </c:pt>
                <c:pt idx="24">
                  <c:v>0.012539794882969</c:v>
                </c:pt>
                <c:pt idx="25">
                  <c:v>0.013132019892085</c:v>
                </c:pt>
                <c:pt idx="26">
                  <c:v>0.013723889689729</c:v>
                </c:pt>
                <c:pt idx="27">
                  <c:v>0.014315404875768</c:v>
                </c:pt>
                <c:pt idx="28">
                  <c:v>0.014906565848315</c:v>
                </c:pt>
                <c:pt idx="29">
                  <c:v>0.015497373007485</c:v>
                </c:pt>
                <c:pt idx="30">
                  <c:v>0.016087826687951</c:v>
                </c:pt>
                <c:pt idx="31">
                  <c:v>0.016677927227846</c:v>
                </c:pt>
                <c:pt idx="32">
                  <c:v>0.017267674912842</c:v>
                </c:pt>
                <c:pt idx="33">
                  <c:v>0.017857070026623</c:v>
                </c:pt>
                <c:pt idx="34">
                  <c:v>0.018446112878899</c:v>
                </c:pt>
                <c:pt idx="35">
                  <c:v>0.019034803807169</c:v>
                </c:pt>
                <c:pt idx="36">
                  <c:v>0.019623143179107</c:v>
                </c:pt>
                <c:pt idx="37">
                  <c:v>0.020211131400762</c:v>
                </c:pt>
                <c:pt idx="38">
                  <c:v>0.020798768841921</c:v>
                </c:pt>
                <c:pt idx="39">
                  <c:v>0.021386055918605</c:v>
                </c:pt>
                <c:pt idx="40">
                  <c:v>0.021972993038085</c:v>
                </c:pt>
                <c:pt idx="41">
                  <c:v>0.022559580588777</c:v>
                </c:pt>
                <c:pt idx="42">
                  <c:v>0.023145818986624</c:v>
                </c:pt>
                <c:pt idx="43">
                  <c:v>0.023731708646354</c:v>
                </c:pt>
                <c:pt idx="44">
                  <c:v>0.024317249964782</c:v>
                </c:pt>
                <c:pt idx="45">
                  <c:v>0.024902443349568</c:v>
                </c:pt>
                <c:pt idx="46">
                  <c:v>0.025487289210023</c:v>
                </c:pt>
                <c:pt idx="47">
                  <c:v>0.026071787946525</c:v>
                </c:pt>
                <c:pt idx="48">
                  <c:v>0.026655939947839</c:v>
                </c:pt>
                <c:pt idx="49">
                  <c:v>0.027239745587088</c:v>
                </c:pt>
                <c:pt idx="50">
                  <c:v>0.027823205221974</c:v>
                </c:pt>
                <c:pt idx="51">
                  <c:v>0.028406319218299</c:v>
                </c:pt>
                <c:pt idx="52">
                  <c:v>0.02898908793098</c:v>
                </c:pt>
                <c:pt idx="53">
                  <c:v>0.029571511736456</c:v>
                </c:pt>
                <c:pt idx="54">
                  <c:v>0.030153591023367</c:v>
                </c:pt>
                <c:pt idx="55">
                  <c:v>0.030735326178075</c:v>
                </c:pt>
                <c:pt idx="56">
                  <c:v>0.031316717610947</c:v>
                </c:pt>
                <c:pt idx="57">
                  <c:v>0.031897765735337</c:v>
                </c:pt>
                <c:pt idx="58">
                  <c:v>0.032478470974126</c:v>
                </c:pt>
                <c:pt idx="59">
                  <c:v>0.03305883376043</c:v>
                </c:pt>
                <c:pt idx="60">
                  <c:v>0.033638854502016</c:v>
                </c:pt>
                <c:pt idx="61">
                  <c:v>0.034218533617103</c:v>
                </c:pt>
                <c:pt idx="62">
                  <c:v>0.034797871495183</c:v>
                </c:pt>
                <c:pt idx="63">
                  <c:v>0.03537686854659</c:v>
                </c:pt>
                <c:pt idx="64">
                  <c:v>0.035955525158246</c:v>
                </c:pt>
                <c:pt idx="65">
                  <c:v>0.036533841716318</c:v>
                </c:pt>
                <c:pt idx="66">
                  <c:v>0.037111818620782</c:v>
                </c:pt>
                <c:pt idx="67">
                  <c:v>0.037689456265864</c:v>
                </c:pt>
                <c:pt idx="68">
                  <c:v>0.038266755064253</c:v>
                </c:pt>
                <c:pt idx="69">
                  <c:v>0.038843715384337</c:v>
                </c:pt>
                <c:pt idx="70">
                  <c:v>0.039420337632666</c:v>
                </c:pt>
                <c:pt idx="71">
                  <c:v>0.039996622215853</c:v>
                </c:pt>
                <c:pt idx="72">
                  <c:v>0.04057256952362</c:v>
                </c:pt>
                <c:pt idx="73">
                  <c:v>0.041148179961225</c:v>
                </c:pt>
                <c:pt idx="74">
                  <c:v>0.041723453917649</c:v>
                </c:pt>
                <c:pt idx="75">
                  <c:v>0.042298391800482</c:v>
                </c:pt>
                <c:pt idx="76">
                  <c:v>0.042872994016005</c:v>
                </c:pt>
                <c:pt idx="77">
                  <c:v>0.043447260951476</c:v>
                </c:pt>
                <c:pt idx="78">
                  <c:v>0.044021193010267</c:v>
                </c:pt>
                <c:pt idx="79">
                  <c:v>0.04459479060045</c:v>
                </c:pt>
                <c:pt idx="80">
                  <c:v>0.045168054112633</c:v>
                </c:pt>
                <c:pt idx="81">
                  <c:v>0.045740983959311</c:v>
                </c:pt>
                <c:pt idx="82">
                  <c:v>0.046313580540969</c:v>
                </c:pt>
                <c:pt idx="83">
                  <c:v>0.046885844253623</c:v>
                </c:pt>
                <c:pt idx="84">
                  <c:v>0.047457775506202</c:v>
                </c:pt>
                <c:pt idx="85">
                  <c:v>0.048029374692281</c:v>
                </c:pt>
                <c:pt idx="86">
                  <c:v>0.048600642204435</c:v>
                </c:pt>
                <c:pt idx="87">
                  <c:v>0.049171578437413</c:v>
                </c:pt>
                <c:pt idx="88">
                  <c:v>0.04972311687529</c:v>
                </c:pt>
              </c:numCache>
            </c:numRef>
          </c:xVal>
          <c:yVal>
            <c:numRef>
              <c:f>'573K'!$N$2:$N$230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1.7694987586654</c:v>
                </c:pt>
                <c:pt idx="2">
                  <c:v>12.63811932424</c:v>
                </c:pt>
                <c:pt idx="3">
                  <c:v>68.6249120697</c:v>
                </c:pt>
                <c:pt idx="4">
                  <c:v>142.08960225838</c:v>
                </c:pt>
                <c:pt idx="5">
                  <c:v>280.62322067128</c:v>
                </c:pt>
                <c:pt idx="6">
                  <c:v>416.24673678504</c:v>
                </c:pt>
                <c:pt idx="7">
                  <c:v>482.86231650393</c:v>
                </c:pt>
                <c:pt idx="8">
                  <c:v>506.32324627201</c:v>
                </c:pt>
                <c:pt idx="9">
                  <c:v>519.98360823818</c:v>
                </c:pt>
                <c:pt idx="10">
                  <c:v>529.17042306872</c:v>
                </c:pt>
                <c:pt idx="11">
                  <c:v>535.50715444532</c:v>
                </c:pt>
                <c:pt idx="12">
                  <c:v>540.29778180294</c:v>
                </c:pt>
                <c:pt idx="13">
                  <c:v>544.20205133385</c:v>
                </c:pt>
                <c:pt idx="14">
                  <c:v>547.54277440035</c:v>
                </c:pt>
                <c:pt idx="15">
                  <c:v>550.52832007446</c:v>
                </c:pt>
                <c:pt idx="16">
                  <c:v>553.274899983</c:v>
                </c:pt>
                <c:pt idx="17">
                  <c:v>555.84535345298</c:v>
                </c:pt>
                <c:pt idx="18">
                  <c:v>558.27881883013</c:v>
                </c:pt>
                <c:pt idx="19">
                  <c:v>560.6034050776</c:v>
                </c:pt>
                <c:pt idx="20">
                  <c:v>562.84708862465</c:v>
                </c:pt>
                <c:pt idx="21">
                  <c:v>565.02742712743</c:v>
                </c:pt>
                <c:pt idx="22">
                  <c:v>567.15840326854</c:v>
                </c:pt>
                <c:pt idx="23">
                  <c:v>569.24290787127</c:v>
                </c:pt>
                <c:pt idx="24">
                  <c:v>571.29268634768</c:v>
                </c:pt>
                <c:pt idx="25">
                  <c:v>573.30597922169</c:v>
                </c:pt>
                <c:pt idx="26">
                  <c:v>575.28822065002</c:v>
                </c:pt>
                <c:pt idx="27">
                  <c:v>577.24157449405</c:v>
                </c:pt>
                <c:pt idx="28">
                  <c:v>579.16875326361</c:v>
                </c:pt>
                <c:pt idx="29">
                  <c:v>581.07318359323</c:v>
                </c:pt>
                <c:pt idx="30">
                  <c:v>582.95340101173</c:v>
                </c:pt>
                <c:pt idx="31">
                  <c:v>584.81590562398</c:v>
                </c:pt>
                <c:pt idx="32">
                  <c:v>586.66137318532</c:v>
                </c:pt>
                <c:pt idx="33">
                  <c:v>588.49034639622</c:v>
                </c:pt>
                <c:pt idx="34">
                  <c:v>590.30429144601</c:v>
                </c:pt>
                <c:pt idx="35">
                  <c:v>592.1038030755</c:v>
                </c:pt>
                <c:pt idx="36">
                  <c:v>593.8894164622</c:v>
                </c:pt>
                <c:pt idx="37">
                  <c:v>595.66433452498</c:v>
                </c:pt>
                <c:pt idx="38">
                  <c:v>597.42638384902</c:v>
                </c:pt>
                <c:pt idx="39">
                  <c:v>599.17709719659</c:v>
                </c:pt>
                <c:pt idx="40">
                  <c:v>600.91702249178</c:v>
                </c:pt>
                <c:pt idx="41">
                  <c:v>602.64496444837</c:v>
                </c:pt>
                <c:pt idx="42">
                  <c:v>604.36319516534</c:v>
                </c:pt>
                <c:pt idx="43">
                  <c:v>606.07186046847</c:v>
                </c:pt>
                <c:pt idx="44">
                  <c:v>607.77026706717</c:v>
                </c:pt>
                <c:pt idx="45">
                  <c:v>609.45879290128</c:v>
                </c:pt>
                <c:pt idx="46">
                  <c:v>611.13766114517</c:v>
                </c:pt>
                <c:pt idx="47">
                  <c:v>612.80686652514</c:v>
                </c:pt>
                <c:pt idx="48">
                  <c:v>614.46673628787</c:v>
                </c:pt>
                <c:pt idx="49">
                  <c:v>616.1181039215</c:v>
                </c:pt>
                <c:pt idx="50">
                  <c:v>617.76041953297</c:v>
                </c:pt>
                <c:pt idx="51">
                  <c:v>619.39441781573</c:v>
                </c:pt>
                <c:pt idx="52">
                  <c:v>621.01964827017</c:v>
                </c:pt>
                <c:pt idx="53">
                  <c:v>622.63729901384</c:v>
                </c:pt>
                <c:pt idx="54">
                  <c:v>624.24679568941</c:v>
                </c:pt>
                <c:pt idx="55">
                  <c:v>625.84836035057</c:v>
                </c:pt>
                <c:pt idx="56">
                  <c:v>627.44305932994</c:v>
                </c:pt>
                <c:pt idx="57">
                  <c:v>629.02967159674</c:v>
                </c:pt>
                <c:pt idx="58">
                  <c:v>630.6092608681</c:v>
                </c:pt>
                <c:pt idx="59">
                  <c:v>632.18198855778</c:v>
                </c:pt>
                <c:pt idx="60">
                  <c:v>633.74747588111</c:v>
                </c:pt>
                <c:pt idx="61">
                  <c:v>635.30652522846</c:v>
                </c:pt>
                <c:pt idx="62">
                  <c:v>636.8583152765</c:v>
                </c:pt>
                <c:pt idx="63">
                  <c:v>638.40322450507</c:v>
                </c:pt>
                <c:pt idx="64">
                  <c:v>639.94188602259</c:v>
                </c:pt>
                <c:pt idx="65">
                  <c:v>641.47458285645</c:v>
                </c:pt>
                <c:pt idx="66">
                  <c:v>643.00057248361</c:v>
                </c:pt>
                <c:pt idx="67">
                  <c:v>644.5202813322</c:v>
                </c:pt>
                <c:pt idx="68">
                  <c:v>646.03434287267</c:v>
                </c:pt>
                <c:pt idx="69">
                  <c:v>647.54152865894</c:v>
                </c:pt>
                <c:pt idx="70">
                  <c:v>649.04243670045</c:v>
                </c:pt>
                <c:pt idx="71">
                  <c:v>650.53790069612</c:v>
                </c:pt>
                <c:pt idx="72">
                  <c:v>652.0271909542</c:v>
                </c:pt>
                <c:pt idx="73">
                  <c:v>653.51101188376</c:v>
                </c:pt>
                <c:pt idx="74">
                  <c:v>654.98876790122</c:v>
                </c:pt>
                <c:pt idx="75">
                  <c:v>656.46058233771</c:v>
                </c:pt>
                <c:pt idx="76">
                  <c:v>657.92749029014</c:v>
                </c:pt>
                <c:pt idx="77">
                  <c:v>659.38878415859</c:v>
                </c:pt>
                <c:pt idx="78">
                  <c:v>660.84374030937</c:v>
                </c:pt>
                <c:pt idx="79">
                  <c:v>662.29344167277</c:v>
                </c:pt>
                <c:pt idx="80">
                  <c:v>663.73797678744</c:v>
                </c:pt>
                <c:pt idx="81">
                  <c:v>665.17638308678</c:v>
                </c:pt>
                <c:pt idx="82">
                  <c:v>666.60978488398</c:v>
                </c:pt>
                <c:pt idx="83">
                  <c:v>668.03776223319</c:v>
                </c:pt>
                <c:pt idx="84">
                  <c:v>669.46009604087</c:v>
                </c:pt>
                <c:pt idx="85">
                  <c:v>670.87789298842</c:v>
                </c:pt>
                <c:pt idx="86">
                  <c:v>672.29047724708</c:v>
                </c:pt>
                <c:pt idx="87">
                  <c:v>673.69795789473</c:v>
                </c:pt>
                <c:pt idx="88">
                  <c:v>675.0764683486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Exp!$V$2</c:f>
              <c:strCache>
                <c:ptCount val="1"/>
                <c:pt idx="0">
                  <c:v>473K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Exp!$V$3:$V$19</c:f>
              <c:numCache>
                <c:formatCode>General</c:formatCode>
                <c:ptCount val="17"/>
                <c:pt idx="0">
                  <c:v>0.003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</c:numCache>
            </c:numRef>
          </c:xVal>
          <c:yVal>
            <c:numRef>
              <c:f>Exp!$W$3:$W$19</c:f>
              <c:numCache>
                <c:formatCode>General</c:formatCode>
                <c:ptCount val="17"/>
                <c:pt idx="0">
                  <c:v>481.332546568632</c:v>
                </c:pt>
                <c:pt idx="1">
                  <c:v>544.585964245692</c:v>
                </c:pt>
                <c:pt idx="2">
                  <c:v>567.707461883112</c:v>
                </c:pt>
                <c:pt idx="3">
                  <c:v>584.705353244797</c:v>
                </c:pt>
                <c:pt idx="4">
                  <c:v>598.239647420862</c:v>
                </c:pt>
                <c:pt idx="5">
                  <c:v>609.530200617355</c:v>
                </c:pt>
                <c:pt idx="6">
                  <c:v>619.242309807394</c:v>
                </c:pt>
                <c:pt idx="7">
                  <c:v>627.780318552026</c:v>
                </c:pt>
                <c:pt idx="8">
                  <c:v>635.409037052353</c:v>
                </c:pt>
                <c:pt idx="9">
                  <c:v>642.311677743583</c:v>
                </c:pt>
                <c:pt idx="10">
                  <c:v>648.620450875041</c:v>
                </c:pt>
                <c:pt idx="11">
                  <c:v>654.434000624652</c:v>
                </c:pt>
                <c:pt idx="12">
                  <c:v>659.827950881944</c:v>
                </c:pt>
                <c:pt idx="13">
                  <c:v>664.861596279968</c:v>
                </c:pt>
                <c:pt idx="14">
                  <c:v>669.582318036353</c:v>
                </c:pt>
                <c:pt idx="15">
                  <c:v>674.028596068425</c:v>
                </c:pt>
                <c:pt idx="16">
                  <c:v>678.23212213654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"Sim_473K"</c:f>
              <c:strCache>
                <c:ptCount val="1"/>
                <c:pt idx="0">
                  <c:v>Sim_473K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'473K'!$K$2:$K$280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7.7492133919981e-6</c:v>
                </c:pt>
                <c:pt idx="2" c:formatCode="0.00E+00">
                  <c:v>5.5330623329729e-5</c:v>
                </c:pt>
                <c:pt idx="3">
                  <c:v>0.00029995452417872</c:v>
                </c:pt>
                <c:pt idx="4">
                  <c:v>0.00061986059329911</c:v>
                </c:pt>
                <c:pt idx="5">
                  <c:v>0.0012193031512571</c:v>
                </c:pt>
                <c:pt idx="6">
                  <c:v>0.0018183826987383</c:v>
                </c:pt>
                <c:pt idx="7">
                  <c:v>0.0024170986273316</c:v>
                </c:pt>
                <c:pt idx="8">
                  <c:v>0.0030154510463252</c:v>
                </c:pt>
                <c:pt idx="9">
                  <c:v>0.0036134403697441</c:v>
                </c:pt>
                <c:pt idx="10">
                  <c:v>0.0042110635674342</c:v>
                </c:pt>
                <c:pt idx="11">
                  <c:v>0.0048083206226222</c:v>
                </c:pt>
                <c:pt idx="12">
                  <c:v>0.0054052139500751</c:v>
                </c:pt>
                <c:pt idx="13">
                  <c:v>0.0060017438944169</c:v>
                </c:pt>
                <c:pt idx="14">
                  <c:v>0.0065979116353202</c:v>
                </c:pt>
                <c:pt idx="15">
                  <c:v>0.0071937192423746</c:v>
                </c:pt>
                <c:pt idx="16">
                  <c:v>0.0077891672295567</c:v>
                </c:pt>
                <c:pt idx="17">
                  <c:v>0.0083842553837064</c:v>
                </c:pt>
                <c:pt idx="18">
                  <c:v>0.0089789838308887</c:v>
                </c:pt>
                <c:pt idx="19">
                  <c:v>0.0095733531171132</c:v>
                </c:pt>
                <c:pt idx="20">
                  <c:v>0.010167363882046</c:v>
                </c:pt>
                <c:pt idx="21">
                  <c:v>0.01076101675662</c:v>
                </c:pt>
                <c:pt idx="22">
                  <c:v>0.011354312126727</c:v>
                </c:pt>
                <c:pt idx="23">
                  <c:v>0.011947250303455</c:v>
                </c:pt>
                <c:pt idx="24">
                  <c:v>0.012539831795081</c:v>
                </c:pt>
                <c:pt idx="25">
                  <c:v>0.013132057255677</c:v>
                </c:pt>
                <c:pt idx="26">
                  <c:v>0.01372392721251</c:v>
                </c:pt>
                <c:pt idx="27">
                  <c:v>0.014315442143254</c:v>
                </c:pt>
                <c:pt idx="28">
                  <c:v>0.014906602662355</c:v>
                </c:pt>
                <c:pt idx="29">
                  <c:v>0.015497409385893</c:v>
                </c:pt>
                <c:pt idx="30">
                  <c:v>0.016087862662223</c:v>
                </c:pt>
                <c:pt idx="31">
                  <c:v>0.016677962937225</c:v>
                </c:pt>
                <c:pt idx="32">
                  <c:v>0.017267710715007</c:v>
                </c:pt>
                <c:pt idx="33">
                  <c:v>0.01785710638283</c:v>
                </c:pt>
                <c:pt idx="34">
                  <c:v>0.018446150310882</c:v>
                </c:pt>
                <c:pt idx="35">
                  <c:v>0.019034842755877</c:v>
                </c:pt>
                <c:pt idx="36">
                  <c:v>0.019623183973309</c:v>
                </c:pt>
                <c:pt idx="37">
                  <c:v>0.020211174255087</c:v>
                </c:pt>
                <c:pt idx="38">
                  <c:v>0.020798813908219</c:v>
                </c:pt>
                <c:pt idx="39">
                  <c:v>0.021386103320335</c:v>
                </c:pt>
                <c:pt idx="40">
                  <c:v>0.021973042892054</c:v>
                </c:pt>
                <c:pt idx="41">
                  <c:v>0.022559632970422</c:v>
                </c:pt>
                <c:pt idx="42">
                  <c:v>0.023145873985647</c:v>
                </c:pt>
                <c:pt idx="43">
                  <c:v>0.023731766347195</c:v>
                </c:pt>
                <c:pt idx="44">
                  <c:v>0.024317310460063</c:v>
                </c:pt>
                <c:pt idx="45">
                  <c:v>0.024902506743453</c:v>
                </c:pt>
                <c:pt idx="46">
                  <c:v>0.025487355609727</c:v>
                </c:pt>
                <c:pt idx="47">
                  <c:v>0.026071857475184</c:v>
                </c:pt>
                <c:pt idx="48">
                  <c:v>0.026656012755637</c:v>
                </c:pt>
                <c:pt idx="49">
                  <c:v>0.027239821837067</c:v>
                </c:pt>
                <c:pt idx="50">
                  <c:v>0.027823285131504</c:v>
                </c:pt>
                <c:pt idx="51">
                  <c:v>0.028406403041067</c:v>
                </c:pt>
                <c:pt idx="52">
                  <c:v>0.028989175956563</c:v>
                </c:pt>
                <c:pt idx="53">
                  <c:v>0.029571604261291</c:v>
                </c:pt>
                <c:pt idx="54">
                  <c:v>0.030153688366061</c:v>
                </c:pt>
                <c:pt idx="55">
                  <c:v>0.030735428613863</c:v>
                </c:pt>
                <c:pt idx="56">
                  <c:v>0.031316825363914</c:v>
                </c:pt>
                <c:pt idx="57">
                  <c:v>0.031897878970605</c:v>
                </c:pt>
                <c:pt idx="58">
                  <c:v>0.032478589782442</c:v>
                </c:pt>
                <c:pt idx="59">
                  <c:v>0.033058958190684</c:v>
                </c:pt>
                <c:pt idx="60">
                  <c:v>0.033638984543512</c:v>
                </c:pt>
                <c:pt idx="61">
                  <c:v>0.034218669207244</c:v>
                </c:pt>
                <c:pt idx="62">
                  <c:v>0.03479801256493</c:v>
                </c:pt>
                <c:pt idx="63">
                  <c:v>0.035377015002253</c:v>
                </c:pt>
                <c:pt idx="64">
                  <c:v>0.035955676916892</c:v>
                </c:pt>
                <c:pt idx="65">
                  <c:v>0.036533998726203</c:v>
                </c:pt>
                <c:pt idx="66">
                  <c:v>0.037111980845011</c:v>
                </c:pt>
                <c:pt idx="67">
                  <c:v>0.037689623714444</c:v>
                </c:pt>
                <c:pt idx="68">
                  <c:v>0.038266927709614</c:v>
                </c:pt>
                <c:pt idx="69">
                  <c:v>0.038843893241771</c:v>
                </c:pt>
                <c:pt idx="70">
                  <c:v>0.03942052069714</c:v>
                </c:pt>
                <c:pt idx="71">
                  <c:v>0.039996810471959</c:v>
                </c:pt>
                <c:pt idx="72">
                  <c:v>0.040572762962058</c:v>
                </c:pt>
                <c:pt idx="73">
                  <c:v>0.041148378548791</c:v>
                </c:pt>
                <c:pt idx="74">
                  <c:v>0.041723657621335</c:v>
                </c:pt>
                <c:pt idx="75">
                  <c:v>0.042298600564669</c:v>
                </c:pt>
                <c:pt idx="76">
                  <c:v>0.042873207774993</c:v>
                </c:pt>
                <c:pt idx="77">
                  <c:v>0.043447479647321</c:v>
                </c:pt>
                <c:pt idx="78">
                  <c:v>0.044021416578687</c:v>
                </c:pt>
                <c:pt idx="79">
                  <c:v>0.04459501896708</c:v>
                </c:pt>
                <c:pt idx="80">
                  <c:v>0.045168287207612</c:v>
                </c:pt>
                <c:pt idx="81">
                  <c:v>0.045741221722407</c:v>
                </c:pt>
                <c:pt idx="82">
                  <c:v>0.04631382291064</c:v>
                </c:pt>
                <c:pt idx="83">
                  <c:v>0.046886091173845</c:v>
                </c:pt>
                <c:pt idx="84">
                  <c:v>0.047458026918249</c:v>
                </c:pt>
                <c:pt idx="85">
                  <c:v>0.048029630570027</c:v>
                </c:pt>
                <c:pt idx="86">
                  <c:v>0.048600902502147</c:v>
                </c:pt>
                <c:pt idx="87">
                  <c:v>0.04917184314239</c:v>
                </c:pt>
                <c:pt idx="88">
                  <c:v>0.049723385850114</c:v>
                </c:pt>
              </c:numCache>
            </c:numRef>
          </c:xVal>
          <c:yVal>
            <c:numRef>
              <c:f>'473K'!$N$2:$N$230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1.8236769201752</c:v>
                </c:pt>
                <c:pt idx="2">
                  <c:v>13.025053372763</c:v>
                </c:pt>
                <c:pt idx="3">
                  <c:v>70.725428155971</c:v>
                </c:pt>
                <c:pt idx="4">
                  <c:v>146.43745190292</c:v>
                </c:pt>
                <c:pt idx="5">
                  <c:v>289.20477135265</c:v>
                </c:pt>
                <c:pt idx="6">
                  <c:v>432.53529387635</c:v>
                </c:pt>
                <c:pt idx="7">
                  <c:v>530.01600509724</c:v>
                </c:pt>
                <c:pt idx="8">
                  <c:v>562.29768659558</c:v>
                </c:pt>
                <c:pt idx="9">
                  <c:v>580.47864096825</c:v>
                </c:pt>
                <c:pt idx="10">
                  <c:v>592.83472758954</c:v>
                </c:pt>
                <c:pt idx="11">
                  <c:v>601.69155566828</c:v>
                </c:pt>
                <c:pt idx="12">
                  <c:v>608.20404573601</c:v>
                </c:pt>
                <c:pt idx="13">
                  <c:v>613.35913244111</c:v>
                </c:pt>
                <c:pt idx="14">
                  <c:v>617.67402499964</c:v>
                </c:pt>
                <c:pt idx="15">
                  <c:v>621.43170962067</c:v>
                </c:pt>
                <c:pt idx="16">
                  <c:v>624.83342494376</c:v>
                </c:pt>
                <c:pt idx="17">
                  <c:v>627.99489110472</c:v>
                </c:pt>
                <c:pt idx="18">
                  <c:v>630.97401146735</c:v>
                </c:pt>
                <c:pt idx="19">
                  <c:v>633.81129289513</c:v>
                </c:pt>
                <c:pt idx="20">
                  <c:v>636.53376941475</c:v>
                </c:pt>
                <c:pt idx="21">
                  <c:v>639.15849531024</c:v>
                </c:pt>
                <c:pt idx="22">
                  <c:v>641.7071740507</c:v>
                </c:pt>
                <c:pt idx="23">
                  <c:v>644.19494386542</c:v>
                </c:pt>
                <c:pt idx="24">
                  <c:v>646.63385257467</c:v>
                </c:pt>
                <c:pt idx="25">
                  <c:v>649.02759144882</c:v>
                </c:pt>
                <c:pt idx="26">
                  <c:v>651.38299333791</c:v>
                </c:pt>
                <c:pt idx="27">
                  <c:v>653.70679037046</c:v>
                </c:pt>
                <c:pt idx="28">
                  <c:v>655.99493188537</c:v>
                </c:pt>
                <c:pt idx="29">
                  <c:v>658.25570554631</c:v>
                </c:pt>
                <c:pt idx="30">
                  <c:v>660.48776318539</c:v>
                </c:pt>
                <c:pt idx="31">
                  <c:v>662.69478791946</c:v>
                </c:pt>
                <c:pt idx="32">
                  <c:v>664.87950694028</c:v>
                </c:pt>
                <c:pt idx="33">
                  <c:v>667.03945628773</c:v>
                </c:pt>
                <c:pt idx="34">
                  <c:v>669.18105292723</c:v>
                </c:pt>
                <c:pt idx="35">
                  <c:v>671.30470423453</c:v>
                </c:pt>
                <c:pt idx="36">
                  <c:v>673.41054766874</c:v>
                </c:pt>
                <c:pt idx="37">
                  <c:v>675.50074444291</c:v>
                </c:pt>
                <c:pt idx="38">
                  <c:v>677.575804322</c:v>
                </c:pt>
                <c:pt idx="39">
                  <c:v>679.63625138815</c:v>
                </c:pt>
                <c:pt idx="40">
                  <c:v>681.68601549725</c:v>
                </c:pt>
                <c:pt idx="41">
                  <c:v>683.72052737246</c:v>
                </c:pt>
                <c:pt idx="42">
                  <c:v>685.74309081117</c:v>
                </c:pt>
                <c:pt idx="43">
                  <c:v>687.75486610234</c:v>
                </c:pt>
                <c:pt idx="44">
                  <c:v>689.75478716553</c:v>
                </c:pt>
                <c:pt idx="45">
                  <c:v>691.74212480744</c:v>
                </c:pt>
                <c:pt idx="46">
                  <c:v>693.71914783926</c:v>
                </c:pt>
                <c:pt idx="47">
                  <c:v>695.68549403016</c:v>
                </c:pt>
                <c:pt idx="48">
                  <c:v>697.64133658291</c:v>
                </c:pt>
                <c:pt idx="49">
                  <c:v>699.58741506591</c:v>
                </c:pt>
                <c:pt idx="50">
                  <c:v>701.52292787504</c:v>
                </c:pt>
                <c:pt idx="51">
                  <c:v>703.44815124448</c:v>
                </c:pt>
                <c:pt idx="52">
                  <c:v>705.36334037484</c:v>
                </c:pt>
                <c:pt idx="53">
                  <c:v>707.26887458562</c:v>
                </c:pt>
                <c:pt idx="54">
                  <c:v>709.16581971939</c:v>
                </c:pt>
                <c:pt idx="55">
                  <c:v>711.05229225784</c:v>
                </c:pt>
                <c:pt idx="56">
                  <c:v>712.92952054627</c:v>
                </c:pt>
                <c:pt idx="57">
                  <c:v>714.79791854434</c:v>
                </c:pt>
                <c:pt idx="58">
                  <c:v>716.6555282404</c:v>
                </c:pt>
                <c:pt idx="59">
                  <c:v>718.50570339737</c:v>
                </c:pt>
                <c:pt idx="60">
                  <c:v>720.34727792079</c:v>
                </c:pt>
                <c:pt idx="61">
                  <c:v>722.18096477098</c:v>
                </c:pt>
                <c:pt idx="62">
                  <c:v>724.00649571906</c:v>
                </c:pt>
                <c:pt idx="63">
                  <c:v>725.82394276765</c:v>
                </c:pt>
                <c:pt idx="64">
                  <c:v>727.63336821589</c:v>
                </c:pt>
                <c:pt idx="65">
                  <c:v>729.43513789117</c:v>
                </c:pt>
                <c:pt idx="66">
                  <c:v>731.22942552648</c:v>
                </c:pt>
                <c:pt idx="67">
                  <c:v>733.01786588674</c:v>
                </c:pt>
                <c:pt idx="68">
                  <c:v>734.79751566218</c:v>
                </c:pt>
                <c:pt idx="69">
                  <c:v>736.57008190567</c:v>
                </c:pt>
                <c:pt idx="70">
                  <c:v>738.33568573713</c:v>
                </c:pt>
                <c:pt idx="71">
                  <c:v>740.09387487167</c:v>
                </c:pt>
                <c:pt idx="72">
                  <c:v>741.84525642603</c:v>
                </c:pt>
                <c:pt idx="73">
                  <c:v>743.59026241555</c:v>
                </c:pt>
                <c:pt idx="74">
                  <c:v>745.32746348632</c:v>
                </c:pt>
                <c:pt idx="75">
                  <c:v>747.05807849272</c:v>
                </c:pt>
                <c:pt idx="76">
                  <c:v>748.78262505466</c:v>
                </c:pt>
                <c:pt idx="77">
                  <c:v>750.50007782908</c:v>
                </c:pt>
                <c:pt idx="78">
                  <c:v>752.21087451052</c:v>
                </c:pt>
                <c:pt idx="79">
                  <c:v>753.91487624703</c:v>
                </c:pt>
                <c:pt idx="80">
                  <c:v>755.61362059515</c:v>
                </c:pt>
                <c:pt idx="81">
                  <c:v>757.30461509414</c:v>
                </c:pt>
                <c:pt idx="82">
                  <c:v>758.98982980311</c:v>
                </c:pt>
                <c:pt idx="83">
                  <c:v>760.66894046697</c:v>
                </c:pt>
                <c:pt idx="84">
                  <c:v>762.34133444708</c:v>
                </c:pt>
                <c:pt idx="85">
                  <c:v>764.00788920573</c:v>
                </c:pt>
                <c:pt idx="86">
                  <c:v>765.66826310027</c:v>
                </c:pt>
                <c:pt idx="87">
                  <c:v>767.32268992441</c:v>
                </c:pt>
                <c:pt idx="88">
                  <c:v>768.93686023397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Exp!$AB$2</c:f>
              <c:strCache>
                <c:ptCount val="1"/>
                <c:pt idx="0">
                  <c:v>473K 2008 MatijaSevic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Exp!$AB$3:$AB$21</c:f>
              <c:numCache>
                <c:formatCode>General</c:formatCode>
                <c:ptCount val="19"/>
                <c:pt idx="0">
                  <c:v>0</c:v>
                </c:pt>
                <c:pt idx="1">
                  <c:v>0.0032546977205</c:v>
                </c:pt>
                <c:pt idx="2">
                  <c:v>0.00368320865159</c:v>
                </c:pt>
                <c:pt idx="3">
                  <c:v>0.00551476568802</c:v>
                </c:pt>
                <c:pt idx="4">
                  <c:v>0.0100988346774</c:v>
                </c:pt>
                <c:pt idx="5">
                  <c:v>0.017407604655</c:v>
                </c:pt>
                <c:pt idx="6">
                  <c:v>0.0242144495081</c:v>
                </c:pt>
                <c:pt idx="7">
                  <c:v>0.0345849847488</c:v>
                </c:pt>
                <c:pt idx="8">
                  <c:v>0.0461867782993</c:v>
                </c:pt>
                <c:pt idx="9">
                  <c:v>0.0572211896473</c:v>
                </c:pt>
                <c:pt idx="10">
                  <c:v>0.072041552865</c:v>
                </c:pt>
                <c:pt idx="11">
                  <c:v>0.0841021492875</c:v>
                </c:pt>
                <c:pt idx="12">
                  <c:v>0.0964368176368</c:v>
                </c:pt>
                <c:pt idx="13">
                  <c:v>0.110718137934</c:v>
                </c:pt>
                <c:pt idx="14">
                  <c:v>0.125627740894</c:v>
                </c:pt>
                <c:pt idx="15">
                  <c:v>0.13870050969</c:v>
                </c:pt>
                <c:pt idx="16">
                  <c:v>0.152412026388</c:v>
                </c:pt>
                <c:pt idx="17">
                  <c:v>0.162790392648</c:v>
                </c:pt>
                <c:pt idx="18">
                  <c:v>0.166750961803</c:v>
                </c:pt>
              </c:numCache>
            </c:numRef>
          </c:xVal>
          <c:yVal>
            <c:numRef>
              <c:f>Exp!$AC$3:$AC$21</c:f>
              <c:numCache>
                <c:formatCode>General</c:formatCode>
                <c:ptCount val="19"/>
                <c:pt idx="0">
                  <c:v>0</c:v>
                </c:pt>
                <c:pt idx="1">
                  <c:v>440.677129319</c:v>
                </c:pt>
                <c:pt idx="2">
                  <c:v>473.527904067</c:v>
                </c:pt>
                <c:pt idx="3">
                  <c:v>501.704276458</c:v>
                </c:pt>
                <c:pt idx="4">
                  <c:v>534.257869846</c:v>
                </c:pt>
                <c:pt idx="5">
                  <c:v>563.207524021</c:v>
                </c:pt>
                <c:pt idx="6">
                  <c:v>592.242901093</c:v>
                </c:pt>
                <c:pt idx="7">
                  <c:v>618.360052987</c:v>
                </c:pt>
                <c:pt idx="8">
                  <c:v>640.113751796</c:v>
                </c:pt>
                <c:pt idx="9">
                  <c:v>650.420312908</c:v>
                </c:pt>
                <c:pt idx="10">
                  <c:v>666.41878325</c:v>
                </c:pt>
                <c:pt idx="11">
                  <c:v>663.09441854</c:v>
                </c:pt>
                <c:pt idx="12">
                  <c:v>653.81554854</c:v>
                </c:pt>
                <c:pt idx="13">
                  <c:v>639.473607763</c:v>
                </c:pt>
                <c:pt idx="14">
                  <c:v>609.636791546</c:v>
                </c:pt>
                <c:pt idx="15">
                  <c:v>574.52518843</c:v>
                </c:pt>
                <c:pt idx="16">
                  <c:v>526.129078186</c:v>
                </c:pt>
                <c:pt idx="17">
                  <c:v>471.393572146</c:v>
                </c:pt>
                <c:pt idx="18">
                  <c:v>454.197233385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  <c:max val="0.0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"Sim_573K"</c:f>
              <c:strCache>
                <c:ptCount val="1"/>
                <c:pt idx="0">
                  <c:v>Sim_573K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'573K'!$B$2:$B$1700</c:f>
              <c:numCache>
                <c:formatCode>General</c:formatCode>
                <c:ptCount val="1699"/>
                <c:pt idx="0">
                  <c:v>0</c:v>
                </c:pt>
                <c:pt idx="1" c:formatCode="0.00E+00">
                  <c:v>1.4216508212242e-48</c:v>
                </c:pt>
                <c:pt idx="2" c:formatCode="0.00E+00">
                  <c:v>4.4336392430468e-42</c:v>
                </c:pt>
                <c:pt idx="3" c:formatCode="0.00E+00">
                  <c:v>4.2333003647297e-29</c:v>
                </c:pt>
                <c:pt idx="4" c:formatCode="0.00E+00">
                  <c:v>5.9401968845463e-21</c:v>
                </c:pt>
                <c:pt idx="5" c:formatCode="0.00E+00">
                  <c:v>5.7360772626943e-11</c:v>
                </c:pt>
                <c:pt idx="6" c:formatCode="0.00E+00">
                  <c:v>1.9598067210748e-5</c:v>
                </c:pt>
                <c:pt idx="7">
                  <c:v>0.00040348976964098</c:v>
                </c:pt>
                <c:pt idx="8">
                  <c:v>0.0010000301227342</c:v>
                </c:pt>
                <c:pt idx="9">
                  <c:v>0.0016168245393989</c:v>
                </c:pt>
                <c:pt idx="10">
                  <c:v>0.0022321724452725</c:v>
                </c:pt>
                <c:pt idx="11">
                  <c:v>0.0028429385916136</c:v>
                </c:pt>
                <c:pt idx="12">
                  <c:v>0.0034510608572818</c:v>
                </c:pt>
                <c:pt idx="13">
                  <c:v>0.0040576672247782</c:v>
                </c:pt>
                <c:pt idx="14">
                  <c:v>0.0046634593908165</c:v>
                </c:pt>
                <c:pt idx="15">
                  <c:v>0.0052690802492429</c:v>
                </c:pt>
                <c:pt idx="16">
                  <c:v>0.0058746707672575</c:v>
                </c:pt>
                <c:pt idx="17">
                  <c:v>0.0064802349255582</c:v>
                </c:pt>
                <c:pt idx="18">
                  <c:v>0.0070857052669586</c:v>
                </c:pt>
                <c:pt idx="19">
                  <c:v>0.0076910161799196</c:v>
                </c:pt>
                <c:pt idx="20">
                  <c:v>0.0082962069856291</c:v>
                </c:pt>
                <c:pt idx="21">
                  <c:v>0.0089013881775831</c:v>
                </c:pt>
                <c:pt idx="22">
                  <c:v>0.0095065866521811</c:v>
                </c:pt>
                <c:pt idx="23">
                  <c:v>0.010111777013027</c:v>
                </c:pt>
                <c:pt idx="24">
                  <c:v>0.010716942753928</c:v>
                </c:pt>
                <c:pt idx="25">
                  <c:v>0.011322080839628</c:v>
                </c:pt>
                <c:pt idx="26">
                  <c:v>0.011927127433798</c:v>
                </c:pt>
                <c:pt idx="27">
                  <c:v>0.012532065082728</c:v>
                </c:pt>
                <c:pt idx="28">
                  <c:v>0.013136906816303</c:v>
                </c:pt>
                <c:pt idx="29">
                  <c:v>0.01374165361202</c:v>
                </c:pt>
                <c:pt idx="30">
                  <c:v>0.014346315159516</c:v>
                </c:pt>
                <c:pt idx="31">
                  <c:v>0.014950911990585</c:v>
                </c:pt>
                <c:pt idx="32">
                  <c:v>0.015555466096106</c:v>
                </c:pt>
                <c:pt idx="33">
                  <c:v>0.016159986053464</c:v>
                </c:pt>
                <c:pt idx="34">
                  <c:v>0.016764477297511</c:v>
                </c:pt>
                <c:pt idx="35">
                  <c:v>0.017368947290113</c:v>
                </c:pt>
                <c:pt idx="36">
                  <c:v>0.017973400580971</c:v>
                </c:pt>
                <c:pt idx="37">
                  <c:v>0.018577841095639</c:v>
                </c:pt>
                <c:pt idx="38">
                  <c:v>0.019182269615644</c:v>
                </c:pt>
                <c:pt idx="39">
                  <c:v>0.019786688391634</c:v>
                </c:pt>
                <c:pt idx="40">
                  <c:v>0.020391095914314</c:v>
                </c:pt>
                <c:pt idx="41">
                  <c:v>0.020995491528183</c:v>
                </c:pt>
                <c:pt idx="42">
                  <c:v>0.021599873870448</c:v>
                </c:pt>
                <c:pt idx="43">
                  <c:v>0.0222042348106</c:v>
                </c:pt>
                <c:pt idx="44">
                  <c:v>0.022808573038508</c:v>
                </c:pt>
                <c:pt idx="45">
                  <c:v>0.023412882112858</c:v>
                </c:pt>
                <c:pt idx="46">
                  <c:v>0.02401715498155</c:v>
                </c:pt>
                <c:pt idx="47">
                  <c:v>0.024621382906528</c:v>
                </c:pt>
                <c:pt idx="48">
                  <c:v>0.025225555861846</c:v>
                </c:pt>
                <c:pt idx="49">
                  <c:v>0.025829666062024</c:v>
                </c:pt>
                <c:pt idx="50">
                  <c:v>0.026433721222095</c:v>
                </c:pt>
                <c:pt idx="51">
                  <c:v>0.02703772377371</c:v>
                </c:pt>
                <c:pt idx="52">
                  <c:v>0.027641687991507</c:v>
                </c:pt>
                <c:pt idx="53">
                  <c:v>0.028245614190841</c:v>
                </c:pt>
                <c:pt idx="54">
                  <c:v>0.028849508722422</c:v>
                </c:pt>
                <c:pt idx="55">
                  <c:v>0.029453374406017</c:v>
                </c:pt>
                <c:pt idx="56">
                  <c:v>0.030057210157073</c:v>
                </c:pt>
                <c:pt idx="57">
                  <c:v>0.030661023564815</c:v>
                </c:pt>
                <c:pt idx="58">
                  <c:v>0.031264812647704</c:v>
                </c:pt>
                <c:pt idx="59">
                  <c:v>0.031868579725218</c:v>
                </c:pt>
                <c:pt idx="60">
                  <c:v>0.032472330356012</c:v>
                </c:pt>
                <c:pt idx="61">
                  <c:v>0.03307606362392</c:v>
                </c:pt>
                <c:pt idx="62">
                  <c:v>0.033679787412777</c:v>
                </c:pt>
                <c:pt idx="63">
                  <c:v>0.034283503085349</c:v>
                </c:pt>
                <c:pt idx="64">
                  <c:v>0.034887210975386</c:v>
                </c:pt>
                <c:pt idx="65">
                  <c:v>0.035490912329246</c:v>
                </c:pt>
                <c:pt idx="66">
                  <c:v>0.036094613781275</c:v>
                </c:pt>
                <c:pt idx="67">
                  <c:v>0.036698313987563</c:v>
                </c:pt>
                <c:pt idx="68">
                  <c:v>0.0373020123354</c:v>
                </c:pt>
                <c:pt idx="69">
                  <c:v>0.0379057166848</c:v>
                </c:pt>
                <c:pt idx="70">
                  <c:v>0.03850942502158</c:v>
                </c:pt>
                <c:pt idx="71">
                  <c:v>0.039113135136428</c:v>
                </c:pt>
                <c:pt idx="72">
                  <c:v>0.039716850969096</c:v>
                </c:pt>
                <c:pt idx="73">
                  <c:v>0.040320570825332</c:v>
                </c:pt>
                <c:pt idx="74">
                  <c:v>0.040924298259475</c:v>
                </c:pt>
                <c:pt idx="75">
                  <c:v>0.041528034601516</c:v>
                </c:pt>
                <c:pt idx="76">
                  <c:v>0.042131776310432</c:v>
                </c:pt>
                <c:pt idx="77">
                  <c:v>0.042735527772305</c:v>
                </c:pt>
                <c:pt idx="78">
                  <c:v>0.043339294601155</c:v>
                </c:pt>
                <c:pt idx="79">
                  <c:v>0.043943073221929</c:v>
                </c:pt>
                <c:pt idx="80">
                  <c:v>0.044546864110415</c:v>
                </c:pt>
                <c:pt idx="81">
                  <c:v>0.045150673811161</c:v>
                </c:pt>
                <c:pt idx="82">
                  <c:v>0.045754497860813</c:v>
                </c:pt>
                <c:pt idx="83">
                  <c:v>0.046358339902309</c:v>
                </c:pt>
                <c:pt idx="84">
                  <c:v>0.04696220173294</c:v>
                </c:pt>
                <c:pt idx="85">
                  <c:v>0.047566079386309</c:v>
                </c:pt>
                <c:pt idx="86">
                  <c:v>0.048169976542672</c:v>
                </c:pt>
                <c:pt idx="87">
                  <c:v>0.048773894968176</c:v>
                </c:pt>
                <c:pt idx="88">
                  <c:v>0.04935753505426</c:v>
                </c:pt>
              </c:numCache>
            </c:numRef>
          </c:xVal>
          <c:yVal>
            <c:numRef>
              <c:f>'573K'!$N$2:$N$1500</c:f>
              <c:numCache>
                <c:formatCode>General</c:formatCode>
                <c:ptCount val="1499"/>
                <c:pt idx="0">
                  <c:v>0</c:v>
                </c:pt>
                <c:pt idx="1">
                  <c:v>1.7694987586654</c:v>
                </c:pt>
                <c:pt idx="2">
                  <c:v>12.63811932424</c:v>
                </c:pt>
                <c:pt idx="3">
                  <c:v>68.6249120697</c:v>
                </c:pt>
                <c:pt idx="4">
                  <c:v>142.08960225838</c:v>
                </c:pt>
                <c:pt idx="5">
                  <c:v>280.62322067128</c:v>
                </c:pt>
                <c:pt idx="6">
                  <c:v>416.24673678504</c:v>
                </c:pt>
                <c:pt idx="7">
                  <c:v>482.86231650393</c:v>
                </c:pt>
                <c:pt idx="8">
                  <c:v>506.32324627201</c:v>
                </c:pt>
                <c:pt idx="9">
                  <c:v>519.98360823818</c:v>
                </c:pt>
                <c:pt idx="10">
                  <c:v>529.17042306872</c:v>
                </c:pt>
                <c:pt idx="11">
                  <c:v>535.50715444532</c:v>
                </c:pt>
                <c:pt idx="12">
                  <c:v>540.29778180294</c:v>
                </c:pt>
                <c:pt idx="13">
                  <c:v>544.20205133385</c:v>
                </c:pt>
                <c:pt idx="14">
                  <c:v>547.54277440035</c:v>
                </c:pt>
                <c:pt idx="15">
                  <c:v>550.52832007446</c:v>
                </c:pt>
                <c:pt idx="16">
                  <c:v>553.274899983</c:v>
                </c:pt>
                <c:pt idx="17">
                  <c:v>555.84535345298</c:v>
                </c:pt>
                <c:pt idx="18">
                  <c:v>558.27881883013</c:v>
                </c:pt>
                <c:pt idx="19">
                  <c:v>560.6034050776</c:v>
                </c:pt>
                <c:pt idx="20">
                  <c:v>562.84708862465</c:v>
                </c:pt>
                <c:pt idx="21">
                  <c:v>565.02742712743</c:v>
                </c:pt>
                <c:pt idx="22">
                  <c:v>567.15840326854</c:v>
                </c:pt>
                <c:pt idx="23">
                  <c:v>569.24290787127</c:v>
                </c:pt>
                <c:pt idx="24">
                  <c:v>571.29268634768</c:v>
                </c:pt>
                <c:pt idx="25">
                  <c:v>573.30597922169</c:v>
                </c:pt>
                <c:pt idx="26">
                  <c:v>575.28822065002</c:v>
                </c:pt>
                <c:pt idx="27">
                  <c:v>577.24157449405</c:v>
                </c:pt>
                <c:pt idx="28">
                  <c:v>579.16875326361</c:v>
                </c:pt>
                <c:pt idx="29">
                  <c:v>581.07318359323</c:v>
                </c:pt>
                <c:pt idx="30">
                  <c:v>582.95340101173</c:v>
                </c:pt>
                <c:pt idx="31">
                  <c:v>584.81590562398</c:v>
                </c:pt>
                <c:pt idx="32">
                  <c:v>586.66137318532</c:v>
                </c:pt>
                <c:pt idx="33">
                  <c:v>588.49034639622</c:v>
                </c:pt>
                <c:pt idx="34">
                  <c:v>590.30429144601</c:v>
                </c:pt>
                <c:pt idx="35">
                  <c:v>592.1038030755</c:v>
                </c:pt>
                <c:pt idx="36">
                  <c:v>593.8894164622</c:v>
                </c:pt>
                <c:pt idx="37">
                  <c:v>595.66433452498</c:v>
                </c:pt>
                <c:pt idx="38">
                  <c:v>597.42638384902</c:v>
                </c:pt>
                <c:pt idx="39">
                  <c:v>599.17709719659</c:v>
                </c:pt>
                <c:pt idx="40">
                  <c:v>600.91702249178</c:v>
                </c:pt>
                <c:pt idx="41">
                  <c:v>602.64496444837</c:v>
                </c:pt>
                <c:pt idx="42">
                  <c:v>604.36319516534</c:v>
                </c:pt>
                <c:pt idx="43">
                  <c:v>606.07186046847</c:v>
                </c:pt>
                <c:pt idx="44">
                  <c:v>607.77026706717</c:v>
                </c:pt>
                <c:pt idx="45">
                  <c:v>609.45879290128</c:v>
                </c:pt>
                <c:pt idx="46">
                  <c:v>611.13766114517</c:v>
                </c:pt>
                <c:pt idx="47">
                  <c:v>612.80686652514</c:v>
                </c:pt>
                <c:pt idx="48">
                  <c:v>614.46673628787</c:v>
                </c:pt>
                <c:pt idx="49">
                  <c:v>616.1181039215</c:v>
                </c:pt>
                <c:pt idx="50">
                  <c:v>617.76041953297</c:v>
                </c:pt>
                <c:pt idx="51">
                  <c:v>619.39441781573</c:v>
                </c:pt>
                <c:pt idx="52">
                  <c:v>621.01964827017</c:v>
                </c:pt>
                <c:pt idx="53">
                  <c:v>622.63729901384</c:v>
                </c:pt>
                <c:pt idx="54">
                  <c:v>624.24679568941</c:v>
                </c:pt>
                <c:pt idx="55">
                  <c:v>625.84836035057</c:v>
                </c:pt>
                <c:pt idx="56">
                  <c:v>627.44305932994</c:v>
                </c:pt>
                <c:pt idx="57">
                  <c:v>629.02967159674</c:v>
                </c:pt>
                <c:pt idx="58">
                  <c:v>630.6092608681</c:v>
                </c:pt>
                <c:pt idx="59">
                  <c:v>632.18198855778</c:v>
                </c:pt>
                <c:pt idx="60">
                  <c:v>633.74747588111</c:v>
                </c:pt>
                <c:pt idx="61">
                  <c:v>635.30652522846</c:v>
                </c:pt>
                <c:pt idx="62">
                  <c:v>636.8583152765</c:v>
                </c:pt>
                <c:pt idx="63">
                  <c:v>638.40322450507</c:v>
                </c:pt>
                <c:pt idx="64">
                  <c:v>639.94188602259</c:v>
                </c:pt>
                <c:pt idx="65">
                  <c:v>641.47458285645</c:v>
                </c:pt>
                <c:pt idx="66">
                  <c:v>643.00057248361</c:v>
                </c:pt>
                <c:pt idx="67">
                  <c:v>644.5202813322</c:v>
                </c:pt>
                <c:pt idx="68">
                  <c:v>646.03434287267</c:v>
                </c:pt>
                <c:pt idx="69">
                  <c:v>647.54152865894</c:v>
                </c:pt>
                <c:pt idx="70">
                  <c:v>649.04243670045</c:v>
                </c:pt>
                <c:pt idx="71">
                  <c:v>650.53790069612</c:v>
                </c:pt>
                <c:pt idx="72">
                  <c:v>652.0271909542</c:v>
                </c:pt>
                <c:pt idx="73">
                  <c:v>653.51101188376</c:v>
                </c:pt>
                <c:pt idx="74">
                  <c:v>654.98876790122</c:v>
                </c:pt>
                <c:pt idx="75">
                  <c:v>656.46058233771</c:v>
                </c:pt>
                <c:pt idx="76">
                  <c:v>657.92749029014</c:v>
                </c:pt>
                <c:pt idx="77">
                  <c:v>659.38878415859</c:v>
                </c:pt>
                <c:pt idx="78">
                  <c:v>660.84374030937</c:v>
                </c:pt>
                <c:pt idx="79">
                  <c:v>662.29344167277</c:v>
                </c:pt>
                <c:pt idx="80">
                  <c:v>663.73797678744</c:v>
                </c:pt>
                <c:pt idx="81">
                  <c:v>665.17638308678</c:v>
                </c:pt>
                <c:pt idx="82">
                  <c:v>666.60978488398</c:v>
                </c:pt>
                <c:pt idx="83">
                  <c:v>668.03776223319</c:v>
                </c:pt>
                <c:pt idx="84">
                  <c:v>669.46009604087</c:v>
                </c:pt>
                <c:pt idx="85">
                  <c:v>670.87789298842</c:v>
                </c:pt>
                <c:pt idx="86">
                  <c:v>672.29047724708</c:v>
                </c:pt>
                <c:pt idx="87">
                  <c:v>673.69795789473</c:v>
                </c:pt>
                <c:pt idx="88">
                  <c:v>675.0764683486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"Sim_473K"</c:f>
              <c:strCache>
                <c:ptCount val="1"/>
                <c:pt idx="0">
                  <c:v>Sim_473K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'473K'!$B$2:$B$2000</c:f>
              <c:numCache>
                <c:formatCode>General</c:formatCode>
                <c:ptCount val="1999"/>
                <c:pt idx="0">
                  <c:v>0</c:v>
                </c:pt>
                <c:pt idx="1" c:formatCode="0.00E+00">
                  <c:v>4.9734611194144e-59</c:v>
                </c:pt>
                <c:pt idx="2" c:formatCode="0.00E+00">
                  <c:v>4.0358508874828e-51</c:v>
                </c:pt>
                <c:pt idx="3" c:formatCode="0.00E+00">
                  <c:v>3.2515570748057e-35</c:v>
                </c:pt>
                <c:pt idx="4" c:formatCode="0.00E+00">
                  <c:v>1.4771688235354e-25</c:v>
                </c:pt>
                <c:pt idx="5" c:formatCode="0.00E+00">
                  <c:v>2.294970889697e-13</c:v>
                </c:pt>
                <c:pt idx="6" c:formatCode="0.00E+00">
                  <c:v>2.2970568261309e-6</c:v>
                </c:pt>
                <c:pt idx="7">
                  <c:v>0.00024245336516187</c:v>
                </c:pt>
                <c:pt idx="8">
                  <c:v>0.00081092747549627</c:v>
                </c:pt>
                <c:pt idx="9">
                  <c:v>0.0014243384518327</c:v>
                </c:pt>
                <c:pt idx="10">
                  <c:v>0.002039614570256</c:v>
                </c:pt>
                <c:pt idx="11">
                  <c:v>0.0026520808797286</c:v>
                </c:pt>
                <c:pt idx="12">
                  <c:v>0.0032608265093638</c:v>
                </c:pt>
                <c:pt idx="13">
                  <c:v>0.0038675658877763</c:v>
                </c:pt>
                <c:pt idx="14">
                  <c:v>0.0044730391595827</c:v>
                </c:pt>
                <c:pt idx="15">
                  <c:v>0.0050778115075202</c:v>
                </c:pt>
                <c:pt idx="16">
                  <c:v>0.005682435553706</c:v>
                </c:pt>
                <c:pt idx="17">
                  <c:v>0.0062870904931462</c:v>
                </c:pt>
                <c:pt idx="18">
                  <c:v>0.0068917437636</c:v>
                </c:pt>
                <c:pt idx="19">
                  <c:v>0.0074963594012234</c:v>
                </c:pt>
                <c:pt idx="20">
                  <c:v>0.0081008738971116</c:v>
                </c:pt>
                <c:pt idx="21">
                  <c:v>0.0087052376715349</c:v>
                </c:pt>
                <c:pt idx="22">
                  <c:v>0.0093095124690485</c:v>
                </c:pt>
                <c:pt idx="23">
                  <c:v>0.0099137650822928</c:v>
                </c:pt>
                <c:pt idx="24">
                  <c:v>0.010518019690969</c:v>
                </c:pt>
                <c:pt idx="25">
                  <c:v>0.011122249439987</c:v>
                </c:pt>
                <c:pt idx="26">
                  <c:v>0.011726460999721</c:v>
                </c:pt>
                <c:pt idx="27">
                  <c:v>0.012330652476907</c:v>
                </c:pt>
                <c:pt idx="28">
                  <c:v>0.012934772887648</c:v>
                </c:pt>
                <c:pt idx="29">
                  <c:v>0.013538810243852</c:v>
                </c:pt>
                <c:pt idx="30">
                  <c:v>0.014142779750201</c:v>
                </c:pt>
                <c:pt idx="31">
                  <c:v>0.014746678294397</c:v>
                </c:pt>
                <c:pt idx="32">
                  <c:v>0.015350487668615</c:v>
                </c:pt>
                <c:pt idx="33">
                  <c:v>0.015954212044139</c:v>
                </c:pt>
                <c:pt idx="34">
                  <c:v>0.016557855627192</c:v>
                </c:pt>
                <c:pt idx="35">
                  <c:v>0.017161448376381</c:v>
                </c:pt>
                <c:pt idx="36">
                  <c:v>0.01776500021276</c:v>
                </c:pt>
                <c:pt idx="37">
                  <c:v>0.018368523285061</c:v>
                </c:pt>
                <c:pt idx="38">
                  <c:v>0.018972020150212</c:v>
                </c:pt>
                <c:pt idx="39">
                  <c:v>0.019575505257196</c:v>
                </c:pt>
                <c:pt idx="40">
                  <c:v>0.020178985755399</c:v>
                </c:pt>
                <c:pt idx="41">
                  <c:v>0.020782464431995</c:v>
                </c:pt>
                <c:pt idx="42">
                  <c:v>0.021385945932592</c:v>
                </c:pt>
                <c:pt idx="43">
                  <c:v>0.021989431912289</c:v>
                </c:pt>
                <c:pt idx="44">
                  <c:v>0.022592918568221</c:v>
                </c:pt>
                <c:pt idx="45">
                  <c:v>0.023196407930758</c:v>
                </c:pt>
                <c:pt idx="46">
                  <c:v>0.023799896231302</c:v>
                </c:pt>
                <c:pt idx="47">
                  <c:v>0.024403379783821</c:v>
                </c:pt>
                <c:pt idx="48">
                  <c:v>0.025006857791736</c:v>
                </c:pt>
                <c:pt idx="49">
                  <c:v>0.025610327716991</c:v>
                </c:pt>
                <c:pt idx="50">
                  <c:v>0.02621378175307</c:v>
                </c:pt>
                <c:pt idx="51">
                  <c:v>0.026817216842748</c:v>
                </c:pt>
                <c:pt idx="52">
                  <c:v>0.027420626564578</c:v>
                </c:pt>
                <c:pt idx="53">
                  <c:v>0.028024002330357</c:v>
                </c:pt>
                <c:pt idx="54">
                  <c:v>0.028627339591308</c:v>
                </c:pt>
                <c:pt idx="55">
                  <c:v>0.029230628539958</c:v>
                </c:pt>
                <c:pt idx="56">
                  <c:v>0.029833871974067</c:v>
                </c:pt>
                <c:pt idx="57">
                  <c:v>0.030437077074564</c:v>
                </c:pt>
                <c:pt idx="58">
                  <c:v>0.031040254545748</c:v>
                </c:pt>
                <c:pt idx="59">
                  <c:v>0.031643409411919</c:v>
                </c:pt>
                <c:pt idx="60">
                  <c:v>0.03224654749813</c:v>
                </c:pt>
                <c:pt idx="61">
                  <c:v>0.032849670053999</c:v>
                </c:pt>
                <c:pt idx="62">
                  <c:v>0.033452780861807</c:v>
                </c:pt>
                <c:pt idx="63">
                  <c:v>0.034055882200907</c:v>
                </c:pt>
                <c:pt idx="64">
                  <c:v>0.034658976106846</c:v>
                </c:pt>
                <c:pt idx="65">
                  <c:v>0.035262062124949</c:v>
                </c:pt>
                <c:pt idx="66">
                  <c:v>0.035865142309489</c:v>
                </c:pt>
                <c:pt idx="67">
                  <c:v>0.036468218411229</c:v>
                </c:pt>
                <c:pt idx="68">
                  <c:v>0.037071294182372</c:v>
                </c:pt>
                <c:pt idx="69">
                  <c:v>0.037674372043349</c:v>
                </c:pt>
                <c:pt idx="70">
                  <c:v>0.038277453868986</c:v>
                </c:pt>
                <c:pt idx="71">
                  <c:v>0.038880544001583</c:v>
                </c:pt>
                <c:pt idx="72">
                  <c:v>0.039483644736392</c:v>
                </c:pt>
                <c:pt idx="73">
                  <c:v>0.040086756322348</c:v>
                </c:pt>
                <c:pt idx="74">
                  <c:v>0.040689887002113</c:v>
                </c:pt>
                <c:pt idx="75">
                  <c:v>0.041293032939818</c:v>
                </c:pt>
                <c:pt idx="76">
                  <c:v>0.041896193567346</c:v>
                </c:pt>
                <c:pt idx="77">
                  <c:v>0.04249937473862</c:v>
                </c:pt>
                <c:pt idx="78">
                  <c:v>0.043102575697188</c:v>
                </c:pt>
                <c:pt idx="79">
                  <c:v>0.043705798057384</c:v>
                </c:pt>
                <c:pt idx="80">
                  <c:v>0.044309035167648</c:v>
                </c:pt>
                <c:pt idx="81">
                  <c:v>0.044912298592005</c:v>
                </c:pt>
                <c:pt idx="82">
                  <c:v>0.045515579067337</c:v>
                </c:pt>
                <c:pt idx="83">
                  <c:v>0.046118880468053</c:v>
                </c:pt>
                <c:pt idx="84">
                  <c:v>0.046722205569979</c:v>
                </c:pt>
                <c:pt idx="85">
                  <c:v>0.047325551297226</c:v>
                </c:pt>
                <c:pt idx="86">
                  <c:v>0.047928920003106</c:v>
                </c:pt>
                <c:pt idx="87">
                  <c:v>0.048532311311235</c:v>
                </c:pt>
                <c:pt idx="88">
                  <c:v>0.049115460853542</c:v>
                </c:pt>
              </c:numCache>
            </c:numRef>
          </c:xVal>
          <c:yVal>
            <c:numRef>
              <c:f>'473K'!$N$2:$N$1500</c:f>
              <c:numCache>
                <c:formatCode>General</c:formatCode>
                <c:ptCount val="1499"/>
                <c:pt idx="0">
                  <c:v>0</c:v>
                </c:pt>
                <c:pt idx="1">
                  <c:v>1.8236769201752</c:v>
                </c:pt>
                <c:pt idx="2">
                  <c:v>13.025053372763</c:v>
                </c:pt>
                <c:pt idx="3">
                  <c:v>70.725428155971</c:v>
                </c:pt>
                <c:pt idx="4">
                  <c:v>146.43745190292</c:v>
                </c:pt>
                <c:pt idx="5">
                  <c:v>289.20477135265</c:v>
                </c:pt>
                <c:pt idx="6">
                  <c:v>432.53529387635</c:v>
                </c:pt>
                <c:pt idx="7">
                  <c:v>530.01600509724</c:v>
                </c:pt>
                <c:pt idx="8">
                  <c:v>562.29768659558</c:v>
                </c:pt>
                <c:pt idx="9">
                  <c:v>580.47864096825</c:v>
                </c:pt>
                <c:pt idx="10">
                  <c:v>592.83472758954</c:v>
                </c:pt>
                <c:pt idx="11">
                  <c:v>601.69155566828</c:v>
                </c:pt>
                <c:pt idx="12">
                  <c:v>608.20404573601</c:v>
                </c:pt>
                <c:pt idx="13">
                  <c:v>613.35913244111</c:v>
                </c:pt>
                <c:pt idx="14">
                  <c:v>617.67402499964</c:v>
                </c:pt>
                <c:pt idx="15">
                  <c:v>621.43170962067</c:v>
                </c:pt>
                <c:pt idx="16">
                  <c:v>624.83342494376</c:v>
                </c:pt>
                <c:pt idx="17">
                  <c:v>627.99489110472</c:v>
                </c:pt>
                <c:pt idx="18">
                  <c:v>630.97401146735</c:v>
                </c:pt>
                <c:pt idx="19">
                  <c:v>633.81129289513</c:v>
                </c:pt>
                <c:pt idx="20">
                  <c:v>636.53376941475</c:v>
                </c:pt>
                <c:pt idx="21">
                  <c:v>639.15849531024</c:v>
                </c:pt>
                <c:pt idx="22">
                  <c:v>641.7071740507</c:v>
                </c:pt>
                <c:pt idx="23">
                  <c:v>644.19494386542</c:v>
                </c:pt>
                <c:pt idx="24">
                  <c:v>646.63385257467</c:v>
                </c:pt>
                <c:pt idx="25">
                  <c:v>649.02759144882</c:v>
                </c:pt>
                <c:pt idx="26">
                  <c:v>651.38299333791</c:v>
                </c:pt>
                <c:pt idx="27">
                  <c:v>653.70679037046</c:v>
                </c:pt>
                <c:pt idx="28">
                  <c:v>655.99493188537</c:v>
                </c:pt>
                <c:pt idx="29">
                  <c:v>658.25570554631</c:v>
                </c:pt>
                <c:pt idx="30">
                  <c:v>660.48776318539</c:v>
                </c:pt>
                <c:pt idx="31">
                  <c:v>662.69478791946</c:v>
                </c:pt>
                <c:pt idx="32">
                  <c:v>664.87950694028</c:v>
                </c:pt>
                <c:pt idx="33">
                  <c:v>667.03945628773</c:v>
                </c:pt>
                <c:pt idx="34">
                  <c:v>669.18105292723</c:v>
                </c:pt>
                <c:pt idx="35">
                  <c:v>671.30470423453</c:v>
                </c:pt>
                <c:pt idx="36">
                  <c:v>673.41054766874</c:v>
                </c:pt>
                <c:pt idx="37">
                  <c:v>675.50074444291</c:v>
                </c:pt>
                <c:pt idx="38">
                  <c:v>677.575804322</c:v>
                </c:pt>
                <c:pt idx="39">
                  <c:v>679.63625138815</c:v>
                </c:pt>
                <c:pt idx="40">
                  <c:v>681.68601549725</c:v>
                </c:pt>
                <c:pt idx="41">
                  <c:v>683.72052737246</c:v>
                </c:pt>
                <c:pt idx="42">
                  <c:v>685.74309081117</c:v>
                </c:pt>
                <c:pt idx="43">
                  <c:v>687.75486610234</c:v>
                </c:pt>
                <c:pt idx="44">
                  <c:v>689.75478716553</c:v>
                </c:pt>
                <c:pt idx="45">
                  <c:v>691.74212480744</c:v>
                </c:pt>
                <c:pt idx="46">
                  <c:v>693.71914783926</c:v>
                </c:pt>
                <c:pt idx="47">
                  <c:v>695.68549403016</c:v>
                </c:pt>
                <c:pt idx="48">
                  <c:v>697.64133658291</c:v>
                </c:pt>
                <c:pt idx="49">
                  <c:v>699.58741506591</c:v>
                </c:pt>
                <c:pt idx="50">
                  <c:v>701.52292787504</c:v>
                </c:pt>
                <c:pt idx="51">
                  <c:v>703.44815124448</c:v>
                </c:pt>
                <c:pt idx="52">
                  <c:v>705.36334037484</c:v>
                </c:pt>
                <c:pt idx="53">
                  <c:v>707.26887458562</c:v>
                </c:pt>
                <c:pt idx="54">
                  <c:v>709.16581971939</c:v>
                </c:pt>
                <c:pt idx="55">
                  <c:v>711.05229225784</c:v>
                </c:pt>
                <c:pt idx="56">
                  <c:v>712.92952054627</c:v>
                </c:pt>
                <c:pt idx="57">
                  <c:v>714.79791854434</c:v>
                </c:pt>
                <c:pt idx="58">
                  <c:v>716.6555282404</c:v>
                </c:pt>
                <c:pt idx="59">
                  <c:v>718.50570339737</c:v>
                </c:pt>
                <c:pt idx="60">
                  <c:v>720.34727792079</c:v>
                </c:pt>
                <c:pt idx="61">
                  <c:v>722.18096477098</c:v>
                </c:pt>
                <c:pt idx="62">
                  <c:v>724.00649571906</c:v>
                </c:pt>
                <c:pt idx="63">
                  <c:v>725.82394276765</c:v>
                </c:pt>
                <c:pt idx="64">
                  <c:v>727.63336821589</c:v>
                </c:pt>
                <c:pt idx="65">
                  <c:v>729.43513789117</c:v>
                </c:pt>
                <c:pt idx="66">
                  <c:v>731.22942552648</c:v>
                </c:pt>
                <c:pt idx="67">
                  <c:v>733.01786588674</c:v>
                </c:pt>
                <c:pt idx="68">
                  <c:v>734.79751566218</c:v>
                </c:pt>
                <c:pt idx="69">
                  <c:v>736.57008190567</c:v>
                </c:pt>
                <c:pt idx="70">
                  <c:v>738.33568573713</c:v>
                </c:pt>
                <c:pt idx="71">
                  <c:v>740.09387487167</c:v>
                </c:pt>
                <c:pt idx="72">
                  <c:v>741.84525642603</c:v>
                </c:pt>
                <c:pt idx="73">
                  <c:v>743.59026241555</c:v>
                </c:pt>
                <c:pt idx="74">
                  <c:v>745.32746348632</c:v>
                </c:pt>
                <c:pt idx="75">
                  <c:v>747.05807849272</c:v>
                </c:pt>
                <c:pt idx="76">
                  <c:v>748.78262505466</c:v>
                </c:pt>
                <c:pt idx="77">
                  <c:v>750.50007782908</c:v>
                </c:pt>
                <c:pt idx="78">
                  <c:v>752.21087451052</c:v>
                </c:pt>
                <c:pt idx="79">
                  <c:v>753.91487624703</c:v>
                </c:pt>
                <c:pt idx="80">
                  <c:v>755.61362059515</c:v>
                </c:pt>
                <c:pt idx="81">
                  <c:v>757.30461509414</c:v>
                </c:pt>
                <c:pt idx="82">
                  <c:v>758.98982980311</c:v>
                </c:pt>
                <c:pt idx="83">
                  <c:v>760.66894046697</c:v>
                </c:pt>
                <c:pt idx="84">
                  <c:v>762.34133444708</c:v>
                </c:pt>
                <c:pt idx="85">
                  <c:v>764.00788920573</c:v>
                </c:pt>
                <c:pt idx="86">
                  <c:v>765.66826310027</c:v>
                </c:pt>
                <c:pt idx="87">
                  <c:v>767.32268992441</c:v>
                </c:pt>
                <c:pt idx="88">
                  <c:v>768.93686023397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"Sim_673K"</c:f>
              <c:strCache>
                <c:ptCount val="1"/>
                <c:pt idx="0">
                  <c:v>Sim_673K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'673K'!$B$2:$B$1500</c:f>
              <c:numCache>
                <c:formatCode>General</c:formatCode>
                <c:ptCount val="1499"/>
                <c:pt idx="0">
                  <c:v>0</c:v>
                </c:pt>
                <c:pt idx="1" c:formatCode="0.00E+00">
                  <c:v>2.2178374463578e-41</c:v>
                </c:pt>
                <c:pt idx="2" c:formatCode="0.00E+00">
                  <c:v>8.3572362207026e-36</c:v>
                </c:pt>
                <c:pt idx="3" c:formatCode="0.00E+00">
                  <c:v>6.9304166106862e-25</c:v>
                </c:pt>
                <c:pt idx="4" c:formatCode="0.00E+00">
                  <c:v>2.2961135891342e-17</c:v>
                </c:pt>
                <c:pt idx="5" c:formatCode="0.00E+00">
                  <c:v>3.6622480889542e-9</c:v>
                </c:pt>
                <c:pt idx="6" c:formatCode="0.00E+00">
                  <c:v>6.9785027342936e-5</c:v>
                </c:pt>
                <c:pt idx="7">
                  <c:v>0.00055691340877463</c:v>
                </c:pt>
                <c:pt idx="8">
                  <c:v>0.0011654174149323</c:v>
                </c:pt>
                <c:pt idx="9">
                  <c:v>0.0017822422641528</c:v>
                </c:pt>
                <c:pt idx="10">
                  <c:v>0.0023950902904129</c:v>
                </c:pt>
                <c:pt idx="11">
                  <c:v>0.0030043293454037</c:v>
                </c:pt>
                <c:pt idx="12">
                  <c:v>0.0036117174579976</c:v>
                </c:pt>
                <c:pt idx="13">
                  <c:v>0.0042181123622637</c:v>
                </c:pt>
                <c:pt idx="14">
                  <c:v>0.0048242343047069</c:v>
                </c:pt>
                <c:pt idx="15">
                  <c:v>0.0054303007693933</c:v>
                </c:pt>
                <c:pt idx="16">
                  <c:v>0.0060363372714548</c:v>
                </c:pt>
                <c:pt idx="17">
                  <c:v>0.0066422654264505</c:v>
                </c:pt>
                <c:pt idx="18">
                  <c:v>0.007248079872794</c:v>
                </c:pt>
                <c:pt idx="19">
                  <c:v>0.0078538902269273</c:v>
                </c:pt>
                <c:pt idx="20">
                  <c:v>0.0084597530025437</c:v>
                </c:pt>
                <c:pt idx="21">
                  <c:v>0.0090656440392551</c:v>
                </c:pt>
                <c:pt idx="22">
                  <c:v>0.0096715339327364</c:v>
                </c:pt>
                <c:pt idx="23">
                  <c:v>0.010277392608739</c:v>
                </c:pt>
                <c:pt idx="24">
                  <c:v>0.010883158123706</c:v>
                </c:pt>
                <c:pt idx="25">
                  <c:v>0.011488808079878</c:v>
                </c:pt>
                <c:pt idx="26">
                  <c:v>0.012094359008269</c:v>
                </c:pt>
                <c:pt idx="27">
                  <c:v>0.012699824423035</c:v>
                </c:pt>
                <c:pt idx="28">
                  <c:v>0.013305223027742</c:v>
                </c:pt>
                <c:pt idx="29">
                  <c:v>0.013910582320085</c:v>
                </c:pt>
                <c:pt idx="30">
                  <c:v>0.01451590958638</c:v>
                </c:pt>
                <c:pt idx="31">
                  <c:v>0.015121209635039</c:v>
                </c:pt>
                <c:pt idx="32">
                  <c:v>0.015726480894469</c:v>
                </c:pt>
                <c:pt idx="33">
                  <c:v>0.016331727551554</c:v>
                </c:pt>
                <c:pt idx="34">
                  <c:v>0.016936952353922</c:v>
                </c:pt>
                <c:pt idx="35">
                  <c:v>0.017542156876955</c:v>
                </c:pt>
                <c:pt idx="36">
                  <c:v>0.018147338757242</c:v>
                </c:pt>
                <c:pt idx="37">
                  <c:v>0.018752495297218</c:v>
                </c:pt>
                <c:pt idx="38">
                  <c:v>0.019357624145723</c:v>
                </c:pt>
                <c:pt idx="39">
                  <c:v>0.019962713147072</c:v>
                </c:pt>
                <c:pt idx="40">
                  <c:v>0.020567766607263</c:v>
                </c:pt>
                <c:pt idx="41">
                  <c:v>0.021172773265636</c:v>
                </c:pt>
                <c:pt idx="42">
                  <c:v>0.021777719628981</c:v>
                </c:pt>
                <c:pt idx="43">
                  <c:v>0.022382598818979</c:v>
                </c:pt>
                <c:pt idx="44">
                  <c:v>0.022987405318948</c:v>
                </c:pt>
                <c:pt idx="45">
                  <c:v>0.023592141947382</c:v>
                </c:pt>
                <c:pt idx="46">
                  <c:v>0.0241968185678</c:v>
                </c:pt>
                <c:pt idx="47">
                  <c:v>0.024801435556461</c:v>
                </c:pt>
                <c:pt idx="48">
                  <c:v>0.025406001382668</c:v>
                </c:pt>
                <c:pt idx="49">
                  <c:v>0.026010524149318</c:v>
                </c:pt>
                <c:pt idx="50">
                  <c:v>0.026615003688475</c:v>
                </c:pt>
                <c:pt idx="51">
                  <c:v>0.02721944356389</c:v>
                </c:pt>
                <c:pt idx="52">
                  <c:v>0.027823846813854</c:v>
                </c:pt>
                <c:pt idx="53">
                  <c:v>0.02842821598292</c:v>
                </c:pt>
                <c:pt idx="54">
                  <c:v>0.029032548619971</c:v>
                </c:pt>
                <c:pt idx="55">
                  <c:v>0.029636853156961</c:v>
                </c:pt>
                <c:pt idx="56">
                  <c:v>0.030241129583358</c:v>
                </c:pt>
                <c:pt idx="57">
                  <c:v>0.030845382749636</c:v>
                </c:pt>
                <c:pt idx="58">
                  <c:v>0.031449618277794</c:v>
                </c:pt>
                <c:pt idx="59">
                  <c:v>0.032053830701401</c:v>
                </c:pt>
                <c:pt idx="60">
                  <c:v>0.032658030132649</c:v>
                </c:pt>
                <c:pt idx="61">
                  <c:v>0.033262212947512</c:v>
                </c:pt>
                <c:pt idx="62">
                  <c:v>0.033866382864566</c:v>
                </c:pt>
                <c:pt idx="63">
                  <c:v>0.034470537506867</c:v>
                </c:pt>
                <c:pt idx="64">
                  <c:v>0.035074683710919</c:v>
                </c:pt>
                <c:pt idx="65">
                  <c:v>0.035678823925751</c:v>
                </c:pt>
                <c:pt idx="66">
                  <c:v>0.036282957383032</c:v>
                </c:pt>
                <c:pt idx="67">
                  <c:v>0.036887083747037</c:v>
                </c:pt>
                <c:pt idx="68">
                  <c:v>0.037491208573925</c:v>
                </c:pt>
                <c:pt idx="69">
                  <c:v>0.038095329690285</c:v>
                </c:pt>
                <c:pt idx="70">
                  <c:v>0.038699450447198</c:v>
                </c:pt>
                <c:pt idx="71">
                  <c:v>0.03930357432347</c:v>
                </c:pt>
                <c:pt idx="72">
                  <c:v>0.039907695551042</c:v>
                </c:pt>
                <c:pt idx="73">
                  <c:v>0.04051182531638</c:v>
                </c:pt>
                <c:pt idx="74">
                  <c:v>0.041115959904041</c:v>
                </c:pt>
                <c:pt idx="75">
                  <c:v>0.041720098573778</c:v>
                </c:pt>
                <c:pt idx="76">
                  <c:v>0.042324247378356</c:v>
                </c:pt>
                <c:pt idx="77">
                  <c:v>0.042928408126443</c:v>
                </c:pt>
                <c:pt idx="78">
                  <c:v>0.043532581025936</c:v>
                </c:pt>
                <c:pt idx="79">
                  <c:v>0.044136763701907</c:v>
                </c:pt>
                <c:pt idx="80">
                  <c:v>0.044740962747827</c:v>
                </c:pt>
                <c:pt idx="81">
                  <c:v>0.045345175900881</c:v>
                </c:pt>
                <c:pt idx="82">
                  <c:v>0.045949399950677</c:v>
                </c:pt>
                <c:pt idx="83">
                  <c:v>0.046553641985578</c:v>
                </c:pt>
                <c:pt idx="84">
                  <c:v>0.047157901482521</c:v>
                </c:pt>
                <c:pt idx="85">
                  <c:v>0.047762177993035</c:v>
                </c:pt>
                <c:pt idx="86">
                  <c:v>0.048366471860119</c:v>
                </c:pt>
                <c:pt idx="87">
                  <c:v>0.048970789216271</c:v>
                </c:pt>
                <c:pt idx="88">
                  <c:v>0.049554809199571</c:v>
                </c:pt>
              </c:numCache>
            </c:numRef>
          </c:xVal>
          <c:yVal>
            <c:numRef>
              <c:f>'673K'!$N$2:$N$1400</c:f>
              <c:numCache>
                <c:formatCode>General</c:formatCode>
                <c:ptCount val="1399"/>
                <c:pt idx="0">
                  <c:v>0</c:v>
                </c:pt>
                <c:pt idx="1">
                  <c:v>1.714023442138</c:v>
                </c:pt>
                <c:pt idx="2">
                  <c:v>12.241923210628</c:v>
                </c:pt>
                <c:pt idx="3">
                  <c:v>66.47417898324</c:v>
                </c:pt>
                <c:pt idx="4">
                  <c:v>137.63796568834</c:v>
                </c:pt>
                <c:pt idx="5">
                  <c:v>271.83674080884</c:v>
                </c:pt>
                <c:pt idx="6">
                  <c:v>393.62154482913</c:v>
                </c:pt>
                <c:pt idx="7">
                  <c:v>437.70097422713</c:v>
                </c:pt>
                <c:pt idx="8">
                  <c:v>455.21081239218</c:v>
                </c:pt>
                <c:pt idx="9">
                  <c:v>465.54923493265</c:v>
                </c:pt>
                <c:pt idx="10">
                  <c:v>472.24471718026</c:v>
                </c:pt>
                <c:pt idx="11">
                  <c:v>476.93215312134</c:v>
                </c:pt>
                <c:pt idx="12">
                  <c:v>480.59004139473</c:v>
                </c:pt>
                <c:pt idx="13">
                  <c:v>483.63724026551</c:v>
                </c:pt>
                <c:pt idx="14">
                  <c:v>486.30720471608</c:v>
                </c:pt>
                <c:pt idx="15">
                  <c:v>488.72288598714</c:v>
                </c:pt>
                <c:pt idx="16">
                  <c:v>490.95839395142</c:v>
                </c:pt>
                <c:pt idx="17">
                  <c:v>493.05927886199</c:v>
                </c:pt>
                <c:pt idx="18">
                  <c:v>495.06092200976</c:v>
                </c:pt>
                <c:pt idx="19">
                  <c:v>496.99083844958</c:v>
                </c:pt>
                <c:pt idx="20">
                  <c:v>498.8669139213</c:v>
                </c:pt>
                <c:pt idx="21">
                  <c:v>500.69476028786</c:v>
                </c:pt>
                <c:pt idx="22">
                  <c:v>502.48465038839</c:v>
                </c:pt>
                <c:pt idx="23">
                  <c:v>504.24042200897</c:v>
                </c:pt>
                <c:pt idx="24">
                  <c:v>505.96464521965</c:v>
                </c:pt>
                <c:pt idx="25">
                  <c:v>507.65996435401</c:v>
                </c:pt>
                <c:pt idx="26">
                  <c:v>509.32914691386</c:v>
                </c:pt>
                <c:pt idx="27">
                  <c:v>510.97631743357</c:v>
                </c:pt>
                <c:pt idx="28">
                  <c:v>512.60470147288</c:v>
                </c:pt>
                <c:pt idx="29">
                  <c:v>514.21452802023</c:v>
                </c:pt>
                <c:pt idx="30">
                  <c:v>515.80829068851</c:v>
                </c:pt>
                <c:pt idx="31">
                  <c:v>517.38708545233</c:v>
                </c:pt>
                <c:pt idx="32">
                  <c:v>518.95261077338</c:v>
                </c:pt>
                <c:pt idx="33">
                  <c:v>520.50508323726</c:v>
                </c:pt>
                <c:pt idx="34">
                  <c:v>522.04512570696</c:v>
                </c:pt>
                <c:pt idx="35">
                  <c:v>523.57347996746</c:v>
                </c:pt>
                <c:pt idx="36">
                  <c:v>525.0909215591</c:v>
                </c:pt>
                <c:pt idx="37">
                  <c:v>526.59802610396</c:v>
                </c:pt>
                <c:pt idx="38">
                  <c:v>528.0950025512</c:v>
                </c:pt>
                <c:pt idx="39">
                  <c:v>529.58308868035</c:v>
                </c:pt>
                <c:pt idx="40">
                  <c:v>531.06095279797</c:v>
                </c:pt>
                <c:pt idx="41">
                  <c:v>532.52917137219</c:v>
                </c:pt>
                <c:pt idx="42">
                  <c:v>533.98850146734</c:v>
                </c:pt>
                <c:pt idx="43">
                  <c:v>535.43877224921</c:v>
                </c:pt>
                <c:pt idx="44">
                  <c:v>536.88047091906</c:v>
                </c:pt>
                <c:pt idx="45">
                  <c:v>538.31389448437</c:v>
                </c:pt>
                <c:pt idx="46">
                  <c:v>539.73880107525</c:v>
                </c:pt>
                <c:pt idx="47">
                  <c:v>541.15632525494</c:v>
                </c:pt>
                <c:pt idx="48">
                  <c:v>542.56675179569</c:v>
                </c:pt>
                <c:pt idx="49">
                  <c:v>543.96927183841</c:v>
                </c:pt>
                <c:pt idx="50">
                  <c:v>545.36472647401</c:v>
                </c:pt>
                <c:pt idx="51">
                  <c:v>546.7531601707</c:v>
                </c:pt>
                <c:pt idx="52">
                  <c:v>548.13459156697</c:v>
                </c:pt>
                <c:pt idx="53">
                  <c:v>549.50906956245</c:v>
                </c:pt>
                <c:pt idx="54">
                  <c:v>550.87791042482</c:v>
                </c:pt>
                <c:pt idx="55">
                  <c:v>552.24009246943</c:v>
                </c:pt>
                <c:pt idx="56">
                  <c:v>553.59604072134</c:v>
                </c:pt>
                <c:pt idx="57">
                  <c:v>554.94565440008</c:v>
                </c:pt>
                <c:pt idx="58">
                  <c:v>556.28852353839</c:v>
                </c:pt>
                <c:pt idx="59">
                  <c:v>557.62608280405</c:v>
                </c:pt>
                <c:pt idx="60">
                  <c:v>558.9572130346</c:v>
                </c:pt>
                <c:pt idx="61">
                  <c:v>560.28286236158</c:v>
                </c:pt>
                <c:pt idx="62">
                  <c:v>561.60294639407</c:v>
                </c:pt>
                <c:pt idx="63">
                  <c:v>562.91817493148</c:v>
                </c:pt>
                <c:pt idx="64">
                  <c:v>564.2277832511</c:v>
                </c:pt>
                <c:pt idx="65">
                  <c:v>565.5315958132</c:v>
                </c:pt>
                <c:pt idx="66">
                  <c:v>566.82997943808</c:v>
                </c:pt>
                <c:pt idx="67">
                  <c:v>568.12313697556</c:v>
                </c:pt>
                <c:pt idx="68">
                  <c:v>569.41074072003</c:v>
                </c:pt>
                <c:pt idx="69">
                  <c:v>570.69326081983</c:v>
                </c:pt>
                <c:pt idx="70">
                  <c:v>571.97068675301</c:v>
                </c:pt>
                <c:pt idx="71">
                  <c:v>573.24260390409</c:v>
                </c:pt>
                <c:pt idx="72">
                  <c:v>574.51064467784</c:v>
                </c:pt>
                <c:pt idx="73">
                  <c:v>575.77287117164</c:v>
                </c:pt>
                <c:pt idx="74">
                  <c:v>577.0304111441</c:v>
                </c:pt>
                <c:pt idx="75">
                  <c:v>578.28361375129</c:v>
                </c:pt>
                <c:pt idx="76">
                  <c:v>579.53195540026</c:v>
                </c:pt>
                <c:pt idx="77">
                  <c:v>580.77523460032</c:v>
                </c:pt>
                <c:pt idx="78">
                  <c:v>582.01365878388</c:v>
                </c:pt>
                <c:pt idx="79">
                  <c:v>583.24800805791</c:v>
                </c:pt>
                <c:pt idx="80">
                  <c:v>584.47714163835</c:v>
                </c:pt>
                <c:pt idx="81">
                  <c:v>585.70169370764</c:v>
                </c:pt>
                <c:pt idx="82">
                  <c:v>586.92281717898</c:v>
                </c:pt>
                <c:pt idx="83">
                  <c:v>588.13869379467</c:v>
                </c:pt>
                <c:pt idx="84">
                  <c:v>589.35034859365</c:v>
                </c:pt>
                <c:pt idx="85">
                  <c:v>590.55774371709</c:v>
                </c:pt>
                <c:pt idx="86">
                  <c:v>591.76129828309</c:v>
                </c:pt>
                <c:pt idx="87">
                  <c:v>592.95990504681</c:v>
                </c:pt>
                <c:pt idx="88">
                  <c:v>594.13729149477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  <c:max val="0.0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0.xml"/><Relationship Id="rId8" Type="http://schemas.openxmlformats.org/officeDocument/2006/relationships/chart" Target="../charts/chart9.xml"/><Relationship Id="rId7" Type="http://schemas.openxmlformats.org/officeDocument/2006/relationships/chart" Target="../charts/chart8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0</xdr:colOff>
      <xdr:row>46</xdr:row>
      <xdr:rowOff>0</xdr:rowOff>
    </xdr:from>
    <xdr:to>
      <xdr:col>22</xdr:col>
      <xdr:colOff>298450</xdr:colOff>
      <xdr:row>79</xdr:row>
      <xdr:rowOff>104140</xdr:rowOff>
    </xdr:to>
    <xdr:graphicFrame>
      <xdr:nvGraphicFramePr>
        <xdr:cNvPr id="2" name="Chart 1"/>
        <xdr:cNvGraphicFramePr/>
      </xdr:nvGraphicFramePr>
      <xdr:xfrm>
        <a:off x="9067800" y="8763000"/>
        <a:ext cx="847852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11</xdr:col>
      <xdr:colOff>161925</xdr:colOff>
      <xdr:row>33</xdr:row>
      <xdr:rowOff>113665</xdr:rowOff>
    </xdr:to>
    <xdr:graphicFrame>
      <xdr:nvGraphicFramePr>
        <xdr:cNvPr id="2" name="Chart 1"/>
        <xdr:cNvGraphicFramePr/>
      </xdr:nvGraphicFramePr>
      <xdr:xfrm>
        <a:off x="9525" y="9525"/>
        <a:ext cx="846455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11</xdr:col>
      <xdr:colOff>152400</xdr:colOff>
      <xdr:row>73</xdr:row>
      <xdr:rowOff>104140</xdr:rowOff>
    </xdr:to>
    <xdr:graphicFrame>
      <xdr:nvGraphicFramePr>
        <xdr:cNvPr id="3" name="Chart 2"/>
        <xdr:cNvGraphicFramePr/>
      </xdr:nvGraphicFramePr>
      <xdr:xfrm>
        <a:off x="0" y="7620000"/>
        <a:ext cx="846455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11</xdr:col>
      <xdr:colOff>152400</xdr:colOff>
      <xdr:row>110</xdr:row>
      <xdr:rowOff>104140</xdr:rowOff>
    </xdr:to>
    <xdr:graphicFrame>
      <xdr:nvGraphicFramePr>
        <xdr:cNvPr id="4" name="Chart 3"/>
        <xdr:cNvGraphicFramePr/>
      </xdr:nvGraphicFramePr>
      <xdr:xfrm>
        <a:off x="0" y="14668500"/>
        <a:ext cx="846455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118</xdr:row>
      <xdr:rowOff>0</xdr:rowOff>
    </xdr:from>
    <xdr:to>
      <xdr:col>11</xdr:col>
      <xdr:colOff>152400</xdr:colOff>
      <xdr:row>151</xdr:row>
      <xdr:rowOff>104140</xdr:rowOff>
    </xdr:to>
    <xdr:graphicFrame>
      <xdr:nvGraphicFramePr>
        <xdr:cNvPr id="5" name="Chart 4"/>
        <xdr:cNvGraphicFramePr/>
      </xdr:nvGraphicFramePr>
      <xdr:xfrm>
        <a:off x="0" y="22479000"/>
        <a:ext cx="846455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156</xdr:row>
      <xdr:rowOff>0</xdr:rowOff>
    </xdr:from>
    <xdr:to>
      <xdr:col>11</xdr:col>
      <xdr:colOff>152400</xdr:colOff>
      <xdr:row>189</xdr:row>
      <xdr:rowOff>104140</xdr:rowOff>
    </xdr:to>
    <xdr:graphicFrame>
      <xdr:nvGraphicFramePr>
        <xdr:cNvPr id="6" name="Chart 5"/>
        <xdr:cNvGraphicFramePr/>
      </xdr:nvGraphicFramePr>
      <xdr:xfrm>
        <a:off x="0" y="29718000"/>
        <a:ext cx="846455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196</xdr:row>
      <xdr:rowOff>0</xdr:rowOff>
    </xdr:from>
    <xdr:to>
      <xdr:col>11</xdr:col>
      <xdr:colOff>152400</xdr:colOff>
      <xdr:row>229</xdr:row>
      <xdr:rowOff>104140</xdr:rowOff>
    </xdr:to>
    <xdr:graphicFrame>
      <xdr:nvGraphicFramePr>
        <xdr:cNvPr id="7" name="Chart 6"/>
        <xdr:cNvGraphicFramePr/>
      </xdr:nvGraphicFramePr>
      <xdr:xfrm>
        <a:off x="0" y="37338000"/>
        <a:ext cx="846455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236</xdr:row>
      <xdr:rowOff>0</xdr:rowOff>
    </xdr:from>
    <xdr:to>
      <xdr:col>11</xdr:col>
      <xdr:colOff>152400</xdr:colOff>
      <xdr:row>269</xdr:row>
      <xdr:rowOff>104140</xdr:rowOff>
    </xdr:to>
    <xdr:graphicFrame>
      <xdr:nvGraphicFramePr>
        <xdr:cNvPr id="8" name="Chart 7"/>
        <xdr:cNvGraphicFramePr/>
      </xdr:nvGraphicFramePr>
      <xdr:xfrm>
        <a:off x="0" y="44958000"/>
        <a:ext cx="846455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275</xdr:row>
      <xdr:rowOff>0</xdr:rowOff>
    </xdr:from>
    <xdr:to>
      <xdr:col>11</xdr:col>
      <xdr:colOff>152400</xdr:colOff>
      <xdr:row>308</xdr:row>
      <xdr:rowOff>104140</xdr:rowOff>
    </xdr:to>
    <xdr:graphicFrame>
      <xdr:nvGraphicFramePr>
        <xdr:cNvPr id="9" name="Chart 8"/>
        <xdr:cNvGraphicFramePr/>
      </xdr:nvGraphicFramePr>
      <xdr:xfrm>
        <a:off x="0" y="52387500"/>
        <a:ext cx="846455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314</xdr:row>
      <xdr:rowOff>0</xdr:rowOff>
    </xdr:from>
    <xdr:to>
      <xdr:col>11</xdr:col>
      <xdr:colOff>152400</xdr:colOff>
      <xdr:row>347</xdr:row>
      <xdr:rowOff>104140</xdr:rowOff>
    </xdr:to>
    <xdr:graphicFrame>
      <xdr:nvGraphicFramePr>
        <xdr:cNvPr id="10" name="Chart 9"/>
        <xdr:cNvGraphicFramePr/>
      </xdr:nvGraphicFramePr>
      <xdr:xfrm>
        <a:off x="0" y="59817000"/>
        <a:ext cx="846455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5"/>
  <sheetViews>
    <sheetView topLeftCell="G1" workbookViewId="0">
      <selection activeCell="AB3" sqref="AB3"/>
    </sheetView>
  </sheetViews>
  <sheetFormatPr defaultColWidth="8.81481481481481" defaultRowHeight="15"/>
  <cols>
    <col min="17" max="17" width="12.4518518518519"/>
    <col min="20" max="20" width="12.4518518518519"/>
    <col min="23" max="23" width="12.4518518518519"/>
    <col min="26" max="26" width="12.4518518518519"/>
  </cols>
  <sheetData>
    <row r="1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28">
      <c r="A2" s="7" t="s">
        <v>1</v>
      </c>
      <c r="B2" s="7"/>
      <c r="C2" s="4"/>
      <c r="D2" s="7" t="s">
        <v>2</v>
      </c>
      <c r="E2" s="7"/>
      <c r="F2" s="4"/>
      <c r="G2" s="7" t="s">
        <v>3</v>
      </c>
      <c r="H2" s="7"/>
      <c r="I2" s="4"/>
      <c r="J2" s="7" t="s">
        <v>4</v>
      </c>
      <c r="K2" s="7"/>
      <c r="L2" s="4"/>
      <c r="M2" s="7" t="s">
        <v>5</v>
      </c>
      <c r="N2" s="7"/>
      <c r="P2" t="s">
        <v>6</v>
      </c>
      <c r="S2" t="s">
        <v>7</v>
      </c>
      <c r="V2" t="s">
        <v>8</v>
      </c>
      <c r="Y2" t="s">
        <v>9</v>
      </c>
      <c r="AB2" t="s">
        <v>10</v>
      </c>
    </row>
    <row r="3" spans="1:29">
      <c r="A3" s="4">
        <v>0.00243</v>
      </c>
      <c r="B3" s="4">
        <v>287.54627</v>
      </c>
      <c r="C3" s="4"/>
      <c r="D3" s="4">
        <v>0.0024</v>
      </c>
      <c r="E3" s="4">
        <v>345.07187</v>
      </c>
      <c r="F3" s="4"/>
      <c r="G3" s="4">
        <v>0.00257</v>
      </c>
      <c r="H3" s="4">
        <v>403.8299</v>
      </c>
      <c r="I3" s="4"/>
      <c r="J3" s="4">
        <v>0.00232</v>
      </c>
      <c r="K3" s="4">
        <v>429.74229</v>
      </c>
      <c r="L3" s="4"/>
      <c r="M3" s="4">
        <v>0.00231</v>
      </c>
      <c r="N3" s="4">
        <v>448.23921</v>
      </c>
      <c r="P3">
        <v>0.003</v>
      </c>
      <c r="Q3">
        <f>788.687*P3^0.092</f>
        <v>462.167963485811</v>
      </c>
      <c r="S3">
        <v>0.003</v>
      </c>
      <c r="T3">
        <f>795.02*S3^0.08892</f>
        <v>474.289681235917</v>
      </c>
      <c r="V3">
        <v>0.003</v>
      </c>
      <c r="W3">
        <f>873.306*V3^0.10255</f>
        <v>481.332546568632</v>
      </c>
      <c r="Y3">
        <v>0.003</v>
      </c>
      <c r="Z3">
        <f>976.79*Y3^0.09551</f>
        <v>560.842679910816</v>
      </c>
      <c r="AB3" s="8">
        <v>0</v>
      </c>
      <c r="AC3" s="8">
        <v>0</v>
      </c>
    </row>
    <row r="4" spans="1:29">
      <c r="A4" s="4">
        <v>0.00272</v>
      </c>
      <c r="B4" s="4">
        <v>290.5856</v>
      </c>
      <c r="C4" s="4"/>
      <c r="D4" s="4">
        <v>0.00271</v>
      </c>
      <c r="E4" s="4">
        <v>348.62585</v>
      </c>
      <c r="F4" s="4"/>
      <c r="G4" s="4">
        <v>0.00288</v>
      </c>
      <c r="H4" s="4">
        <v>406.36375</v>
      </c>
      <c r="I4" s="4"/>
      <c r="J4" s="4">
        <v>0.00266</v>
      </c>
      <c r="K4" s="4">
        <v>435.39068</v>
      </c>
      <c r="L4" s="4"/>
      <c r="M4" s="4">
        <v>0.00259</v>
      </c>
      <c r="N4" s="4">
        <v>452.40283</v>
      </c>
      <c r="P4">
        <v>0.01</v>
      </c>
      <c r="Q4">
        <f t="shared" ref="Q4:Q19" si="0">788.687*P4^0.092</f>
        <v>516.303040216597</v>
      </c>
      <c r="S4">
        <v>0.01</v>
      </c>
      <c r="T4">
        <f t="shared" ref="T4:T19" si="1">795.02*S4^0.08892</f>
        <v>527.883459464422</v>
      </c>
      <c r="V4">
        <v>0.01</v>
      </c>
      <c r="W4">
        <f t="shared" ref="W4:W19" si="2">873.306*V4^0.10255</f>
        <v>544.585964245692</v>
      </c>
      <c r="Y4">
        <v>0.01</v>
      </c>
      <c r="Z4">
        <f t="shared" ref="Z4:Z11" si="3">976.79*Y4^0.09551</f>
        <v>629.189120965568</v>
      </c>
      <c r="AB4" s="8">
        <v>0.0032546977205</v>
      </c>
      <c r="AC4" s="8">
        <v>440.677129319</v>
      </c>
    </row>
    <row r="5" spans="1:29">
      <c r="A5" s="4">
        <v>0.00304</v>
      </c>
      <c r="B5" s="4">
        <v>292.9537</v>
      </c>
      <c r="C5" s="4"/>
      <c r="D5" s="4">
        <v>0.00303</v>
      </c>
      <c r="E5" s="4">
        <v>351.53479</v>
      </c>
      <c r="F5" s="4"/>
      <c r="G5" s="4">
        <v>0.00321</v>
      </c>
      <c r="H5" s="4">
        <v>408.43995</v>
      </c>
      <c r="I5" s="4"/>
      <c r="J5" s="4">
        <v>0.00297</v>
      </c>
      <c r="K5" s="4">
        <v>437.97853</v>
      </c>
      <c r="L5" s="4"/>
      <c r="M5" s="4">
        <v>0.00291</v>
      </c>
      <c r="N5" s="4">
        <v>457.36345</v>
      </c>
      <c r="P5">
        <v>0.015</v>
      </c>
      <c r="Q5">
        <f t="shared" si="0"/>
        <v>535.926310003873</v>
      </c>
      <c r="S5">
        <v>0.015</v>
      </c>
      <c r="T5">
        <f t="shared" si="1"/>
        <v>547.26300261885</v>
      </c>
      <c r="V5">
        <v>0.015</v>
      </c>
      <c r="W5">
        <f t="shared" si="2"/>
        <v>567.707461883112</v>
      </c>
      <c r="Y5">
        <v>0.015</v>
      </c>
      <c r="Z5">
        <f t="shared" si="3"/>
        <v>654.033029003581</v>
      </c>
      <c r="AB5" s="8">
        <v>0.00368320865159</v>
      </c>
      <c r="AC5" s="8">
        <v>473.527904067</v>
      </c>
    </row>
    <row r="6" spans="1:29">
      <c r="A6" s="4">
        <v>0.0034</v>
      </c>
      <c r="B6" s="4">
        <v>294.97606</v>
      </c>
      <c r="C6" s="4"/>
      <c r="D6" s="4">
        <v>0.00339</v>
      </c>
      <c r="E6" s="4">
        <v>354.33207</v>
      </c>
      <c r="F6" s="4"/>
      <c r="G6" s="4">
        <v>0.0036</v>
      </c>
      <c r="H6" s="4">
        <v>411.55532</v>
      </c>
      <c r="I6" s="4"/>
      <c r="J6" s="4">
        <v>0.0033</v>
      </c>
      <c r="K6" s="4">
        <v>440.511</v>
      </c>
      <c r="L6" s="4"/>
      <c r="M6" s="4">
        <v>0.00324</v>
      </c>
      <c r="N6" s="4">
        <v>460.4656</v>
      </c>
      <c r="P6">
        <v>0.02</v>
      </c>
      <c r="Q6">
        <f t="shared" si="0"/>
        <v>550.299910236815</v>
      </c>
      <c r="S6">
        <v>0.02</v>
      </c>
      <c r="T6">
        <f t="shared" si="1"/>
        <v>561.442961094595</v>
      </c>
      <c r="V6">
        <v>0.02</v>
      </c>
      <c r="W6">
        <f t="shared" si="2"/>
        <v>584.705353244797</v>
      </c>
      <c r="Y6">
        <v>0.02</v>
      </c>
      <c r="Z6">
        <f t="shared" si="3"/>
        <v>672.252737969871</v>
      </c>
      <c r="AB6" s="8">
        <v>0.00551476568802</v>
      </c>
      <c r="AC6" s="8">
        <v>501.704276458</v>
      </c>
    </row>
    <row r="7" spans="1:29">
      <c r="A7" s="4">
        <v>0.0038</v>
      </c>
      <c r="B7" s="4">
        <v>297.23668</v>
      </c>
      <c r="C7" s="4"/>
      <c r="D7" s="4">
        <v>0.00379</v>
      </c>
      <c r="E7" s="4">
        <v>357.39352</v>
      </c>
      <c r="F7" s="4"/>
      <c r="G7" s="4">
        <v>0.00402</v>
      </c>
      <c r="H7" s="4">
        <v>414.21106</v>
      </c>
      <c r="I7" s="4"/>
      <c r="J7" s="4">
        <v>0.0037</v>
      </c>
      <c r="K7" s="4">
        <v>443.71927</v>
      </c>
      <c r="L7" s="4"/>
      <c r="M7" s="4">
        <v>0.00363</v>
      </c>
      <c r="N7" s="4">
        <v>465.00311</v>
      </c>
      <c r="P7">
        <v>0.025</v>
      </c>
      <c r="Q7">
        <f t="shared" si="0"/>
        <v>561.713889963145</v>
      </c>
      <c r="S7">
        <v>0.025</v>
      </c>
      <c r="T7">
        <f t="shared" si="1"/>
        <v>572.694325207371</v>
      </c>
      <c r="V7">
        <v>0.025</v>
      </c>
      <c r="W7">
        <f t="shared" si="2"/>
        <v>598.239647420862</v>
      </c>
      <c r="Y7">
        <v>0.025</v>
      </c>
      <c r="Z7">
        <f t="shared" si="3"/>
        <v>686.733850299478</v>
      </c>
      <c r="AB7" s="8">
        <v>0.0100988346774</v>
      </c>
      <c r="AC7" s="8">
        <v>534.257869846</v>
      </c>
    </row>
    <row r="8" spans="1:29">
      <c r="A8" s="4">
        <v>0.00426</v>
      </c>
      <c r="B8" s="4">
        <v>298.57603</v>
      </c>
      <c r="C8" s="4"/>
      <c r="D8" s="4">
        <v>0.00424</v>
      </c>
      <c r="E8" s="4">
        <v>359.81189</v>
      </c>
      <c r="F8" s="4"/>
      <c r="G8" s="4">
        <v>0.0045</v>
      </c>
      <c r="H8" s="4">
        <v>416.91328</v>
      </c>
      <c r="I8" s="4"/>
      <c r="J8" s="4">
        <v>0.00418</v>
      </c>
      <c r="K8" s="4">
        <v>448.91837</v>
      </c>
      <c r="L8" s="4"/>
      <c r="M8" s="4">
        <v>0.00406</v>
      </c>
      <c r="N8" s="4">
        <v>468.78553</v>
      </c>
      <c r="P8">
        <v>0.03</v>
      </c>
      <c r="Q8">
        <f t="shared" si="0"/>
        <v>571.215308290564</v>
      </c>
      <c r="S8">
        <v>0.03</v>
      </c>
      <c r="T8">
        <f t="shared" si="1"/>
        <v>582.05453339944</v>
      </c>
      <c r="V8">
        <v>0.03</v>
      </c>
      <c r="W8">
        <f t="shared" si="2"/>
        <v>609.530200617355</v>
      </c>
      <c r="Y8">
        <v>0.03</v>
      </c>
      <c r="Z8">
        <f t="shared" si="3"/>
        <v>698.797038632278</v>
      </c>
      <c r="AB8" s="8">
        <v>0.017407604655</v>
      </c>
      <c r="AC8" s="8">
        <v>563.207524021</v>
      </c>
    </row>
    <row r="9" spans="1:29">
      <c r="A9" s="4">
        <v>0.00476</v>
      </c>
      <c r="B9" s="4">
        <v>300.50574</v>
      </c>
      <c r="C9" s="4"/>
      <c r="D9" s="4">
        <v>0.00475</v>
      </c>
      <c r="E9" s="4">
        <v>362.70428</v>
      </c>
      <c r="F9" s="4"/>
      <c r="G9" s="4">
        <v>0.00503</v>
      </c>
      <c r="H9" s="4">
        <v>419.94125</v>
      </c>
      <c r="I9" s="4"/>
      <c r="J9" s="4">
        <v>0.0048</v>
      </c>
      <c r="K9" s="4">
        <v>452.71912</v>
      </c>
      <c r="L9" s="4"/>
      <c r="M9" s="4">
        <v>0.00454</v>
      </c>
      <c r="N9" s="4">
        <v>472.95524</v>
      </c>
      <c r="P9">
        <v>0.035</v>
      </c>
      <c r="Q9">
        <f t="shared" si="0"/>
        <v>579.373920694223</v>
      </c>
      <c r="S9">
        <v>0.035</v>
      </c>
      <c r="T9">
        <f t="shared" si="1"/>
        <v>590.087730607861</v>
      </c>
      <c r="V9">
        <v>0.035</v>
      </c>
      <c r="W9">
        <f t="shared" si="2"/>
        <v>619.242309807394</v>
      </c>
      <c r="Y9">
        <v>0.035</v>
      </c>
      <c r="Z9">
        <f t="shared" si="3"/>
        <v>709.161489848112</v>
      </c>
      <c r="AB9" s="8">
        <v>0.0242144495081</v>
      </c>
      <c r="AC9" s="8">
        <v>592.242901093</v>
      </c>
    </row>
    <row r="10" spans="1:29">
      <c r="A10" s="4">
        <v>0.00533</v>
      </c>
      <c r="B10" s="4">
        <v>302.7674</v>
      </c>
      <c r="C10" s="4"/>
      <c r="D10" s="4">
        <v>0.00531</v>
      </c>
      <c r="E10" s="4">
        <v>365.23203</v>
      </c>
      <c r="F10" s="4"/>
      <c r="G10" s="4">
        <v>0.00563</v>
      </c>
      <c r="H10" s="4">
        <v>422.52788</v>
      </c>
      <c r="I10" s="4"/>
      <c r="J10" s="4">
        <v>0.00535</v>
      </c>
      <c r="K10" s="4">
        <v>455.1512</v>
      </c>
      <c r="L10" s="4"/>
      <c r="M10" s="4">
        <v>0.00508</v>
      </c>
      <c r="N10" s="4">
        <v>476.58667</v>
      </c>
      <c r="P10">
        <v>0.04</v>
      </c>
      <c r="Q10">
        <f t="shared" si="0"/>
        <v>586.535363184391</v>
      </c>
      <c r="S10">
        <v>0.04</v>
      </c>
      <c r="T10">
        <f t="shared" si="1"/>
        <v>597.135964219224</v>
      </c>
      <c r="V10">
        <v>0.04</v>
      </c>
      <c r="W10">
        <f t="shared" si="2"/>
        <v>627.780318552026</v>
      </c>
      <c r="Y10">
        <v>0.04</v>
      </c>
      <c r="Z10">
        <f t="shared" si="3"/>
        <v>718.263759892185</v>
      </c>
      <c r="AB10" s="8">
        <v>0.0345849847488</v>
      </c>
      <c r="AC10" s="8">
        <v>618.360052987</v>
      </c>
    </row>
    <row r="11" spans="1:29">
      <c r="A11" s="4">
        <v>0.00596</v>
      </c>
      <c r="B11" s="4">
        <v>305.13811</v>
      </c>
      <c r="C11" s="4"/>
      <c r="D11" s="4">
        <v>0.00594</v>
      </c>
      <c r="E11" s="4">
        <v>367.88623</v>
      </c>
      <c r="F11" s="4"/>
      <c r="G11" s="4">
        <v>0.0063</v>
      </c>
      <c r="H11" s="4">
        <v>425.47316</v>
      </c>
      <c r="I11" s="4"/>
      <c r="J11" s="4">
        <v>0.00598</v>
      </c>
      <c r="K11" s="4">
        <v>458.30018</v>
      </c>
      <c r="L11" s="4"/>
      <c r="M11" s="4">
        <v>0.00568</v>
      </c>
      <c r="N11" s="4">
        <v>480.02872</v>
      </c>
      <c r="P11">
        <v>0.045</v>
      </c>
      <c r="Q11">
        <f t="shared" si="0"/>
        <v>592.925643555112</v>
      </c>
      <c r="S11">
        <v>0.045</v>
      </c>
      <c r="T11">
        <f t="shared" si="1"/>
        <v>603.422793279546</v>
      </c>
      <c r="V11">
        <v>0.045</v>
      </c>
      <c r="W11">
        <f t="shared" si="2"/>
        <v>635.409037052353</v>
      </c>
      <c r="Y11">
        <v>0.045</v>
      </c>
      <c r="Z11">
        <f t="shared" si="3"/>
        <v>726.389456852056</v>
      </c>
      <c r="AB11" s="8">
        <v>0.0461867782993</v>
      </c>
      <c r="AC11" s="8">
        <v>640.113751796</v>
      </c>
    </row>
    <row r="12" spans="1:29">
      <c r="A12" s="4">
        <v>0.00667</v>
      </c>
      <c r="B12" s="4">
        <v>306.97131</v>
      </c>
      <c r="C12" s="4"/>
      <c r="D12" s="4">
        <v>0.00665</v>
      </c>
      <c r="E12" s="4">
        <v>370.04803</v>
      </c>
      <c r="F12" s="4"/>
      <c r="G12" s="4">
        <v>0.00705</v>
      </c>
      <c r="H12" s="4">
        <v>428.29775</v>
      </c>
      <c r="I12" s="4"/>
      <c r="J12" s="4">
        <v>0.00669</v>
      </c>
      <c r="K12" s="4">
        <v>461.9584</v>
      </c>
      <c r="L12" s="4"/>
      <c r="M12" s="4">
        <v>0.00635</v>
      </c>
      <c r="N12" s="4">
        <v>483.95422</v>
      </c>
      <c r="P12">
        <v>0.05</v>
      </c>
      <c r="Q12">
        <f t="shared" si="0"/>
        <v>598.700916221245</v>
      </c>
      <c r="S12">
        <v>0.05</v>
      </c>
      <c r="T12">
        <f t="shared" si="1"/>
        <v>609.102619113544</v>
      </c>
      <c r="V12">
        <v>0.05</v>
      </c>
      <c r="W12">
        <f t="shared" si="2"/>
        <v>642.311677743583</v>
      </c>
      <c r="Y12">
        <v>0.05</v>
      </c>
      <c r="Z12">
        <f t="shared" ref="Z12:Z19" si="4">976.79*Y12^0.09551</f>
        <v>733.736003591326</v>
      </c>
      <c r="AB12" s="8">
        <v>0.0572211896473</v>
      </c>
      <c r="AC12" s="8">
        <v>650.420312908</v>
      </c>
    </row>
    <row r="13" spans="1:29">
      <c r="A13" s="4">
        <v>0.00746</v>
      </c>
      <c r="B13" s="4">
        <v>309.18836</v>
      </c>
      <c r="C13" s="4"/>
      <c r="D13" s="4">
        <v>0.00743</v>
      </c>
      <c r="E13" s="4">
        <v>372.93002</v>
      </c>
      <c r="F13" s="4"/>
      <c r="G13" s="4">
        <v>0.00789</v>
      </c>
      <c r="H13" s="4">
        <v>430.91264</v>
      </c>
      <c r="I13" s="4"/>
      <c r="J13" s="4">
        <v>0.00748</v>
      </c>
      <c r="K13" s="4">
        <v>465.36499</v>
      </c>
      <c r="L13" s="4"/>
      <c r="M13" s="4">
        <v>0.00711</v>
      </c>
      <c r="N13" s="4">
        <v>489.56507</v>
      </c>
      <c r="P13">
        <v>0.055</v>
      </c>
      <c r="Q13">
        <f t="shared" si="0"/>
        <v>603.973730731917</v>
      </c>
      <c r="S13">
        <v>0.055</v>
      </c>
      <c r="T13">
        <f t="shared" si="1"/>
        <v>614.28668876971</v>
      </c>
      <c r="V13">
        <v>0.055</v>
      </c>
      <c r="W13">
        <f t="shared" si="2"/>
        <v>648.620450875041</v>
      </c>
      <c r="Y13">
        <v>0.055</v>
      </c>
      <c r="Z13">
        <f t="shared" si="4"/>
        <v>740.445750996371</v>
      </c>
      <c r="AB13" s="8">
        <v>0.072041552865</v>
      </c>
      <c r="AC13" s="8">
        <v>666.41878325</v>
      </c>
    </row>
    <row r="14" spans="1:29">
      <c r="A14" s="4">
        <v>0.00834</v>
      </c>
      <c r="B14" s="4">
        <v>310.48345</v>
      </c>
      <c r="C14" s="4"/>
      <c r="D14" s="4">
        <v>0.00832</v>
      </c>
      <c r="E14" s="4">
        <v>375.59997</v>
      </c>
      <c r="F14" s="4"/>
      <c r="G14" s="4">
        <v>0.00882</v>
      </c>
      <c r="H14" s="4">
        <v>434.36473</v>
      </c>
      <c r="I14" s="4"/>
      <c r="J14" s="4">
        <v>0.00837</v>
      </c>
      <c r="K14" s="4">
        <v>468.65532</v>
      </c>
      <c r="L14" s="4"/>
      <c r="M14" s="4">
        <v>0.00795</v>
      </c>
      <c r="N14" s="4">
        <v>493.47286</v>
      </c>
      <c r="P14">
        <v>0.06</v>
      </c>
      <c r="Q14">
        <f t="shared" si="0"/>
        <v>608.827971933541</v>
      </c>
      <c r="S14">
        <v>0.06</v>
      </c>
      <c r="T14">
        <f t="shared" si="1"/>
        <v>619.057890318952</v>
      </c>
      <c r="V14">
        <v>0.06</v>
      </c>
      <c r="W14">
        <f t="shared" si="2"/>
        <v>654.434000624652</v>
      </c>
      <c r="Y14">
        <v>0.06</v>
      </c>
      <c r="Z14">
        <f t="shared" si="4"/>
        <v>746.624833221638</v>
      </c>
      <c r="AB14" s="8">
        <v>0.0841021492875</v>
      </c>
      <c r="AC14" s="8">
        <v>663.09441854</v>
      </c>
    </row>
    <row r="15" spans="1:29">
      <c r="A15" s="4">
        <v>0.00933</v>
      </c>
      <c r="B15" s="4">
        <v>311.97212</v>
      </c>
      <c r="C15" s="4"/>
      <c r="D15" s="4">
        <v>0.0093</v>
      </c>
      <c r="E15" s="4">
        <v>377.9656</v>
      </c>
      <c r="F15" s="4"/>
      <c r="G15" s="4">
        <v>0.00987</v>
      </c>
      <c r="H15" s="4">
        <v>437.61184</v>
      </c>
      <c r="I15" s="4"/>
      <c r="J15" s="4">
        <v>0.00937</v>
      </c>
      <c r="K15" s="4">
        <v>472.3962</v>
      </c>
      <c r="L15" s="4"/>
      <c r="M15" s="4">
        <v>0.00889</v>
      </c>
      <c r="N15" s="4">
        <v>497.712</v>
      </c>
      <c r="P15">
        <v>0.065</v>
      </c>
      <c r="Q15">
        <f t="shared" si="0"/>
        <v>613.327886146323</v>
      </c>
      <c r="S15">
        <v>0.065</v>
      </c>
      <c r="T15">
        <f t="shared" si="1"/>
        <v>623.479688622804</v>
      </c>
      <c r="V15">
        <v>0.065</v>
      </c>
      <c r="W15">
        <f t="shared" si="2"/>
        <v>659.827950881944</v>
      </c>
      <c r="Y15">
        <v>0.065</v>
      </c>
      <c r="Z15">
        <f t="shared" si="4"/>
        <v>752.354563378556</v>
      </c>
      <c r="AB15" s="8">
        <v>0.0964368176368</v>
      </c>
      <c r="AC15" s="8">
        <v>653.81554854</v>
      </c>
    </row>
    <row r="16" spans="1:29">
      <c r="A16" s="4">
        <v>0.01044</v>
      </c>
      <c r="B16" s="4">
        <v>313.5625</v>
      </c>
      <c r="C16" s="4"/>
      <c r="D16" s="4">
        <v>0.01041</v>
      </c>
      <c r="E16" s="4">
        <v>380.00619</v>
      </c>
      <c r="F16" s="4"/>
      <c r="G16" s="4">
        <v>0.01104</v>
      </c>
      <c r="H16" s="4">
        <v>440.57302</v>
      </c>
      <c r="I16" s="4"/>
      <c r="J16" s="4">
        <v>0.01048</v>
      </c>
      <c r="K16" s="4">
        <v>475.30592</v>
      </c>
      <c r="L16" s="4"/>
      <c r="M16" s="4">
        <v>0.00995</v>
      </c>
      <c r="N16" s="4">
        <v>502.21475</v>
      </c>
      <c r="P16">
        <v>0.07</v>
      </c>
      <c r="Q16">
        <f t="shared" si="0"/>
        <v>617.523802334824</v>
      </c>
      <c r="S16">
        <v>0.07</v>
      </c>
      <c r="T16">
        <f t="shared" si="1"/>
        <v>627.601787550224</v>
      </c>
      <c r="V16">
        <v>0.07</v>
      </c>
      <c r="W16">
        <f t="shared" si="2"/>
        <v>664.861596279968</v>
      </c>
      <c r="Y16">
        <v>0.07</v>
      </c>
      <c r="Z16">
        <f t="shared" si="4"/>
        <v>757.698659000296</v>
      </c>
      <c r="AB16" s="8">
        <v>0.110718137934</v>
      </c>
      <c r="AC16" s="8">
        <v>639.473607763</v>
      </c>
    </row>
    <row r="17" spans="1:29">
      <c r="A17" s="4">
        <v>0.01168</v>
      </c>
      <c r="B17" s="4">
        <v>314.68601</v>
      </c>
      <c r="C17" s="4"/>
      <c r="D17" s="4">
        <v>0.01164</v>
      </c>
      <c r="E17" s="4">
        <v>381.27192</v>
      </c>
      <c r="F17" s="4"/>
      <c r="G17" s="4">
        <v>0.01235</v>
      </c>
      <c r="H17" s="4">
        <v>443.75498</v>
      </c>
      <c r="I17" s="4"/>
      <c r="J17" s="4">
        <v>0.01172</v>
      </c>
      <c r="K17" s="4">
        <v>479.24442</v>
      </c>
      <c r="L17" s="4"/>
      <c r="M17" s="4">
        <v>0.01113</v>
      </c>
      <c r="N17" s="4">
        <v>505.8419</v>
      </c>
      <c r="P17">
        <v>0.075</v>
      </c>
      <c r="Q17">
        <f t="shared" si="0"/>
        <v>621.455904446707</v>
      </c>
      <c r="S17">
        <v>0.075</v>
      </c>
      <c r="T17">
        <f t="shared" si="1"/>
        <v>631.463862454191</v>
      </c>
      <c r="V17">
        <v>0.075</v>
      </c>
      <c r="W17">
        <f t="shared" si="2"/>
        <v>669.582318036353</v>
      </c>
      <c r="Y17">
        <v>0.075</v>
      </c>
      <c r="Z17">
        <f t="shared" si="4"/>
        <v>762.708007699452</v>
      </c>
      <c r="AB17" s="8">
        <v>0.125627740894</v>
      </c>
      <c r="AC17" s="8">
        <v>609.636791546</v>
      </c>
    </row>
    <row r="18" spans="1:29">
      <c r="A18" s="4">
        <v>0.01307</v>
      </c>
      <c r="B18" s="4">
        <v>316.00413</v>
      </c>
      <c r="C18" s="4"/>
      <c r="D18" s="4">
        <v>0.01303</v>
      </c>
      <c r="E18" s="4">
        <v>383.65398</v>
      </c>
      <c r="F18" s="4"/>
      <c r="G18" s="4">
        <v>0.01382</v>
      </c>
      <c r="H18" s="4">
        <v>446.82512</v>
      </c>
      <c r="I18" s="4"/>
      <c r="J18" s="4">
        <v>0.01311</v>
      </c>
      <c r="K18" s="4">
        <v>483.9449</v>
      </c>
      <c r="L18" s="4"/>
      <c r="M18" s="4">
        <v>0.01245</v>
      </c>
      <c r="N18" s="4">
        <v>510.57218</v>
      </c>
      <c r="P18">
        <v>0.08</v>
      </c>
      <c r="Q18">
        <f t="shared" si="0"/>
        <v>625.156802438509</v>
      </c>
      <c r="S18">
        <v>0.08</v>
      </c>
      <c r="T18">
        <f t="shared" si="1"/>
        <v>635.098103409913</v>
      </c>
      <c r="V18">
        <v>0.08</v>
      </c>
      <c r="W18">
        <f t="shared" si="2"/>
        <v>674.028596068425</v>
      </c>
      <c r="Y18">
        <v>0.08</v>
      </c>
      <c r="Z18">
        <f t="shared" si="4"/>
        <v>767.4239160891</v>
      </c>
      <c r="AB18" s="8">
        <v>0.13870050969</v>
      </c>
      <c r="AC18" s="8">
        <v>574.52518843</v>
      </c>
    </row>
    <row r="19" spans="1:29">
      <c r="A19" s="4">
        <v>0.01462</v>
      </c>
      <c r="B19" s="4">
        <v>317.23207</v>
      </c>
      <c r="C19" s="4"/>
      <c r="D19" s="4">
        <v>0.01457</v>
      </c>
      <c r="E19" s="4">
        <v>385.54</v>
      </c>
      <c r="F19" s="4"/>
      <c r="G19" s="4">
        <v>0.01545</v>
      </c>
      <c r="H19" s="4">
        <v>449.76384</v>
      </c>
      <c r="I19" s="4"/>
      <c r="J19" s="4">
        <v>0.01467</v>
      </c>
      <c r="K19" s="4">
        <v>488.17582</v>
      </c>
      <c r="L19" s="4"/>
      <c r="M19" s="4">
        <v>0.01392</v>
      </c>
      <c r="N19" s="4">
        <v>514.88056</v>
      </c>
      <c r="P19">
        <v>0.085</v>
      </c>
      <c r="Q19">
        <f t="shared" si="0"/>
        <v>628.653334582081</v>
      </c>
      <c r="S19">
        <v>0.085</v>
      </c>
      <c r="T19">
        <f t="shared" si="1"/>
        <v>638.530997640319</v>
      </c>
      <c r="V19">
        <v>0.085</v>
      </c>
      <c r="W19">
        <f t="shared" si="2"/>
        <v>678.23212213654</v>
      </c>
      <c r="Y19">
        <v>0.085</v>
      </c>
      <c r="Z19">
        <f t="shared" si="4"/>
        <v>771.880387883309</v>
      </c>
      <c r="AB19" s="8">
        <v>0.152412026388</v>
      </c>
      <c r="AC19" s="8">
        <v>526.129078186</v>
      </c>
    </row>
    <row r="20" spans="1:29">
      <c r="A20" s="4">
        <v>0.01636</v>
      </c>
      <c r="B20" s="4">
        <v>318.36874</v>
      </c>
      <c r="C20" s="4"/>
      <c r="D20" s="4">
        <v>0.0163</v>
      </c>
      <c r="E20" s="4">
        <v>387.96265</v>
      </c>
      <c r="F20" s="4"/>
      <c r="G20" s="4">
        <v>0.01729</v>
      </c>
      <c r="H20" s="4">
        <v>452.89263</v>
      </c>
      <c r="I20" s="4"/>
      <c r="J20" s="4">
        <v>0.01641</v>
      </c>
      <c r="K20" s="4">
        <v>492.22097</v>
      </c>
      <c r="L20" s="4"/>
      <c r="M20" s="4">
        <v>0.01558</v>
      </c>
      <c r="N20" s="4">
        <v>519.46027</v>
      </c>
      <c r="AB20" s="8">
        <v>0.162790392648</v>
      </c>
      <c r="AC20" s="8">
        <v>471.393572146</v>
      </c>
    </row>
    <row r="21" spans="1:29">
      <c r="A21" s="4">
        <v>0.0183</v>
      </c>
      <c r="B21" s="4">
        <v>319.75051</v>
      </c>
      <c r="C21" s="4"/>
      <c r="D21" s="4">
        <v>0.01824</v>
      </c>
      <c r="E21" s="4">
        <v>389.80265</v>
      </c>
      <c r="F21" s="4"/>
      <c r="G21" s="4">
        <v>0.01934</v>
      </c>
      <c r="H21" s="4">
        <v>455.81969</v>
      </c>
      <c r="I21" s="4"/>
      <c r="J21" s="4">
        <v>0.01835</v>
      </c>
      <c r="K21" s="4">
        <v>496.37449</v>
      </c>
      <c r="L21" s="4"/>
      <c r="M21" s="4">
        <v>0.01742</v>
      </c>
      <c r="N21" s="4">
        <v>524.23883</v>
      </c>
      <c r="AB21" s="8">
        <v>0.166750961803</v>
      </c>
      <c r="AC21" s="8">
        <v>454.197233385</v>
      </c>
    </row>
    <row r="22" spans="1:14">
      <c r="A22" s="4">
        <v>0.02047</v>
      </c>
      <c r="B22" s="4">
        <v>320.75103</v>
      </c>
      <c r="C22" s="4"/>
      <c r="D22" s="4">
        <v>0.0204</v>
      </c>
      <c r="E22" s="4">
        <v>391.88548</v>
      </c>
      <c r="F22" s="4"/>
      <c r="G22" s="4">
        <v>0.02164</v>
      </c>
      <c r="H22" s="4">
        <v>458.76568</v>
      </c>
      <c r="I22" s="4"/>
      <c r="J22" s="4">
        <v>0.02053</v>
      </c>
      <c r="K22" s="4">
        <v>500.41209</v>
      </c>
      <c r="L22" s="4"/>
      <c r="M22" s="4">
        <v>0.01949</v>
      </c>
      <c r="N22" s="4">
        <v>529.30078</v>
      </c>
    </row>
    <row r="23" spans="1:14">
      <c r="A23" s="4">
        <v>0.0229</v>
      </c>
      <c r="B23" s="4">
        <v>321.65765</v>
      </c>
      <c r="C23" s="4"/>
      <c r="D23" s="4">
        <v>0.02283</v>
      </c>
      <c r="E23" s="4">
        <v>393.70789</v>
      </c>
      <c r="F23" s="4"/>
      <c r="G23" s="4">
        <v>0.02421</v>
      </c>
      <c r="H23" s="4">
        <v>461.38264</v>
      </c>
      <c r="I23" s="4"/>
      <c r="J23" s="4">
        <v>0.02297</v>
      </c>
      <c r="K23" s="4">
        <v>504.25433</v>
      </c>
      <c r="L23" s="4"/>
      <c r="M23" s="4">
        <v>0.0218</v>
      </c>
      <c r="N23" s="4">
        <v>534.65347</v>
      </c>
    </row>
    <row r="24" spans="1:14">
      <c r="A24" s="4">
        <v>0.02485</v>
      </c>
      <c r="B24" s="4">
        <v>322.01648</v>
      </c>
      <c r="C24" s="4"/>
      <c r="D24" s="4">
        <v>0.02554</v>
      </c>
      <c r="E24" s="4">
        <v>395.48788</v>
      </c>
      <c r="F24" s="4"/>
      <c r="G24" s="4">
        <v>0.02708</v>
      </c>
      <c r="H24" s="4">
        <v>464.08453</v>
      </c>
      <c r="I24" s="4"/>
      <c r="J24" s="4">
        <v>0.02569</v>
      </c>
      <c r="K24" s="4">
        <v>508.43271</v>
      </c>
      <c r="L24" s="4"/>
      <c r="M24" s="4">
        <v>0.02439</v>
      </c>
      <c r="N24" s="4">
        <v>539.97884</v>
      </c>
    </row>
    <row r="25" spans="1:14">
      <c r="A25" s="4"/>
      <c r="B25" s="4"/>
      <c r="C25" s="4"/>
      <c r="D25" s="4">
        <v>0.02857</v>
      </c>
      <c r="E25" s="4">
        <v>396.45457</v>
      </c>
      <c r="F25" s="4"/>
      <c r="G25" s="4">
        <v>0.03029</v>
      </c>
      <c r="H25" s="4">
        <v>466.80223</v>
      </c>
      <c r="I25" s="4"/>
      <c r="J25" s="4">
        <v>0.02874</v>
      </c>
      <c r="K25" s="4">
        <v>512.87771</v>
      </c>
      <c r="L25" s="4"/>
      <c r="M25" s="4">
        <v>0.02728</v>
      </c>
      <c r="N25" s="4">
        <v>545.275</v>
      </c>
    </row>
    <row r="26" spans="1:14">
      <c r="A26" s="4"/>
      <c r="B26" s="4"/>
      <c r="C26" s="4"/>
      <c r="D26" s="4">
        <v>0.03069</v>
      </c>
      <c r="E26" s="4">
        <v>397.33305</v>
      </c>
      <c r="F26" s="4"/>
      <c r="G26" s="4">
        <v>0.03389</v>
      </c>
      <c r="H26" s="4">
        <v>469.39424</v>
      </c>
      <c r="I26" s="4"/>
      <c r="J26" s="4">
        <v>0.03215</v>
      </c>
      <c r="K26" s="4">
        <v>516.89362</v>
      </c>
      <c r="L26" s="4"/>
      <c r="M26" s="4">
        <v>0.03052</v>
      </c>
      <c r="N26" s="4">
        <v>551.20474</v>
      </c>
    </row>
    <row r="27" spans="1:14">
      <c r="A27" s="4"/>
      <c r="B27" s="4"/>
      <c r="C27" s="4"/>
      <c r="D27" s="4"/>
      <c r="E27" s="4"/>
      <c r="F27" s="4"/>
      <c r="G27" s="4">
        <v>0.03791</v>
      </c>
      <c r="H27" s="4">
        <v>471.78712</v>
      </c>
      <c r="I27" s="4"/>
      <c r="J27" s="4">
        <v>0.03597</v>
      </c>
      <c r="K27" s="4">
        <v>521.01954</v>
      </c>
      <c r="L27" s="4"/>
      <c r="M27" s="4">
        <v>0.03414</v>
      </c>
      <c r="N27" s="4">
        <v>557.03091</v>
      </c>
    </row>
    <row r="28" spans="1:14">
      <c r="A28" s="4"/>
      <c r="B28" s="4"/>
      <c r="C28" s="4"/>
      <c r="D28" s="4"/>
      <c r="E28" s="4"/>
      <c r="F28" s="4"/>
      <c r="G28" s="4">
        <v>0.04114</v>
      </c>
      <c r="H28" s="4">
        <v>472.94071</v>
      </c>
      <c r="I28" s="4"/>
      <c r="J28" s="4">
        <v>0.04024</v>
      </c>
      <c r="K28" s="4">
        <v>525.25761</v>
      </c>
      <c r="L28" s="4"/>
      <c r="M28" s="4">
        <v>0.03819</v>
      </c>
      <c r="N28" s="4">
        <v>562.57917</v>
      </c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>
        <v>0.04501</v>
      </c>
      <c r="K29" s="4">
        <v>529.61002</v>
      </c>
      <c r="L29" s="4"/>
      <c r="M29" s="4">
        <v>0.04272</v>
      </c>
      <c r="N29" s="4">
        <v>568.52557</v>
      </c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4">
        <v>0.05035</v>
      </c>
      <c r="K30" s="4">
        <v>533.75694</v>
      </c>
      <c r="L30" s="4"/>
      <c r="M30" s="4">
        <v>0.04779</v>
      </c>
      <c r="N30" s="4">
        <v>574.01515</v>
      </c>
    </row>
    <row r="31" spans="1:14">
      <c r="A31" s="4"/>
      <c r="B31" s="4"/>
      <c r="C31" s="4"/>
      <c r="D31" s="4"/>
      <c r="E31" s="4"/>
      <c r="F31" s="4"/>
      <c r="G31" s="4"/>
      <c r="H31" s="4"/>
      <c r="I31" s="4"/>
      <c r="J31" s="4">
        <v>0.05633</v>
      </c>
      <c r="K31" s="4">
        <v>538.09862</v>
      </c>
      <c r="L31" s="4"/>
      <c r="M31" s="4">
        <v>0.05346</v>
      </c>
      <c r="N31" s="4">
        <v>579.82002</v>
      </c>
    </row>
    <row r="32" spans="1:14">
      <c r="A32" s="4"/>
      <c r="B32" s="4"/>
      <c r="C32" s="4"/>
      <c r="D32" s="4"/>
      <c r="E32" s="4"/>
      <c r="F32" s="4"/>
      <c r="G32" s="4"/>
      <c r="H32" s="4"/>
      <c r="I32" s="4"/>
      <c r="J32" s="4">
        <v>0.06301</v>
      </c>
      <c r="K32" s="4">
        <v>542.39381</v>
      </c>
      <c r="L32" s="4"/>
      <c r="M32" s="4">
        <v>0.0598</v>
      </c>
      <c r="N32" s="4">
        <v>585.77193</v>
      </c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>
        <v>0.07049</v>
      </c>
      <c r="K33" s="4">
        <v>546.64083</v>
      </c>
      <c r="L33" s="4"/>
      <c r="M33" s="4">
        <v>0.0669</v>
      </c>
      <c r="N33" s="4">
        <v>592.3207</v>
      </c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>
        <v>0.07886</v>
      </c>
      <c r="K34" s="4">
        <v>550.75495</v>
      </c>
      <c r="L34" s="4"/>
      <c r="M34" s="4">
        <v>0.07467</v>
      </c>
      <c r="N34" s="4">
        <v>597.33227</v>
      </c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>
        <v>0.08182</v>
      </c>
      <c r="N35" s="4">
        <v>601.62688</v>
      </c>
    </row>
  </sheetData>
  <mergeCells count="6">
    <mergeCell ref="A1:N1"/>
    <mergeCell ref="A2:B2"/>
    <mergeCell ref="D2:E2"/>
    <mergeCell ref="G2:H2"/>
    <mergeCell ref="J2:K2"/>
    <mergeCell ref="M2:N2"/>
  </mergeCells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95:R256"/>
  <sheetViews>
    <sheetView topLeftCell="A250" workbookViewId="0">
      <selection activeCell="I232" sqref="I232"/>
    </sheetView>
  </sheetViews>
  <sheetFormatPr defaultColWidth="8.81481481481481" defaultRowHeight="15"/>
  <cols>
    <col min="15" max="15" width="12.5037037037037"/>
    <col min="16" max="16" width="12.4518518518519"/>
    <col min="18" max="18" width="12.4518518518519"/>
  </cols>
  <sheetData>
    <row r="95" spans="15:16">
      <c r="O95">
        <f>P95*24</f>
        <v>480000000000000</v>
      </c>
      <c r="P95">
        <f>20000000000000</f>
        <v>20000000000000</v>
      </c>
    </row>
    <row r="96" spans="15:15">
      <c r="O96">
        <f>SQRT(O95)</f>
        <v>21908902.3002066</v>
      </c>
    </row>
    <row r="97" spans="15:15">
      <c r="O97">
        <f>O96*0.000001</f>
        <v>21.9089023002066</v>
      </c>
    </row>
    <row r="98" spans="15:15">
      <c r="O98">
        <f>O97*72*0.248*0.3</f>
        <v>117.361607841747</v>
      </c>
    </row>
    <row r="244" spans="16:18">
      <c r="P244">
        <f>0.0015/(0.000000000000000001)</f>
        <v>1500000000000000</v>
      </c>
      <c r="R244">
        <f>SQRT(P244)</f>
        <v>38729833.4620742</v>
      </c>
    </row>
    <row r="245" spans="18:18">
      <c r="R245">
        <f>R244*0.5*74.76*0.248</f>
        <v>359034851.353458</v>
      </c>
    </row>
    <row r="246" spans="18:18">
      <c r="R246">
        <f>R245/1000000</f>
        <v>359.034851353458</v>
      </c>
    </row>
    <row r="252" spans="15:16">
      <c r="O252">
        <f>50000000000000*SQRT(2.95)*1000000000</f>
        <v>8.58778201865883e+22</v>
      </c>
      <c r="P252">
        <f>50000000000000*0.0000037</f>
        <v>185000000</v>
      </c>
    </row>
    <row r="253" spans="15:18">
      <c r="O253">
        <f>0.0000037*SQRT(2.95)*0.001</f>
        <v>6.35495869380754e-9</v>
      </c>
      <c r="P253">
        <f>SQRT(P252)</f>
        <v>13601.4705087354</v>
      </c>
      <c r="R253">
        <f>O252*O253</f>
        <v>545750000000000</v>
      </c>
    </row>
    <row r="254" spans="15:15">
      <c r="O254">
        <f>SQRT(O252*O253)</f>
        <v>23361292.7724473</v>
      </c>
    </row>
    <row r="255" spans="15:15">
      <c r="O255">
        <f>O254*0.5*80*0.248</f>
        <v>231744024.302678</v>
      </c>
    </row>
    <row r="256" spans="15:15">
      <c r="O256">
        <f>O255/1000000</f>
        <v>231.744024302678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workbookViewId="0">
      <selection activeCell="A1" sqref="$A1:$XFD1048576"/>
    </sheetView>
  </sheetViews>
  <sheetFormatPr defaultColWidth="8" defaultRowHeight="15"/>
  <cols>
    <col min="1" max="16384" width="8" style="2"/>
  </cols>
  <sheetData>
    <row r="1" s="2" customFormat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="2" customFormat="1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="2" customFormat="1" spans="1:15">
      <c r="A3" s="2">
        <v>0.0025830812468784</v>
      </c>
      <c r="B3" s="3">
        <v>1.9976580863321e-21</v>
      </c>
      <c r="C3" s="2">
        <v>90.287237728265</v>
      </c>
      <c r="D3" s="3">
        <v>7.0630014035681e-6</v>
      </c>
      <c r="E3" s="2">
        <v>6.6107837024378</v>
      </c>
      <c r="F3" s="2">
        <v>0.99204084537714</v>
      </c>
      <c r="G3" s="2">
        <v>16000000</v>
      </c>
      <c r="H3" s="2">
        <v>4000000</v>
      </c>
      <c r="I3" s="3">
        <v>-2.136150136007e-6</v>
      </c>
      <c r="J3" s="3">
        <v>-1.8977076455128e-6</v>
      </c>
      <c r="K3" s="3">
        <v>7.7492129382444e-6</v>
      </c>
      <c r="L3" s="3">
        <v>-1.7049292774134e-7</v>
      </c>
      <c r="M3" s="3">
        <v>-1.7567199880681e-7</v>
      </c>
      <c r="N3" s="2">
        <v>1.567979671108</v>
      </c>
      <c r="O3" s="2">
        <v>1.6976235584338</v>
      </c>
    </row>
    <row r="4" s="2" customFormat="1" spans="1:15">
      <c r="A4" s="2">
        <v>0.018444056862426</v>
      </c>
      <c r="B4" s="3">
        <v>8.3470414830802e-19</v>
      </c>
      <c r="C4" s="2">
        <v>90.287547719651</v>
      </c>
      <c r="D4" s="3">
        <v>5.0433921030447e-5</v>
      </c>
      <c r="E4" s="2">
        <v>6.6107987314535</v>
      </c>
      <c r="F4" s="2">
        <v>0.99209975604298</v>
      </c>
      <c r="G4" s="2">
        <v>16000000</v>
      </c>
      <c r="H4" s="2">
        <v>4000000</v>
      </c>
      <c r="I4" s="3">
        <v>-1.5255130195832e-5</v>
      </c>
      <c r="J4" s="3">
        <v>-1.3552353959213e-5</v>
      </c>
      <c r="K4" s="3">
        <v>5.533060019719e-5</v>
      </c>
      <c r="L4" s="3">
        <v>-8.6883955982127e-6</v>
      </c>
      <c r="M4" s="3">
        <v>-8.953091479549e-6</v>
      </c>
      <c r="N4" s="2">
        <v>11.198913666838</v>
      </c>
      <c r="O4" s="2">
        <v>12.124533330828</v>
      </c>
    </row>
    <row r="5" s="2" customFormat="1" spans="1:15">
      <c r="A5" s="2">
        <v>0.1</v>
      </c>
      <c r="B5" s="3">
        <v>2.4057483144833e-13</v>
      </c>
      <c r="C5" s="2">
        <v>90.289186005251</v>
      </c>
      <c r="D5" s="2">
        <v>0.00027349544391141</v>
      </c>
      <c r="E5" s="2">
        <v>6.6108750865336</v>
      </c>
      <c r="F5" s="2">
        <v>0.99240244271317</v>
      </c>
      <c r="G5" s="2">
        <v>16000000.000168</v>
      </c>
      <c r="H5" s="2">
        <v>4000000.0000292</v>
      </c>
      <c r="I5" s="3">
        <v>-8.2783944386085e-5</v>
      </c>
      <c r="J5" s="3">
        <v>-7.354482823052e-5</v>
      </c>
      <c r="K5" s="2">
        <v>0.00029995384460859</v>
      </c>
      <c r="L5" s="2">
        <v>-0.00025378497389204</v>
      </c>
      <c r="M5" s="2">
        <v>-0.00026175520460869</v>
      </c>
      <c r="N5" s="2">
        <v>60.81262906788</v>
      </c>
      <c r="O5" s="2">
        <v>65.828906742552</v>
      </c>
    </row>
    <row r="6" s="2" customFormat="1" spans="1:15">
      <c r="A6" s="2">
        <v>0.20668493909835</v>
      </c>
      <c r="B6" s="3">
        <v>7.1450922529776e-10</v>
      </c>
      <c r="C6" s="2">
        <v>90.291451147611</v>
      </c>
      <c r="D6" s="2">
        <v>0.00056540659805989</v>
      </c>
      <c r="E6" s="2">
        <v>6.6109729546761</v>
      </c>
      <c r="F6" s="2">
        <v>0.99279783344611</v>
      </c>
      <c r="G6" s="2">
        <v>16000000.458925</v>
      </c>
      <c r="H6" s="2">
        <v>4000000.0797485</v>
      </c>
      <c r="I6" s="2">
        <v>-0.00017127817248423</v>
      </c>
      <c r="J6" s="2">
        <v>-0.00015216567106157</v>
      </c>
      <c r="K6" s="2">
        <v>0.00061985769292214</v>
      </c>
      <c r="L6" s="2">
        <v>-0.0010876371591038</v>
      </c>
      <c r="M6" s="2">
        <v>-0.0011215137178322</v>
      </c>
      <c r="N6" s="2">
        <v>125.92036968485</v>
      </c>
      <c r="O6" s="2">
        <v>136.28218586921</v>
      </c>
    </row>
    <row r="7" s="2" customFormat="1" spans="1:15">
      <c r="A7" s="2">
        <v>0.40668493909835</v>
      </c>
      <c r="B7" s="3">
        <v>2.145030330591e-5</v>
      </c>
      <c r="C7" s="2">
        <v>90.295962742205</v>
      </c>
      <c r="D7" s="2">
        <v>0.0011159436872989</v>
      </c>
      <c r="E7" s="2">
        <v>6.6114467179283</v>
      </c>
      <c r="F7" s="2">
        <v>0.9934389967957</v>
      </c>
      <c r="G7" s="2">
        <v>16013228.452845</v>
      </c>
      <c r="H7" s="2">
        <v>4002298.6087705</v>
      </c>
      <c r="I7" s="2">
        <v>-0.00034291322831065</v>
      </c>
      <c r="J7" s="2">
        <v>-0.0003044248867352</v>
      </c>
      <c r="K7" s="2">
        <v>0.001219291784236</v>
      </c>
      <c r="L7" s="2">
        <v>-0.0035761112669511</v>
      </c>
      <c r="M7" s="2">
        <v>-0.003751533003497</v>
      </c>
      <c r="N7" s="2">
        <v>244.6181802847</v>
      </c>
      <c r="O7" s="2">
        <v>264.91107126883</v>
      </c>
    </row>
    <row r="8" s="2" customFormat="1" spans="1:15">
      <c r="A8" s="2">
        <v>0.60668493909835</v>
      </c>
      <c r="B8" s="2">
        <v>0.00041694893074141</v>
      </c>
      <c r="C8" s="2">
        <v>90.298396185267</v>
      </c>
      <c r="D8" s="2">
        <v>0.0017057791278476</v>
      </c>
      <c r="E8" s="2">
        <v>6.6160304735312</v>
      </c>
      <c r="F8" s="2">
        <v>0.99228373768019</v>
      </c>
      <c r="G8" s="2">
        <v>16269634.777357</v>
      </c>
      <c r="H8" s="2">
        <v>4046834.7867016</v>
      </c>
      <c r="I8" s="2">
        <v>-0.00059709153790572</v>
      </c>
      <c r="J8" s="2">
        <v>-0.00053292690458092</v>
      </c>
      <c r="K8" s="2">
        <v>0.0018183575280392</v>
      </c>
      <c r="L8" s="2">
        <v>-0.011910582893692</v>
      </c>
      <c r="M8" s="2">
        <v>-0.011616707372528</v>
      </c>
      <c r="N8" s="2">
        <v>295.54122543105</v>
      </c>
      <c r="O8" s="2">
        <v>323.08220439328</v>
      </c>
    </row>
    <row r="9" s="2" customFormat="1" spans="1:15">
      <c r="A9" s="2">
        <v>0.80668493909835</v>
      </c>
      <c r="B9" s="2">
        <v>0.0010128051338546</v>
      </c>
      <c r="C9" s="2">
        <v>90.30160835092</v>
      </c>
      <c r="D9" s="2">
        <v>0.0023124232430209</v>
      </c>
      <c r="E9" s="2">
        <v>6.6207407858791</v>
      </c>
      <c r="F9" s="2">
        <v>0.99005394874703</v>
      </c>
      <c r="G9" s="2">
        <v>16690513.597416</v>
      </c>
      <c r="H9" s="2">
        <v>4119894.8066306</v>
      </c>
      <c r="I9" s="2">
        <v>-0.00089519315156287</v>
      </c>
      <c r="J9" s="2">
        <v>-0.00080437149450363</v>
      </c>
      <c r="K9" s="2">
        <v>0.0024170587250598</v>
      </c>
      <c r="L9" s="2">
        <v>-0.014288286415599</v>
      </c>
      <c r="M9" s="2">
        <v>-0.014190838043148</v>
      </c>
      <c r="N9" s="2">
        <v>308.58261880694</v>
      </c>
      <c r="O9" s="2">
        <v>340.02632438652</v>
      </c>
    </row>
    <row r="10" s="2" customFormat="1" spans="1:15">
      <c r="A10" s="2">
        <v>1.0066849390983</v>
      </c>
      <c r="B10" s="2">
        <v>0.0016194367361445</v>
      </c>
      <c r="C10" s="2">
        <v>90.304350321058</v>
      </c>
      <c r="D10" s="2">
        <v>0.0029247222799585</v>
      </c>
      <c r="E10" s="2">
        <v>6.6248492431523</v>
      </c>
      <c r="F10" s="2">
        <v>0.98687979342171</v>
      </c>
      <c r="G10" s="2">
        <v>17157972.216895</v>
      </c>
      <c r="H10" s="2">
        <v>4200992.7709167</v>
      </c>
      <c r="I10" s="2">
        <v>-0.001201949607055</v>
      </c>
      <c r="J10" s="2">
        <v>-0.0010820464384779</v>
      </c>
      <c r="K10" s="2">
        <v>0.0030153944848387</v>
      </c>
      <c r="L10" s="2">
        <v>-0.020279084733705</v>
      </c>
      <c r="M10" s="2">
        <v>-0.02057279661268</v>
      </c>
      <c r="N10" s="2">
        <v>314.95973560066</v>
      </c>
      <c r="O10" s="2">
        <v>348.54122806645</v>
      </c>
    </row>
    <row r="11" s="2" customFormat="1" spans="1:15">
      <c r="A11" s="2">
        <v>1.2066849390983</v>
      </c>
      <c r="B11" s="2">
        <v>0.0022236723534006</v>
      </c>
      <c r="C11" s="2">
        <v>90.305802571524</v>
      </c>
      <c r="D11" s="2">
        <v>0.0035395523705415</v>
      </c>
      <c r="E11" s="2">
        <v>6.6289245053956</v>
      </c>
      <c r="F11" s="2">
        <v>0.98325625135238</v>
      </c>
      <c r="G11" s="2">
        <v>17651162.607601</v>
      </c>
      <c r="H11" s="2">
        <v>4286508.460534</v>
      </c>
      <c r="I11" s="2">
        <v>-0.0015130827380122</v>
      </c>
      <c r="J11" s="2">
        <v>-0.0013605106365174</v>
      </c>
      <c r="K11" s="2">
        <v>0.0036133658722968</v>
      </c>
      <c r="L11" s="2">
        <v>-0.025939291645524</v>
      </c>
      <c r="M11" s="2">
        <v>-0.026404289208612</v>
      </c>
      <c r="N11" s="2">
        <v>318.87245994559</v>
      </c>
      <c r="O11" s="2">
        <v>353.61024255066</v>
      </c>
    </row>
    <row r="12" s="2" customFormat="1" spans="1:15">
      <c r="A12" s="2">
        <v>1.4066849390983</v>
      </c>
      <c r="B12" s="2">
        <v>0.0028275152493409</v>
      </c>
      <c r="C12" s="2">
        <v>90.306307605116</v>
      </c>
      <c r="D12" s="2">
        <v>0.0041551403400097</v>
      </c>
      <c r="E12" s="2">
        <v>6.6330516556275</v>
      </c>
      <c r="F12" s="2">
        <v>0.97957291546709</v>
      </c>
      <c r="G12" s="2">
        <v>18161730.287328</v>
      </c>
      <c r="H12" s="2">
        <v>4374990.5206187</v>
      </c>
      <c r="I12" s="2">
        <v>-0.0018266821118061</v>
      </c>
      <c r="J12" s="2">
        <v>-0.0016387434539016</v>
      </c>
      <c r="K12" s="2">
        <v>0.0042109740305924</v>
      </c>
      <c r="L12" s="2">
        <v>-0.030886162130305</v>
      </c>
      <c r="M12" s="2">
        <v>-0.031448146056083</v>
      </c>
      <c r="N12" s="2">
        <v>321.5925392827</v>
      </c>
      <c r="O12" s="2">
        <v>357.01791201706</v>
      </c>
    </row>
    <row r="13" s="2" customFormat="1" spans="1:15">
      <c r="A13" s="2">
        <v>1.6066849390983</v>
      </c>
      <c r="B13" s="2">
        <v>0.0034315426940108</v>
      </c>
      <c r="C13" s="2">
        <v>90.30621854421</v>
      </c>
      <c r="D13" s="2">
        <v>0.0047706217756466</v>
      </c>
      <c r="E13" s="2">
        <v>6.6372314105616</v>
      </c>
      <c r="F13" s="2">
        <v>0.97588946011228</v>
      </c>
      <c r="G13" s="2">
        <v>18685056.669624</v>
      </c>
      <c r="H13" s="2">
        <v>4465636.2735929</v>
      </c>
      <c r="I13" s="2">
        <v>-0.0021416633907022</v>
      </c>
      <c r="J13" s="2">
        <v>-0.0019165648400588</v>
      </c>
      <c r="K13" s="2">
        <v>0.0048082199298571</v>
      </c>
      <c r="L13" s="2">
        <v>-0.035796351102711</v>
      </c>
      <c r="M13" s="2">
        <v>-0.036415385942181</v>
      </c>
      <c r="N13" s="2">
        <v>323.68707960359</v>
      </c>
      <c r="O13" s="2">
        <v>359.57967025917</v>
      </c>
    </row>
    <row r="14" s="2" customFormat="1" spans="1:15">
      <c r="A14" s="2">
        <v>1.8066849390983</v>
      </c>
      <c r="B14" s="2">
        <v>0.0040359269018757</v>
      </c>
      <c r="C14" s="2">
        <v>90.305764828629</v>
      </c>
      <c r="D14" s="2">
        <v>0.0053857295245918</v>
      </c>
      <c r="E14" s="2">
        <v>6.6414524462969</v>
      </c>
      <c r="F14" s="2">
        <v>0.97222984797673</v>
      </c>
      <c r="G14" s="2">
        <v>19218578.566649</v>
      </c>
      <c r="H14" s="2">
        <v>4558000.1139548</v>
      </c>
      <c r="I14" s="2">
        <v>-0.002457312037265</v>
      </c>
      <c r="J14" s="2">
        <v>-0.0021940998728306</v>
      </c>
      <c r="K14" s="2">
        <v>0.0054051043516487</v>
      </c>
      <c r="L14" s="2">
        <v>-0.040767819715615</v>
      </c>
      <c r="M14" s="2">
        <v>-0.041405436377474</v>
      </c>
      <c r="N14" s="2">
        <v>325.42609224734</v>
      </c>
      <c r="O14" s="2">
        <v>361.68058561625</v>
      </c>
    </row>
    <row r="15" s="2" customFormat="1" spans="1:15">
      <c r="A15" s="2">
        <v>2.0066849390983</v>
      </c>
      <c r="B15" s="2">
        <v>0.0046407787749649</v>
      </c>
      <c r="C15" s="2">
        <v>90.305094435298</v>
      </c>
      <c r="D15" s="2">
        <v>0.0060004763960945</v>
      </c>
      <c r="E15" s="2">
        <v>6.6457044056796</v>
      </c>
      <c r="F15" s="2">
        <v>0.96860197247809</v>
      </c>
      <c r="G15" s="2">
        <v>19760759.853645</v>
      </c>
      <c r="H15" s="2">
        <v>4651814.8290124</v>
      </c>
      <c r="I15" s="2">
        <v>-0.0027731909051426</v>
      </c>
      <c r="J15" s="2">
        <v>-0.0024714819715084</v>
      </c>
      <c r="K15" s="2">
        <v>0.0060016278128137</v>
      </c>
      <c r="L15" s="2">
        <v>-0.045642193390337</v>
      </c>
      <c r="M15" s="2">
        <v>-0.046302223642157</v>
      </c>
      <c r="N15" s="2">
        <v>326.95040391857</v>
      </c>
      <c r="O15" s="2">
        <v>363.51245965553</v>
      </c>
    </row>
    <row r="16" s="2" customFormat="1" spans="1:15">
      <c r="A16" s="2">
        <v>2.2066849390983</v>
      </c>
      <c r="B16" s="2">
        <v>0.0052461319126971</v>
      </c>
      <c r="C16" s="2">
        <v>90.304299532409</v>
      </c>
      <c r="D16" s="2">
        <v>0.0066149280036087</v>
      </c>
      <c r="E16" s="2">
        <v>6.649987720054</v>
      </c>
      <c r="F16" s="2">
        <v>0.9650016789556</v>
      </c>
      <c r="G16" s="2">
        <v>20310598.388448</v>
      </c>
      <c r="H16" s="2">
        <v>4746905.8939702</v>
      </c>
      <c r="I16" s="2">
        <v>-0.0030890713825629</v>
      </c>
      <c r="J16" s="2">
        <v>-0.0027487756227029</v>
      </c>
      <c r="K16" s="2">
        <v>0.0065977907331612</v>
      </c>
      <c r="L16" s="2">
        <v>-0.050392180700723</v>
      </c>
      <c r="M16" s="2">
        <v>-0.05101745760104</v>
      </c>
      <c r="N16" s="2">
        <v>328.33772557042</v>
      </c>
      <c r="O16" s="2">
        <v>365.17843481558</v>
      </c>
    </row>
    <row r="17" s="2" customFormat="1" spans="1:15">
      <c r="A17" s="2">
        <v>2.4066849390983</v>
      </c>
      <c r="B17" s="2">
        <v>0.0058519384987292</v>
      </c>
      <c r="C17" s="2">
        <v>90.303427244477</v>
      </c>
      <c r="D17" s="2">
        <v>0.0072291283401675</v>
      </c>
      <c r="E17" s="2">
        <v>6.654302104251</v>
      </c>
      <c r="F17" s="2">
        <v>0.96142348212731</v>
      </c>
      <c r="G17" s="2">
        <v>20867412.938562</v>
      </c>
      <c r="H17" s="2">
        <v>4843154.5239512</v>
      </c>
      <c r="I17" s="2">
        <v>-0.0034048310319037</v>
      </c>
      <c r="J17" s="2">
        <v>-0.0030260094337455</v>
      </c>
      <c r="K17" s="2">
        <v>0.0071935935657977</v>
      </c>
      <c r="L17" s="2">
        <v>-0.055023308077659</v>
      </c>
      <c r="M17" s="2">
        <v>-0.055563751151125</v>
      </c>
      <c r="N17" s="2">
        <v>329.63380062882</v>
      </c>
      <c r="O17" s="2">
        <v>366.7376820057</v>
      </c>
    </row>
    <row r="18" s="2" customFormat="1" spans="1:15">
      <c r="A18" s="2">
        <v>2.6066849390983</v>
      </c>
      <c r="B18" s="2">
        <v>0.0064580980561857</v>
      </c>
      <c r="C18" s="2">
        <v>90.302508719244</v>
      </c>
      <c r="D18" s="2">
        <v>0.0078430989790323</v>
      </c>
      <c r="E18" s="2">
        <v>6.6586477664428</v>
      </c>
      <c r="F18" s="2">
        <v>0.95786478838365</v>
      </c>
      <c r="G18" s="2">
        <v>21430750.18018</v>
      </c>
      <c r="H18" s="2">
        <v>4940481.5597739</v>
      </c>
      <c r="I18" s="2">
        <v>-0.0037204192687179</v>
      </c>
      <c r="J18" s="2">
        <v>-0.0033031838463151</v>
      </c>
      <c r="K18" s="2">
        <v>0.0077890367914105</v>
      </c>
      <c r="L18" s="2">
        <v>-0.059620114278985</v>
      </c>
      <c r="M18" s="2">
        <v>-0.060102628389162</v>
      </c>
      <c r="N18" s="2">
        <v>330.86437850933</v>
      </c>
      <c r="O18" s="2">
        <v>368.22108802512</v>
      </c>
    </row>
    <row r="19" s="2" customFormat="1" spans="1:15">
      <c r="A19" s="2">
        <v>2.8066849390983</v>
      </c>
      <c r="B19" s="2">
        <v>0.0070644818515668</v>
      </c>
      <c r="C19" s="2">
        <v>90.301562372092</v>
      </c>
      <c r="D19" s="2">
        <v>0.0084568443134824</v>
      </c>
      <c r="E19" s="2">
        <v>6.6630275832746</v>
      </c>
      <c r="F19" s="2">
        <v>0.95432441413592</v>
      </c>
      <c r="G19" s="2">
        <v>22000283.005145</v>
      </c>
      <c r="H19" s="2">
        <v>5038829.8307718</v>
      </c>
      <c r="I19" s="2">
        <v>-0.0040358322868249</v>
      </c>
      <c r="J19" s="2">
        <v>-0.0035802668771227</v>
      </c>
      <c r="K19" s="2">
        <v>0.0083841208947539</v>
      </c>
      <c r="L19" s="2">
        <v>-0.064188181371889</v>
      </c>
      <c r="M19" s="2">
        <v>-0.064618312848096</v>
      </c>
      <c r="N19" s="2">
        <v>332.04776035467</v>
      </c>
      <c r="O19" s="2">
        <v>369.64855348924</v>
      </c>
    </row>
    <row r="20" s="2" customFormat="1" spans="1:15">
      <c r="A20" s="2">
        <v>3.0066849390983</v>
      </c>
      <c r="B20" s="2">
        <v>0.0076709998070894</v>
      </c>
      <c r="C20" s="2">
        <v>90.300597503765</v>
      </c>
      <c r="D20" s="2">
        <v>0.009070367393859</v>
      </c>
      <c r="E20" s="2">
        <v>6.6674414808507</v>
      </c>
      <c r="F20" s="2">
        <v>0.95080033294825</v>
      </c>
      <c r="G20" s="2">
        <v>22575793.743755</v>
      </c>
      <c r="H20" s="2">
        <v>5138161.195399</v>
      </c>
      <c r="I20" s="2">
        <v>-0.0043510910291321</v>
      </c>
      <c r="J20" s="2">
        <v>-0.0038572247940652</v>
      </c>
      <c r="K20" s="2">
        <v>0.00897884635426</v>
      </c>
      <c r="L20" s="2">
        <v>-0.068662908149036</v>
      </c>
      <c r="M20" s="2">
        <v>-0.069080207610414</v>
      </c>
      <c r="N20" s="2">
        <v>333.19139273567</v>
      </c>
      <c r="O20" s="2">
        <v>371.02772485493</v>
      </c>
    </row>
    <row r="21" s="2" customFormat="1" spans="1:15">
      <c r="A21" s="2">
        <v>3.2066849390983</v>
      </c>
      <c r="B21" s="2">
        <v>0.0082775696338343</v>
      </c>
      <c r="C21" s="2">
        <v>90.299619400732</v>
      </c>
      <c r="D21" s="2">
        <v>0.0096836706412298</v>
      </c>
      <c r="E21" s="2">
        <v>6.6718874403016</v>
      </c>
      <c r="F21" s="2">
        <v>0.94729089720211</v>
      </c>
      <c r="G21" s="2">
        <v>23157086.910524</v>
      </c>
      <c r="H21" s="2">
        <v>5238441.4240224</v>
      </c>
      <c r="I21" s="2">
        <v>-0.0046662092025576</v>
      </c>
      <c r="J21" s="2">
        <v>-0.0041340236540045</v>
      </c>
      <c r="K21" s="2">
        <v>0.0095732136183688</v>
      </c>
      <c r="L21" s="2">
        <v>-0.07301378007806</v>
      </c>
      <c r="M21" s="2">
        <v>-0.073292735183207</v>
      </c>
      <c r="N21" s="2">
        <v>334.30535946684</v>
      </c>
      <c r="O21" s="2">
        <v>372.36970584251</v>
      </c>
    </row>
    <row r="22" s="2" customFormat="1" spans="1:15">
      <c r="A22" s="2">
        <v>3.4066849390983</v>
      </c>
      <c r="B22" s="2">
        <v>0.0088841838232816</v>
      </c>
      <c r="C22" s="2">
        <v>90.29863370102</v>
      </c>
      <c r="D22" s="2">
        <v>0.010296776047011</v>
      </c>
      <c r="E22" s="2">
        <v>6.676363034339</v>
      </c>
      <c r="F22" s="2">
        <v>0.94379818351946</v>
      </c>
      <c r="G22" s="2">
        <v>23744016.796035</v>
      </c>
      <c r="H22" s="2">
        <v>5339644.9223105</v>
      </c>
      <c r="I22" s="2">
        <v>-0.0049811814002819</v>
      </c>
      <c r="J22" s="2">
        <v>-0.004410667529654</v>
      </c>
      <c r="K22" s="2">
        <v>0.010167223056502</v>
      </c>
      <c r="L22" s="2">
        <v>-0.077421060443026</v>
      </c>
      <c r="M22" s="2">
        <v>-0.077631733043653</v>
      </c>
      <c r="N22" s="2">
        <v>335.39177483592</v>
      </c>
      <c r="O22" s="2">
        <v>373.67852599879</v>
      </c>
    </row>
    <row r="23" s="2" customFormat="1" spans="1:15">
      <c r="A23" s="2">
        <v>3.6066849390983</v>
      </c>
      <c r="B23" s="2">
        <v>0.0094908218649026</v>
      </c>
      <c r="C23" s="2">
        <v>90.297644229838</v>
      </c>
      <c r="D23" s="2">
        <v>0.0109097036622</v>
      </c>
      <c r="E23" s="2">
        <v>6.6808662395831</v>
      </c>
      <c r="F23" s="2">
        <v>0.94032293945191</v>
      </c>
      <c r="G23" s="2">
        <v>24336428.686302</v>
      </c>
      <c r="H23" s="2">
        <v>5441744.5776145</v>
      </c>
      <c r="I23" s="2">
        <v>-0.0052959893485955</v>
      </c>
      <c r="J23" s="2">
        <v>-0.0046871603562351</v>
      </c>
      <c r="K23" s="2">
        <v>0.010760874986929</v>
      </c>
      <c r="L23" s="2">
        <v>-0.0817469452983</v>
      </c>
      <c r="M23" s="2">
        <v>-0.081856739849477</v>
      </c>
      <c r="N23" s="2">
        <v>336.45737748623</v>
      </c>
      <c r="O23" s="2">
        <v>374.96275368892</v>
      </c>
    </row>
    <row r="24" s="2" customFormat="1" spans="1:15">
      <c r="A24" s="2">
        <v>3.8066849390983</v>
      </c>
      <c r="B24" s="2">
        <v>0.010097475813749</v>
      </c>
      <c r="C24" s="2">
        <v>90.296653294743</v>
      </c>
      <c r="D24" s="2">
        <v>0.011522472368082</v>
      </c>
      <c r="E24" s="2">
        <v>6.6853957629083</v>
      </c>
      <c r="F24" s="2">
        <v>0.9368653085991</v>
      </c>
      <c r="G24" s="2">
        <v>24934207.870705</v>
      </c>
      <c r="H24" s="2">
        <v>5544720.224305</v>
      </c>
      <c r="I24" s="2">
        <v>-0.0056106214880967</v>
      </c>
      <c r="J24" s="2">
        <v>-0.0049635112942552</v>
      </c>
      <c r="K24" s="2">
        <v>0.01135416973475</v>
      </c>
      <c r="L24" s="2">
        <v>-0.086053637152283</v>
      </c>
      <c r="M24" s="2">
        <v>-0.086107566394048</v>
      </c>
      <c r="N24" s="2">
        <v>337.50413504236</v>
      </c>
      <c r="O24" s="2">
        <v>376.22497118201</v>
      </c>
    </row>
    <row r="25" s="2" customFormat="1" spans="1:15">
      <c r="A25" s="2">
        <v>4.0066849390983</v>
      </c>
      <c r="B25" s="2">
        <v>0.010704113344034</v>
      </c>
      <c r="C25" s="2">
        <v>90.295662123392</v>
      </c>
      <c r="D25" s="2">
        <v>0.012135092339853</v>
      </c>
      <c r="E25" s="2">
        <v>6.6899509112024</v>
      </c>
      <c r="F25" s="2">
        <v>0.93342461850325</v>
      </c>
      <c r="G25" s="2">
        <v>25537241.664585</v>
      </c>
      <c r="H25" s="2">
        <v>5648552.1048647</v>
      </c>
      <c r="I25" s="2">
        <v>-0.0059250642116027</v>
      </c>
      <c r="J25" s="2">
        <v>-0.0052397233722413</v>
      </c>
      <c r="K25" s="2">
        <v>0.011947107639424</v>
      </c>
      <c r="L25" s="2">
        <v>-0.090360245021975</v>
      </c>
      <c r="M25" s="2">
        <v>-0.090354995662808</v>
      </c>
      <c r="N25" s="2">
        <v>338.53719702063</v>
      </c>
      <c r="O25" s="2">
        <v>377.47035696859</v>
      </c>
    </row>
    <row r="26" s="2" customFormat="1" spans="1:15">
      <c r="A26" s="2">
        <v>4.2066849390983</v>
      </c>
      <c r="B26" s="2">
        <v>0.011310735664348</v>
      </c>
      <c r="C26" s="2">
        <v>90.294672737778</v>
      </c>
      <c r="D26" s="2">
        <v>0.012747574089989</v>
      </c>
      <c r="E26" s="2">
        <v>6.6945315462872</v>
      </c>
      <c r="F26" s="2">
        <v>0.93000015936191</v>
      </c>
      <c r="G26" s="2">
        <v>26145465.418669</v>
      </c>
      <c r="H26" s="2">
        <v>5753228.7756142</v>
      </c>
      <c r="I26" s="2">
        <v>-0.0062393136705581</v>
      </c>
      <c r="J26" s="2">
        <v>-0.005515806851083</v>
      </c>
      <c r="K26" s="2">
        <v>0.012539689048491</v>
      </c>
      <c r="L26" s="2">
        <v>-0.094598315846373</v>
      </c>
      <c r="M26" s="2">
        <v>-0.094504115755508</v>
      </c>
      <c r="N26" s="2">
        <v>339.55401093736</v>
      </c>
      <c r="O26" s="2">
        <v>378.69545817189</v>
      </c>
    </row>
    <row r="27" s="2" customFormat="1" spans="1:15">
      <c r="A27" s="2">
        <v>4.4066849390983</v>
      </c>
      <c r="B27" s="2">
        <v>0.01191730705987</v>
      </c>
      <c r="C27" s="2">
        <v>90.293685223381</v>
      </c>
      <c r="D27" s="2">
        <v>0.013359920012156</v>
      </c>
      <c r="E27" s="2">
        <v>6.699137797623</v>
      </c>
      <c r="F27" s="2">
        <v>0.9265906705989</v>
      </c>
      <c r="G27" s="2">
        <v>26758786.470489</v>
      </c>
      <c r="H27" s="2">
        <v>5858733.9996768</v>
      </c>
      <c r="I27" s="2">
        <v>-0.0065533540551441</v>
      </c>
      <c r="J27" s="2">
        <v>-0.0057917680663705</v>
      </c>
      <c r="K27" s="2">
        <v>0.013131914330894</v>
      </c>
      <c r="L27" s="2">
        <v>-0.098831381834337</v>
      </c>
      <c r="M27" s="2">
        <v>-0.098668116252607</v>
      </c>
      <c r="N27" s="2">
        <v>340.55926334027</v>
      </c>
      <c r="O27" s="2">
        <v>379.90472772651</v>
      </c>
    </row>
    <row r="28" s="2" customFormat="1" spans="1:15">
      <c r="A28" s="2">
        <v>4.6066849390983</v>
      </c>
      <c r="B28" s="2">
        <v>0.012523806225538</v>
      </c>
      <c r="C28" s="2">
        <v>90.292699262357</v>
      </c>
      <c r="D28" s="2">
        <v>0.01397213254477</v>
      </c>
      <c r="E28" s="2">
        <v>6.7037697571209</v>
      </c>
      <c r="F28" s="2">
        <v>0.92319607981671</v>
      </c>
      <c r="G28" s="2">
        <v>27377132.171388</v>
      </c>
      <c r="H28" s="2">
        <v>5965055.0094949</v>
      </c>
      <c r="I28" s="2">
        <v>-0.0068671724375859</v>
      </c>
      <c r="J28" s="2">
        <v>-0.0060676179704166</v>
      </c>
      <c r="K28" s="2">
        <v>0.013723783854696</v>
      </c>
      <c r="L28" s="2">
        <v>-0.10304415740412</v>
      </c>
      <c r="M28" s="2">
        <v>-0.10282359991388</v>
      </c>
      <c r="N28" s="2">
        <v>341.55414978221</v>
      </c>
      <c r="O28" s="2">
        <v>381.09942635387</v>
      </c>
    </row>
    <row r="29" s="2" customFormat="1" spans="1:15">
      <c r="A29" s="2">
        <v>4.8066849390983</v>
      </c>
      <c r="B29" s="2">
        <v>0.013130227235826</v>
      </c>
      <c r="C29" s="2">
        <v>90.291716036043</v>
      </c>
      <c r="D29" s="2">
        <v>0.014584214508645</v>
      </c>
      <c r="E29" s="2">
        <v>6.7084271200308</v>
      </c>
      <c r="F29" s="2">
        <v>0.91981452305364</v>
      </c>
      <c r="G29" s="2">
        <v>28000446.004687</v>
      </c>
      <c r="H29" s="2">
        <v>6072181.8355395</v>
      </c>
      <c r="I29" s="2">
        <v>-0.0071807599523496</v>
      </c>
      <c r="J29" s="2">
        <v>-0.0063433678808508</v>
      </c>
      <c r="K29" s="2">
        <v>0.014315298020976</v>
      </c>
      <c r="L29" s="2">
        <v>-0.10722537245691</v>
      </c>
      <c r="M29" s="2">
        <v>-0.10692813578472</v>
      </c>
      <c r="N29" s="2">
        <v>342.53782900627</v>
      </c>
      <c r="O29" s="2">
        <v>382.27833647907</v>
      </c>
    </row>
    <row r="30" s="2" customFormat="1" spans="1:15">
      <c r="A30" s="2">
        <v>5.0066849390983</v>
      </c>
      <c r="B30" s="2">
        <v>0.013736559259472</v>
      </c>
      <c r="C30" s="2">
        <v>90.290736084132</v>
      </c>
      <c r="D30" s="2">
        <v>0.0151961666735</v>
      </c>
      <c r="E30" s="2">
        <v>6.7131113175792</v>
      </c>
      <c r="F30" s="2">
        <v>0.91644543603424</v>
      </c>
      <c r="G30" s="2">
        <v>28628664.89003</v>
      </c>
      <c r="H30" s="2">
        <v>6180103.3809044</v>
      </c>
      <c r="I30" s="2">
        <v>-0.0074941036576933</v>
      </c>
      <c r="J30" s="2">
        <v>-0.0066190303961898</v>
      </c>
      <c r="K30" s="2">
        <v>0.014906457217976</v>
      </c>
      <c r="L30" s="2">
        <v>-0.11140953645798</v>
      </c>
      <c r="M30" s="2">
        <v>-0.11104919986464</v>
      </c>
      <c r="N30" s="2">
        <v>343.51084972782</v>
      </c>
      <c r="O30" s="2">
        <v>383.44233237574</v>
      </c>
    </row>
    <row r="31" s="2" customFormat="1" spans="1:15">
      <c r="A31" s="2">
        <v>5.2066849390983</v>
      </c>
      <c r="B31" s="2">
        <v>0.01434279657423</v>
      </c>
      <c r="C31" s="2">
        <v>90.289759805997</v>
      </c>
      <c r="D31" s="2">
        <v>0.015807992027398</v>
      </c>
      <c r="E31" s="2">
        <v>6.7178221756987</v>
      </c>
      <c r="F31" s="2">
        <v>0.91308776566096</v>
      </c>
      <c r="G31" s="2">
        <v>29261726.581419</v>
      </c>
      <c r="H31" s="2">
        <v>6288808.7091022</v>
      </c>
      <c r="I31" s="2">
        <v>-0.0078071930521278</v>
      </c>
      <c r="J31" s="2">
        <v>-0.0068946145586532</v>
      </c>
      <c r="K31" s="2">
        <v>0.015497261821629</v>
      </c>
      <c r="L31" s="2">
        <v>-0.1155396624554</v>
      </c>
      <c r="M31" s="2">
        <v>-0.11513345886219</v>
      </c>
      <c r="N31" s="2">
        <v>344.47396868878</v>
      </c>
      <c r="O31" s="2">
        <v>384.5925195715</v>
      </c>
    </row>
    <row r="32" s="2" customFormat="1" spans="1:15">
      <c r="A32" s="2">
        <v>5.4066849390983</v>
      </c>
      <c r="B32" s="2">
        <v>0.014948934656153</v>
      </c>
      <c r="C32" s="2">
        <v>90.288787561</v>
      </c>
      <c r="D32" s="2">
        <v>0.016419693581383</v>
      </c>
      <c r="E32" s="2">
        <v>6.7225590309927</v>
      </c>
      <c r="F32" s="2">
        <v>0.90974098484185</v>
      </c>
      <c r="G32" s="2">
        <v>29899566.730854</v>
      </c>
      <c r="H32" s="2">
        <v>6398286.5271295</v>
      </c>
      <c r="I32" s="2">
        <v>-0.0081200221778456</v>
      </c>
      <c r="J32" s="2">
        <v>-0.0071701239342939</v>
      </c>
      <c r="K32" s="2">
        <v>0.016087712235758</v>
      </c>
      <c r="L32" s="2">
        <v>-0.11969095899935</v>
      </c>
      <c r="M32" s="2">
        <v>-0.11920451873243</v>
      </c>
      <c r="N32" s="2">
        <v>345.42858223268</v>
      </c>
      <c r="O32" s="2">
        <v>385.73083060165</v>
      </c>
    </row>
    <row r="33" s="2" customFormat="1" spans="1:15">
      <c r="A33" s="2">
        <v>5.6066849390983</v>
      </c>
      <c r="B33" s="2">
        <v>0.015554970342874</v>
      </c>
      <c r="C33" s="2">
        <v>90.287819471668</v>
      </c>
      <c r="D33" s="2">
        <v>0.017031275604919</v>
      </c>
      <c r="E33" s="2">
        <v>6.7273200423519</v>
      </c>
      <c r="F33" s="2">
        <v>0.90640534507508</v>
      </c>
      <c r="G33" s="2">
        <v>30542120.733953</v>
      </c>
      <c r="H33" s="2">
        <v>6508525.5066036</v>
      </c>
      <c r="I33" s="2">
        <v>-0.00843258556429</v>
      </c>
      <c r="J33" s="2">
        <v>-0.0074455611350301</v>
      </c>
      <c r="K33" s="2">
        <v>0.016677808835077</v>
      </c>
      <c r="L33" s="2">
        <v>-0.12384145684809</v>
      </c>
      <c r="M33" s="2">
        <v>-0.12332594916875</v>
      </c>
      <c r="N33" s="2">
        <v>346.37617883763</v>
      </c>
      <c r="O33" s="2">
        <v>386.85922995698</v>
      </c>
    </row>
    <row r="34" s="2" customFormat="1" spans="1:15">
      <c r="A34" s="2">
        <v>5.8066849390983</v>
      </c>
      <c r="B34" s="2">
        <v>0.016160913545216</v>
      </c>
      <c r="C34" s="2">
        <v>90.286856482824</v>
      </c>
      <c r="D34" s="2">
        <v>0.017642744266136</v>
      </c>
      <c r="E34" s="2">
        <v>6.7321043775921</v>
      </c>
      <c r="F34" s="2">
        <v>0.90308037908589</v>
      </c>
      <c r="G34" s="2">
        <v>31189338.905271</v>
      </c>
      <c r="H34" s="2">
        <v>6619516.88571</v>
      </c>
      <c r="I34" s="2">
        <v>-0.008744886050185</v>
      </c>
      <c r="J34" s="2">
        <v>-0.0077209254693907</v>
      </c>
      <c r="K34" s="2">
        <v>0.017267552027039</v>
      </c>
      <c r="L34" s="2">
        <v>-0.12789355111891</v>
      </c>
      <c r="M34" s="2">
        <v>-0.12729129105893</v>
      </c>
      <c r="N34" s="2">
        <v>347.31574267727</v>
      </c>
      <c r="O34" s="2">
        <v>387.97680921565</v>
      </c>
    </row>
    <row r="35" s="2" customFormat="1" spans="1:15">
      <c r="A35" s="2">
        <v>6.0066849390983</v>
      </c>
      <c r="B35" s="2">
        <v>0.016766765688697</v>
      </c>
      <c r="C35" s="2">
        <v>90.285898119715</v>
      </c>
      <c r="D35" s="2">
        <v>0.018254105740656</v>
      </c>
      <c r="E35" s="2">
        <v>6.7369098351314</v>
      </c>
      <c r="F35" s="2">
        <v>0.89976636401051</v>
      </c>
      <c r="G35" s="2">
        <v>31841161.728464</v>
      </c>
      <c r="H35" s="2">
        <v>6731250.2269322</v>
      </c>
      <c r="I35" s="2">
        <v>-0.0090569242473315</v>
      </c>
      <c r="J35" s="2">
        <v>-0.0079962153978373</v>
      </c>
      <c r="K35" s="2">
        <v>0.017856942201834</v>
      </c>
      <c r="L35" s="2">
        <v>-0.13196182645379</v>
      </c>
      <c r="M35" s="2">
        <v>-0.13129505371781</v>
      </c>
      <c r="N35" s="2">
        <v>348.24820278239</v>
      </c>
      <c r="O35" s="2">
        <v>389.08494381309</v>
      </c>
    </row>
    <row r="36" s="2" customFormat="1" spans="1:15">
      <c r="A36" s="2">
        <v>6.2066849390983</v>
      </c>
      <c r="B36" s="2">
        <v>0.017372525492591</v>
      </c>
      <c r="C36" s="2">
        <v>90.284944139699</v>
      </c>
      <c r="D36" s="2">
        <v>0.018865364400807</v>
      </c>
      <c r="E36" s="2">
        <v>6.7417350784073</v>
      </c>
      <c r="F36" s="2">
        <v>0.89646407011571</v>
      </c>
      <c r="G36" s="2">
        <v>32497529.201297</v>
      </c>
      <c r="H36" s="2">
        <v>6843715.0255409</v>
      </c>
      <c r="I36" s="2">
        <v>-0.0093686981986643</v>
      </c>
      <c r="J36" s="2">
        <v>-0.0082714300162755</v>
      </c>
      <c r="K36" s="2">
        <v>0.018445979753142</v>
      </c>
      <c r="L36" s="2">
        <v>-0.13608895937693</v>
      </c>
      <c r="M36" s="2">
        <v>-0.13533666230691</v>
      </c>
      <c r="N36" s="2">
        <v>349.17505014769</v>
      </c>
      <c r="O36" s="2">
        <v>390.18530855814</v>
      </c>
    </row>
    <row r="37" s="2" customFormat="1" spans="1:15">
      <c r="A37" s="2">
        <v>6.4066849390983</v>
      </c>
      <c r="B37" s="2">
        <v>0.017978202737755</v>
      </c>
      <c r="C37" s="2">
        <v>90.28399458184</v>
      </c>
      <c r="D37" s="2">
        <v>0.019476526892841</v>
      </c>
      <c r="E37" s="2">
        <v>6.7465782589743</v>
      </c>
      <c r="F37" s="2">
        <v>0.89317380446112</v>
      </c>
      <c r="G37" s="2">
        <v>33158395.049628</v>
      </c>
      <c r="H37" s="2">
        <v>6956903.1376739</v>
      </c>
      <c r="I37" s="2">
        <v>-0.0096802111213394</v>
      </c>
      <c r="J37" s="2">
        <v>-0.0085465682904861</v>
      </c>
      <c r="K37" s="2">
        <v>0.019034665071874</v>
      </c>
      <c r="L37" s="2">
        <v>-0.1400822696055</v>
      </c>
      <c r="M37" s="2">
        <v>-0.13929553737346</v>
      </c>
      <c r="N37" s="2">
        <v>350.09522113106</v>
      </c>
      <c r="O37" s="2">
        <v>391.27691348837</v>
      </c>
    </row>
    <row r="38" s="2" customFormat="1" spans="1:15">
      <c r="A38" s="2">
        <v>6.6066849390983</v>
      </c>
      <c r="B38" s="2">
        <v>0.018583800135392</v>
      </c>
      <c r="C38" s="2">
        <v>90.283048995784</v>
      </c>
      <c r="D38" s="2">
        <v>0.020087598854538</v>
      </c>
      <c r="E38" s="2">
        <v>6.7514381798521</v>
      </c>
      <c r="F38" s="2">
        <v>0.88989556485808</v>
      </c>
      <c r="G38" s="2">
        <v>33823705.907192</v>
      </c>
      <c r="H38" s="2">
        <v>7070805.2098706</v>
      </c>
      <c r="I38" s="2">
        <v>-0.0099914661051597</v>
      </c>
      <c r="J38" s="2">
        <v>-0.0088216270722612</v>
      </c>
      <c r="K38" s="2">
        <v>0.01962299857068</v>
      </c>
      <c r="L38" s="2">
        <v>-0.14412099230274</v>
      </c>
      <c r="M38" s="2">
        <v>-0.14327304430642</v>
      </c>
      <c r="N38" s="2">
        <v>351.00923576782</v>
      </c>
      <c r="O38" s="2">
        <v>392.36060593875</v>
      </c>
    </row>
    <row r="39" s="2" customFormat="1" spans="1:15">
      <c r="A39" s="2">
        <v>6.8066849390983</v>
      </c>
      <c r="B39" s="2">
        <v>0.019189319833137</v>
      </c>
      <c r="C39" s="2">
        <v>90.282107527216</v>
      </c>
      <c r="D39" s="2">
        <v>0.020698584644663</v>
      </c>
      <c r="E39" s="2">
        <v>6.7563126708615</v>
      </c>
      <c r="F39" s="2">
        <v>0.88662972328325</v>
      </c>
      <c r="G39" s="2">
        <v>34493407.351537</v>
      </c>
      <c r="H39" s="2">
        <v>7185411.7229927</v>
      </c>
      <c r="I39" s="2">
        <v>-0.010302462018983</v>
      </c>
      <c r="J39" s="2">
        <v>-0.0090966051712999</v>
      </c>
      <c r="K39" s="2">
        <v>0.020210980632904</v>
      </c>
      <c r="L39" s="2">
        <v>-0.14814805133329</v>
      </c>
      <c r="M39" s="2">
        <v>-0.14724135170616</v>
      </c>
      <c r="N39" s="2">
        <v>351.91818091038</v>
      </c>
      <c r="O39" s="2">
        <v>393.43751614704</v>
      </c>
    </row>
    <row r="40" s="2" customFormat="1" spans="1:15">
      <c r="A40" s="2">
        <v>7.0066849390983</v>
      </c>
      <c r="B40" s="2">
        <v>0.01979476685498</v>
      </c>
      <c r="C40" s="2">
        <v>90.281170811795</v>
      </c>
      <c r="D40" s="2">
        <v>0.021309490591188</v>
      </c>
      <c r="E40" s="2">
        <v>6.7612010975176</v>
      </c>
      <c r="F40" s="2">
        <v>0.88337671380448</v>
      </c>
      <c r="G40" s="2">
        <v>35167454.194931</v>
      </c>
      <c r="H40" s="2">
        <v>7300714.7518875</v>
      </c>
      <c r="I40" s="2">
        <v>-0.010613202614274</v>
      </c>
      <c r="J40" s="2">
        <v>-0.0093715005798135</v>
      </c>
      <c r="K40" s="2">
        <v>0.020798611670331</v>
      </c>
      <c r="L40" s="2">
        <v>-0.15219700564609</v>
      </c>
      <c r="M40" s="2">
        <v>-0.15126586030488</v>
      </c>
      <c r="N40" s="2">
        <v>352.82162142424</v>
      </c>
      <c r="O40" s="2">
        <v>394.50736359708</v>
      </c>
    </row>
    <row r="41" s="2" customFormat="1" spans="1:15">
      <c r="A41" s="2">
        <v>7.2066849390983</v>
      </c>
      <c r="B41" s="2">
        <v>0.020400146442959</v>
      </c>
      <c r="C41" s="2">
        <v>90.280238119742</v>
      </c>
      <c r="D41" s="2">
        <v>0.021920320604316</v>
      </c>
      <c r="E41" s="2">
        <v>6.7661020644626</v>
      </c>
      <c r="F41" s="2">
        <v>0.88013694703004</v>
      </c>
      <c r="G41" s="2">
        <v>35845795.1347</v>
      </c>
      <c r="H41" s="2">
        <v>7416705.3295292</v>
      </c>
      <c r="I41" s="2">
        <v>-0.010923689349399</v>
      </c>
      <c r="J41" s="2">
        <v>-0.0096463103502592</v>
      </c>
      <c r="K41" s="2">
        <v>0.021385892062878</v>
      </c>
      <c r="L41" s="2">
        <v>-0.15622463502073</v>
      </c>
      <c r="M41" s="2">
        <v>-0.1552085461063</v>
      </c>
      <c r="N41" s="2">
        <v>353.72015970555</v>
      </c>
      <c r="O41" s="2">
        <v>395.57076165407</v>
      </c>
    </row>
    <row r="42" s="2" customFormat="1" spans="1:15">
      <c r="A42" s="2">
        <v>7.4066849390983</v>
      </c>
      <c r="B42" s="2">
        <v>0.021005462792414</v>
      </c>
      <c r="C42" s="2">
        <v>90.279309080029</v>
      </c>
      <c r="D42" s="2">
        <v>0.022531080117134</v>
      </c>
      <c r="E42" s="2">
        <v>6.7710139672397</v>
      </c>
      <c r="F42" s="2">
        <v>0.876909948327</v>
      </c>
      <c r="G42" s="2">
        <v>36528384.564418</v>
      </c>
      <c r="H42" s="2">
        <v>7533375.4677698</v>
      </c>
      <c r="I42" s="2">
        <v>-0.011233925124819</v>
      </c>
      <c r="J42" s="2">
        <v>-0.0099210329417246</v>
      </c>
      <c r="K42" s="2">
        <v>0.021972822218448</v>
      </c>
      <c r="L42" s="2">
        <v>-0.16020509222422</v>
      </c>
      <c r="M42" s="2">
        <v>-0.15912232016554</v>
      </c>
      <c r="N42" s="2">
        <v>354.61345661649</v>
      </c>
      <c r="O42" s="2">
        <v>396.62753110297</v>
      </c>
    </row>
    <row r="43" s="2" customFormat="1" spans="1:15">
      <c r="A43" s="2">
        <v>7.6066849390983</v>
      </c>
      <c r="B43" s="2">
        <v>0.021610715501036</v>
      </c>
      <c r="C43" s="2">
        <v>90.278383412268</v>
      </c>
      <c r="D43" s="2">
        <v>0.023141772297491</v>
      </c>
      <c r="E43" s="2">
        <v>6.7759365494627</v>
      </c>
      <c r="F43" s="2">
        <v>0.87369623824927</v>
      </c>
      <c r="G43" s="2">
        <v>37215172.497312</v>
      </c>
      <c r="H43" s="2">
        <v>7650716.4526043</v>
      </c>
      <c r="I43" s="2">
        <v>-0.01154391120674</v>
      </c>
      <c r="J43" s="2">
        <v>-0.010195665384601</v>
      </c>
      <c r="K43" s="2">
        <v>0.02255940254075</v>
      </c>
      <c r="L43" s="2">
        <v>-0.16421302005024</v>
      </c>
      <c r="M43" s="2">
        <v>-0.16306805639255</v>
      </c>
      <c r="N43" s="2">
        <v>355.50256172516</v>
      </c>
      <c r="O43" s="2">
        <v>397.67894985674</v>
      </c>
    </row>
    <row r="44" s="2" customFormat="1" spans="1:15">
      <c r="A44" s="2">
        <v>7.8066849390983</v>
      </c>
      <c r="B44" s="2">
        <v>0.02221591396023</v>
      </c>
      <c r="C44" s="2">
        <v>90.277461333078</v>
      </c>
      <c r="D44" s="2">
        <v>0.023752402502101</v>
      </c>
      <c r="E44" s="2">
        <v>6.7808678576424</v>
      </c>
      <c r="F44" s="2">
        <v>0.87049601824955</v>
      </c>
      <c r="G44" s="2">
        <v>37906122.14217</v>
      </c>
      <c r="H44" s="2">
        <v>7768721.8358373</v>
      </c>
      <c r="I44" s="2">
        <v>-0.011853650752613</v>
      </c>
      <c r="J44" s="2">
        <v>-0.01047020777868</v>
      </c>
      <c r="K44" s="2">
        <v>0.02314563341895</v>
      </c>
      <c r="L44" s="2">
        <v>-0.16821057303299</v>
      </c>
      <c r="M44" s="2">
        <v>-0.16701201130323</v>
      </c>
      <c r="N44" s="2">
        <v>356.38617036302</v>
      </c>
      <c r="O44" s="2">
        <v>398.72356069545</v>
      </c>
    </row>
    <row r="45" s="2" customFormat="1" spans="1:15">
      <c r="A45" s="2">
        <v>8.0066849390983</v>
      </c>
      <c r="B45" s="2">
        <v>0.022821056905004</v>
      </c>
      <c r="C45" s="2">
        <v>90.276542016098</v>
      </c>
      <c r="D45" s="2">
        <v>0.024362974210545</v>
      </c>
      <c r="E45" s="2">
        <v>6.7858076571702</v>
      </c>
      <c r="F45" s="2">
        <v>0.86730897878923</v>
      </c>
      <c r="G45" s="2">
        <v>38601183.425329</v>
      </c>
      <c r="H45" s="2">
        <v>7887382.8959656</v>
      </c>
      <c r="I45" s="2">
        <v>-0.012163144878229</v>
      </c>
      <c r="J45" s="2">
        <v>-0.010744657016678</v>
      </c>
      <c r="K45" s="2">
        <v>0.023731515266411</v>
      </c>
      <c r="L45" s="2">
        <v>-0.17221580462371</v>
      </c>
      <c r="M45" s="2">
        <v>-0.17095910602351</v>
      </c>
      <c r="N45" s="2">
        <v>357.26538028927</v>
      </c>
      <c r="O45" s="2">
        <v>399.762691119</v>
      </c>
    </row>
    <row r="46" s="2" customFormat="1" spans="1:15">
      <c r="A46" s="2">
        <v>8.2066849390983</v>
      </c>
      <c r="B46" s="2">
        <v>0.0234261532113</v>
      </c>
      <c r="C46" s="2">
        <v>90.275626152192</v>
      </c>
      <c r="D46" s="2">
        <v>0.024973491753586</v>
      </c>
      <c r="E46" s="2">
        <v>6.7907546981651</v>
      </c>
      <c r="F46" s="2">
        <v>0.86413553561691</v>
      </c>
      <c r="G46" s="2">
        <v>39300317.470944</v>
      </c>
      <c r="H46" s="2">
        <v>8006692.8359187</v>
      </c>
      <c r="I46" s="2">
        <v>-0.012472398282138</v>
      </c>
      <c r="J46" s="2">
        <v>-0.011019010273982</v>
      </c>
      <c r="K46" s="2">
        <v>0.024317048476161</v>
      </c>
      <c r="L46" s="2">
        <v>-0.17621737993373</v>
      </c>
      <c r="M46" s="2">
        <v>-0.17490024218585</v>
      </c>
      <c r="N46" s="2">
        <v>358.13947761264</v>
      </c>
      <c r="O46" s="2">
        <v>400.7955733345</v>
      </c>
    </row>
    <row r="47" s="2" customFormat="1" spans="1:15">
      <c r="A47" s="2">
        <v>8.4066849390983</v>
      </c>
      <c r="B47" s="2">
        <v>0.0240311995348</v>
      </c>
      <c r="C47" s="2">
        <v>90.274712763463</v>
      </c>
      <c r="D47" s="2">
        <v>0.025583958053239</v>
      </c>
      <c r="E47" s="2">
        <v>6.7957086718499</v>
      </c>
      <c r="F47" s="2">
        <v>0.86097537905685</v>
      </c>
      <c r="G47" s="2">
        <v>40003472.447331</v>
      </c>
      <c r="H47" s="2">
        <v>8126642.6452172</v>
      </c>
      <c r="I47" s="2">
        <v>-0.012781411423662</v>
      </c>
      <c r="J47" s="2">
        <v>-0.011293264807406</v>
      </c>
      <c r="K47" s="2">
        <v>0.02490223344744</v>
      </c>
      <c r="L47" s="2">
        <v>-0.18021290496706</v>
      </c>
      <c r="M47" s="2">
        <v>-0.17883977324428</v>
      </c>
      <c r="N47" s="2">
        <v>359.00968300447</v>
      </c>
      <c r="O47" s="2">
        <v>401.82374184895</v>
      </c>
    </row>
    <row r="48" s="2" customFormat="1" spans="1:15">
      <c r="A48" s="2">
        <v>8.6066849390983</v>
      </c>
      <c r="B48" s="2">
        <v>0.024636202970525</v>
      </c>
      <c r="C48" s="2">
        <v>90.273802085507</v>
      </c>
      <c r="D48" s="2">
        <v>0.026194377273465</v>
      </c>
      <c r="E48" s="2">
        <v>6.8006686157828</v>
      </c>
      <c r="F48" s="2">
        <v>0.85782824524787</v>
      </c>
      <c r="G48" s="2">
        <v>40710609.807166</v>
      </c>
      <c r="H48" s="2">
        <v>8247225.5981165</v>
      </c>
      <c r="I48" s="2">
        <v>-0.013090186773979</v>
      </c>
      <c r="J48" s="2">
        <v>-0.011567419867285</v>
      </c>
      <c r="K48" s="2">
        <v>0.02548707057284</v>
      </c>
      <c r="L48" s="2">
        <v>-0.1842146527411</v>
      </c>
      <c r="M48" s="2">
        <v>-0.18278343714902</v>
      </c>
      <c r="N48" s="2">
        <v>359.87543155047</v>
      </c>
      <c r="O48" s="2">
        <v>402.84654742411</v>
      </c>
    </row>
    <row r="49" s="2" customFormat="1" spans="1:15">
      <c r="A49" s="2">
        <v>8.8066849390982</v>
      </c>
      <c r="B49" s="2">
        <v>0.025241156018145</v>
      </c>
      <c r="C49" s="2">
        <v>90.272893885185</v>
      </c>
      <c r="D49" s="2">
        <v>0.026804751225963</v>
      </c>
      <c r="E49" s="2">
        <v>6.8056348239661</v>
      </c>
      <c r="F49" s="2">
        <v>0.85469452967969</v>
      </c>
      <c r="G49" s="2">
        <v>41421680.710153</v>
      </c>
      <c r="H49" s="2">
        <v>8368433.2227216</v>
      </c>
      <c r="I49" s="2">
        <v>-0.013398723641625</v>
      </c>
      <c r="J49" s="2">
        <v>-0.011841474544803</v>
      </c>
      <c r="K49" s="2">
        <v>0.026071560265673</v>
      </c>
      <c r="L49" s="2">
        <v>-0.18822055221748</v>
      </c>
      <c r="M49" s="2">
        <v>-0.18673208423828</v>
      </c>
      <c r="N49" s="2">
        <v>360.73771340326</v>
      </c>
      <c r="O49" s="2">
        <v>403.86506894013</v>
      </c>
    </row>
    <row r="50" s="2" customFormat="1" spans="1:15">
      <c r="A50" s="2">
        <v>9.0066849390982</v>
      </c>
      <c r="B50" s="2">
        <v>0.025846073016901</v>
      </c>
      <c r="C50" s="2">
        <v>90.271988165175</v>
      </c>
      <c r="D50" s="2">
        <v>0.027415083723048</v>
      </c>
      <c r="E50" s="2">
        <v>6.8106048349259</v>
      </c>
      <c r="F50" s="2">
        <v>0.85157416661805</v>
      </c>
      <c r="G50" s="2">
        <v>42136650.392776</v>
      </c>
      <c r="H50" s="2">
        <v>8490259.4644114</v>
      </c>
      <c r="I50" s="2">
        <v>-0.013707026466037</v>
      </c>
      <c r="J50" s="2">
        <v>-0.012115424122184</v>
      </c>
      <c r="K50" s="2">
        <v>0.026655702924626</v>
      </c>
      <c r="L50" s="2">
        <v>-0.19222230368633</v>
      </c>
      <c r="M50" s="2">
        <v>-0.1906756791252</v>
      </c>
      <c r="N50" s="2">
        <v>361.59659354228</v>
      </c>
      <c r="O50" s="2">
        <v>404.87952661642</v>
      </c>
    </row>
    <row r="51" s="2" customFormat="1" spans="1:15">
      <c r="A51" s="2">
        <v>9.2066849390982</v>
      </c>
      <c r="B51" s="2">
        <v>0.026450960588548</v>
      </c>
      <c r="C51" s="2">
        <v>90.271084314565</v>
      </c>
      <c r="D51" s="2">
        <v>0.028025378863674</v>
      </c>
      <c r="E51" s="2">
        <v>6.8155786732351</v>
      </c>
      <c r="F51" s="2">
        <v>0.84846653050576</v>
      </c>
      <c r="G51" s="2">
        <v>42855485.301993</v>
      </c>
      <c r="H51" s="2">
        <v>8612698.4661517</v>
      </c>
      <c r="I51" s="2">
        <v>-0.01401509894107</v>
      </c>
      <c r="J51" s="2">
        <v>-0.012389269236807</v>
      </c>
      <c r="K51" s="2">
        <v>0.02723949895255</v>
      </c>
      <c r="L51" s="2">
        <v>-0.19623725104853</v>
      </c>
      <c r="M51" s="2">
        <v>-0.19462395445363</v>
      </c>
      <c r="N51" s="2">
        <v>362.45047070483</v>
      </c>
      <c r="O51" s="2">
        <v>405.88827256354</v>
      </c>
    </row>
    <row r="52" s="2" customFormat="1" spans="1:15">
      <c r="A52" s="2">
        <v>9.4066849390982</v>
      </c>
      <c r="B52" s="2">
        <v>0.027055814790133</v>
      </c>
      <c r="C52" s="2">
        <v>90.270182266419</v>
      </c>
      <c r="D52" s="2">
        <v>0.028635638483995</v>
      </c>
      <c r="E52" s="2">
        <v>6.8205561388497</v>
      </c>
      <c r="F52" s="2">
        <v>0.84537149740084</v>
      </c>
      <c r="G52" s="2">
        <v>43578138.460391</v>
      </c>
      <c r="H52" s="2">
        <v>8735742.096639</v>
      </c>
      <c r="I52" s="2">
        <v>-0.014322941251171</v>
      </c>
      <c r="J52" s="2">
        <v>-0.012663007103925</v>
      </c>
      <c r="K52" s="2">
        <v>0.027822948765487</v>
      </c>
      <c r="L52" s="2">
        <v>-0.20024910900062</v>
      </c>
      <c r="M52" s="2">
        <v>-0.19857650131864</v>
      </c>
      <c r="N52" s="2">
        <v>363.30065281524</v>
      </c>
      <c r="O52" s="2">
        <v>406.89270333195</v>
      </c>
    </row>
    <row r="53" s="2" customFormat="1" spans="1:15">
      <c r="A53" s="2">
        <v>9.6066849390982</v>
      </c>
      <c r="B53" s="2">
        <v>0.027660637357696</v>
      </c>
      <c r="C53" s="2">
        <v>90.269281756534</v>
      </c>
      <c r="D53" s="2">
        <v>0.029245864600359</v>
      </c>
      <c r="E53" s="2">
        <v>6.8255367690844</v>
      </c>
      <c r="F53" s="2">
        <v>0.84228919186584</v>
      </c>
      <c r="G53" s="2">
        <v>44304569.066886</v>
      </c>
      <c r="H53" s="2">
        <v>8859383.2836547</v>
      </c>
      <c r="I53" s="2">
        <v>-0.014630554566351</v>
      </c>
      <c r="J53" s="2">
        <v>-0.01293663624528</v>
      </c>
      <c r="K53" s="2">
        <v>0.028406052754069</v>
      </c>
      <c r="L53" s="2">
        <v>-0.20426682310426</v>
      </c>
      <c r="M53" s="2">
        <v>-0.20253338190955</v>
      </c>
      <c r="N53" s="2">
        <v>364.14745885944</v>
      </c>
      <c r="O53" s="2">
        <v>407.89327716668</v>
      </c>
    </row>
    <row r="54" s="2" customFormat="1" spans="1:15">
      <c r="A54" s="2">
        <v>9.8066849390982</v>
      </c>
      <c r="B54" s="2">
        <v>0.028265423745195</v>
      </c>
      <c r="C54" s="2">
        <v>90.268383177553</v>
      </c>
      <c r="D54" s="2">
        <v>0.029856058679535</v>
      </c>
      <c r="E54" s="2">
        <v>6.8305193077784</v>
      </c>
      <c r="F54" s="2">
        <v>0.83921922084635</v>
      </c>
      <c r="G54" s="2">
        <v>45034730.106367</v>
      </c>
      <c r="H54" s="2">
        <v>8983613.9108375</v>
      </c>
      <c r="I54" s="2">
        <v>-0.014937938470674</v>
      </c>
      <c r="J54" s="2">
        <v>-0.013210154317993</v>
      </c>
      <c r="K54" s="2">
        <v>0.028988811346206</v>
      </c>
      <c r="L54" s="2">
        <v>-0.20829144454747</v>
      </c>
      <c r="M54" s="2">
        <v>-0.20649537461266</v>
      </c>
      <c r="N54" s="2">
        <v>364.99228107889</v>
      </c>
      <c r="O54" s="2">
        <v>408.89140477923</v>
      </c>
    </row>
    <row r="55" s="2" customFormat="1" spans="1:15">
      <c r="A55" s="2">
        <v>10.006684939098</v>
      </c>
      <c r="B55" s="2">
        <v>0.028870189767793</v>
      </c>
      <c r="C55" s="2">
        <v>90.267485749591</v>
      </c>
      <c r="D55" s="2">
        <v>0.030466226608511</v>
      </c>
      <c r="E55" s="2">
        <v>6.835504290551</v>
      </c>
      <c r="F55" s="2">
        <v>0.83616107288847</v>
      </c>
      <c r="G55" s="2">
        <v>45768600.379072</v>
      </c>
      <c r="H55" s="2">
        <v>9108430.2342125</v>
      </c>
      <c r="I55" s="2">
        <v>-0.015245099661102</v>
      </c>
      <c r="J55" s="2">
        <v>-0.013483562380713</v>
      </c>
      <c r="K55" s="2">
        <v>0.02957122494499</v>
      </c>
      <c r="L55" s="2">
        <v>-0.21232411630062</v>
      </c>
      <c r="M55" s="2">
        <v>-0.21045927851647</v>
      </c>
      <c r="N55" s="2">
        <v>365.83194724167</v>
      </c>
      <c r="O55" s="2">
        <v>409.88383713109</v>
      </c>
    </row>
    <row r="56" s="2" customFormat="1" spans="1:15">
      <c r="A56" s="2">
        <v>10.206684939098</v>
      </c>
      <c r="B56" s="2">
        <v>0.029474931484444</v>
      </c>
      <c r="C56" s="2">
        <v>90.266588953022</v>
      </c>
      <c r="D56" s="2">
        <v>0.031076368738105</v>
      </c>
      <c r="E56" s="2">
        <v>6.8404914916287</v>
      </c>
      <c r="F56" s="2">
        <v>0.83311527090315</v>
      </c>
      <c r="G56" s="2">
        <v>46506134.552587</v>
      </c>
      <c r="H56" s="2">
        <v>9233824.453206</v>
      </c>
      <c r="I56" s="2">
        <v>-0.015552038847821</v>
      </c>
      <c r="J56" s="2">
        <v>-0.013756855623507</v>
      </c>
      <c r="K56" s="2">
        <v>0.030153293938205</v>
      </c>
      <c r="L56" s="2">
        <v>-0.21635932777241</v>
      </c>
      <c r="M56" s="2">
        <v>-0.21443055620611</v>
      </c>
      <c r="N56" s="2">
        <v>366.66837145744</v>
      </c>
      <c r="O56" s="2">
        <v>410.87260005836</v>
      </c>
    </row>
    <row r="57" s="2" customFormat="1" spans="1:15">
      <c r="A57" s="2">
        <v>10.406684939098</v>
      </c>
      <c r="B57" s="2">
        <v>0.030079653318191</v>
      </c>
      <c r="C57" s="2">
        <v>90.265693107965</v>
      </c>
      <c r="D57" s="2">
        <v>0.031686488112259</v>
      </c>
      <c r="E57" s="2">
        <v>6.8454803991123</v>
      </c>
      <c r="F57" s="2">
        <v>0.83008171410835</v>
      </c>
      <c r="G57" s="2">
        <v>47247298.908501</v>
      </c>
      <c r="H57" s="2">
        <v>9359790.7234465</v>
      </c>
      <c r="I57" s="2">
        <v>-0.015858757705417</v>
      </c>
      <c r="J57" s="2">
        <v>-0.014030034166212</v>
      </c>
      <c r="K57" s="2">
        <v>0.030735018730717</v>
      </c>
      <c r="L57" s="2">
        <v>-0.22039726407024</v>
      </c>
      <c r="M57" s="2">
        <v>-0.21839266408938</v>
      </c>
      <c r="N57" s="2">
        <v>367.50094613616</v>
      </c>
      <c r="O57" s="2">
        <v>411.85704803375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6"/>
  <sheetViews>
    <sheetView workbookViewId="0">
      <selection activeCell="A1" sqref="A1:O90"/>
    </sheetView>
  </sheetViews>
  <sheetFormatPr defaultColWidth="8.81481481481481" defaultRowHeight="15"/>
  <cols>
    <col min="1" max="4" width="12.4518518518519"/>
    <col min="5" max="7" width="13.6296296296296"/>
    <col min="8" max="8" width="12.4518518518519"/>
    <col min="9" max="13" width="13.6296296296296"/>
    <col min="14" max="15" width="12.4518518518519"/>
  </cols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2">
        <v>0.0025830812468784</v>
      </c>
      <c r="B3" s="3">
        <v>1.2667300649071e-23</v>
      </c>
      <c r="C3" s="2">
        <v>90.287237282915</v>
      </c>
      <c r="D3" s="3">
        <v>7.0300003049431e-6</v>
      </c>
      <c r="E3" s="2">
        <v>6.6107834660121</v>
      </c>
      <c r="F3" s="2">
        <v>0.9920407297558</v>
      </c>
      <c r="G3" s="2">
        <v>16000000</v>
      </c>
      <c r="H3" s="2">
        <v>4000000</v>
      </c>
      <c r="I3" s="3">
        <v>-2.1231755236993e-6</v>
      </c>
      <c r="J3" s="3">
        <v>-1.8941769991865e-6</v>
      </c>
      <c r="K3" s="3">
        <v>7.7492130157444e-6</v>
      </c>
      <c r="L3" s="3">
        <v>-1.5877966074508e-7</v>
      </c>
      <c r="M3" s="3">
        <v>-1.6266317057994e-7</v>
      </c>
      <c r="N3" s="2">
        <v>1.5981953552448</v>
      </c>
      <c r="O3" s="2">
        <v>1.7188916450518</v>
      </c>
    </row>
    <row r="4" spans="1:15">
      <c r="A4" s="2">
        <v>0.018444056862426</v>
      </c>
      <c r="B4" s="3">
        <v>7.1696723668771e-21</v>
      </c>
      <c r="C4" s="2">
        <v>90.287544521167</v>
      </c>
      <c r="D4" s="3">
        <v>5.0198279151077e-5</v>
      </c>
      <c r="E4" s="2">
        <v>6.6107970456855</v>
      </c>
      <c r="F4" s="2">
        <v>0.9920989301854</v>
      </c>
      <c r="G4" s="2">
        <v>16000000</v>
      </c>
      <c r="H4" s="2">
        <v>4000000</v>
      </c>
      <c r="I4" s="3">
        <v>-1.5162449359323e-5</v>
      </c>
      <c r="J4" s="3">
        <v>-1.3527113278029e-5</v>
      </c>
      <c r="K4" s="3">
        <v>5.5330604150342e-5</v>
      </c>
      <c r="L4" s="3">
        <v>-8.0912248143547e-6</v>
      </c>
      <c r="M4" s="3">
        <v>-8.2898134576872e-6</v>
      </c>
      <c r="N4" s="2">
        <v>11.414705110833</v>
      </c>
      <c r="O4" s="2">
        <v>12.276442778777</v>
      </c>
    </row>
    <row r="5" spans="1:15">
      <c r="A5" s="2">
        <v>0.1</v>
      </c>
      <c r="B5" s="3">
        <v>8.1604125547644e-15</v>
      </c>
      <c r="C5" s="2">
        <v>90.28916811896</v>
      </c>
      <c r="D5" s="2">
        <v>0.00027221765174117</v>
      </c>
      <c r="E5" s="2">
        <v>6.6108660206977</v>
      </c>
      <c r="F5" s="2">
        <v>0.99239795567886</v>
      </c>
      <c r="G5" s="2">
        <v>16000000.000005</v>
      </c>
      <c r="H5" s="2">
        <v>4000000.0000009</v>
      </c>
      <c r="I5" s="3">
        <v>-8.2280238578344e-5</v>
      </c>
      <c r="J5" s="3">
        <v>-7.3407004036695e-5</v>
      </c>
      <c r="K5" s="2">
        <v>0.00029995396073487</v>
      </c>
      <c r="L5" s="2">
        <v>-0.00023625469295951</v>
      </c>
      <c r="M5" s="2">
        <v>-0.00024227574088614</v>
      </c>
      <c r="N5" s="2">
        <v>61.983911854816</v>
      </c>
      <c r="O5" s="2">
        <v>66.654027010124</v>
      </c>
    </row>
    <row r="6" spans="1:15">
      <c r="A6" s="2">
        <v>0.20668493909835</v>
      </c>
      <c r="B6" s="3">
        <v>5.1276232579973e-11</v>
      </c>
      <c r="C6" s="2">
        <v>90.291412506855</v>
      </c>
      <c r="D6" s="2">
        <v>0.00056276525830087</v>
      </c>
      <c r="E6" s="2">
        <v>6.6109543879638</v>
      </c>
      <c r="F6" s="2">
        <v>0.99278854062865</v>
      </c>
      <c r="G6" s="2">
        <v>16000000.031642</v>
      </c>
      <c r="H6" s="2">
        <v>4000000.0054984</v>
      </c>
      <c r="I6" s="2">
        <v>-0.00017023405057707</v>
      </c>
      <c r="J6" s="2">
        <v>-0.00015187833434746</v>
      </c>
      <c r="K6" s="2">
        <v>0.00061985818849866</v>
      </c>
      <c r="L6" s="2">
        <v>-0.0010127936333546</v>
      </c>
      <c r="M6" s="2">
        <v>-0.0010383535667933</v>
      </c>
      <c r="N6" s="2">
        <v>128.34451857236</v>
      </c>
      <c r="O6" s="2">
        <v>137.99138642211</v>
      </c>
    </row>
    <row r="7" spans="1:15">
      <c r="A7" s="2">
        <v>0.40668493909835</v>
      </c>
      <c r="B7" s="3">
        <v>4.9395516322199e-6</v>
      </c>
      <c r="C7" s="2">
        <v>90.296015402102</v>
      </c>
      <c r="D7" s="2">
        <v>0.0011085472383997</v>
      </c>
      <c r="E7" s="2">
        <v>6.6111804188206</v>
      </c>
      <c r="F7" s="2">
        <v>0.99349484983548</v>
      </c>
      <c r="G7" s="2">
        <v>16002918.718531</v>
      </c>
      <c r="H7" s="2">
        <v>4000507.1814529</v>
      </c>
      <c r="I7" s="2">
        <v>-0.00033692979436263</v>
      </c>
      <c r="J7" s="2">
        <v>-0.00030043939020746</v>
      </c>
      <c r="K7" s="2">
        <v>0.001219293821996</v>
      </c>
      <c r="L7" s="2">
        <v>-0.0053494321528231</v>
      </c>
      <c r="M7" s="2">
        <v>-0.0052838508667486</v>
      </c>
      <c r="N7" s="2">
        <v>252.5494970694</v>
      </c>
      <c r="O7" s="2">
        <v>271.50660580349</v>
      </c>
    </row>
    <row r="8" spans="1:15">
      <c r="A8" s="2">
        <v>0.60668493909835</v>
      </c>
      <c r="B8" s="2">
        <v>0.00029464907210339</v>
      </c>
      <c r="C8" s="2">
        <v>90.298987132989</v>
      </c>
      <c r="D8" s="2">
        <v>0.0016861229399148</v>
      </c>
      <c r="E8" s="2">
        <v>6.6148126137562</v>
      </c>
      <c r="F8" s="2">
        <v>0.99290091780195</v>
      </c>
      <c r="G8" s="2">
        <v>16183051.409844</v>
      </c>
      <c r="H8" s="2">
        <v>4031796.992244</v>
      </c>
      <c r="I8" s="2">
        <v>-0.00056769104485408</v>
      </c>
      <c r="J8" s="2">
        <v>-0.00050534627374371</v>
      </c>
      <c r="K8" s="2">
        <v>0.0018183614514997</v>
      </c>
      <c r="L8" s="2">
        <v>-0.012755980682476</v>
      </c>
      <c r="M8" s="2">
        <v>-0.012341539504887</v>
      </c>
      <c r="N8" s="2">
        <v>324.98933344314</v>
      </c>
      <c r="O8" s="2">
        <v>352.04565343418</v>
      </c>
    </row>
    <row r="9" spans="1:15">
      <c r="A9" s="2">
        <v>0.80668493909835</v>
      </c>
      <c r="B9" s="2">
        <v>0.00087629831457348</v>
      </c>
      <c r="C9" s="2">
        <v>90.302058191461</v>
      </c>
      <c r="D9" s="2">
        <v>0.0022893294999394</v>
      </c>
      <c r="E9" s="2">
        <v>6.6198294965429</v>
      </c>
      <c r="F9" s="2">
        <v>0.99097082608925</v>
      </c>
      <c r="G9" s="2">
        <v>16573820.508487</v>
      </c>
      <c r="H9" s="2">
        <v>4099633.3468679</v>
      </c>
      <c r="I9" s="2">
        <v>-0.00086029046953165</v>
      </c>
      <c r="J9" s="2">
        <v>-0.00077008538263304</v>
      </c>
      <c r="K9" s="2">
        <v>0.0024170644841092</v>
      </c>
      <c r="L9" s="2">
        <v>-0.013699543351087</v>
      </c>
      <c r="M9" s="2">
        <v>-0.013472121502089</v>
      </c>
      <c r="N9" s="2">
        <v>343.66941662814</v>
      </c>
      <c r="O9" s="2">
        <v>375.95559271914</v>
      </c>
    </row>
    <row r="10" spans="1:15">
      <c r="A10" s="2">
        <v>1.0066849390983</v>
      </c>
      <c r="B10" s="2">
        <v>0.0014865440004843</v>
      </c>
      <c r="C10" s="2">
        <v>90.305149508481</v>
      </c>
      <c r="D10" s="2">
        <v>0.0028998643589336</v>
      </c>
      <c r="E10" s="2">
        <v>6.6239068690689</v>
      </c>
      <c r="F10" s="2">
        <v>0.98800196513666</v>
      </c>
      <c r="G10" s="2">
        <v>17023350.784391</v>
      </c>
      <c r="H10" s="2">
        <v>4177619.3327154</v>
      </c>
      <c r="I10" s="2">
        <v>-0.0011646398256198</v>
      </c>
      <c r="J10" s="2">
        <v>-0.0010453259875439</v>
      </c>
      <c r="K10" s="2">
        <v>0.003015402186944</v>
      </c>
      <c r="L10" s="2">
        <v>-0.02083354129923</v>
      </c>
      <c r="M10" s="2">
        <v>-0.020892221889064</v>
      </c>
      <c r="N10" s="2">
        <v>352.31255511105</v>
      </c>
      <c r="O10" s="2">
        <v>387.9706878903</v>
      </c>
    </row>
    <row r="11" spans="1:15">
      <c r="A11" s="2">
        <v>1.2066849390983</v>
      </c>
      <c r="B11" s="2">
        <v>0.0020943070820355</v>
      </c>
      <c r="C11" s="2">
        <v>90.306830652089</v>
      </c>
      <c r="D11" s="2">
        <v>0.0035141551175423</v>
      </c>
      <c r="E11" s="2">
        <v>6.6278926938597</v>
      </c>
      <c r="F11" s="2">
        <v>0.98435685863572</v>
      </c>
      <c r="G11" s="2">
        <v>17503240.72252</v>
      </c>
      <c r="H11" s="2">
        <v>4260823.3082426</v>
      </c>
      <c r="I11" s="2">
        <v>-0.0014741215866483</v>
      </c>
      <c r="J11" s="2">
        <v>-0.0013228470895682</v>
      </c>
      <c r="K11" s="2">
        <v>0.0036133749380407</v>
      </c>
      <c r="L11" s="2">
        <v>-0.027941467697365</v>
      </c>
      <c r="M11" s="2">
        <v>-0.028331638379411</v>
      </c>
      <c r="N11" s="2">
        <v>357.45909111505</v>
      </c>
      <c r="O11" s="2">
        <v>395.16197288133</v>
      </c>
    </row>
    <row r="12" spans="1:15">
      <c r="A12" s="2">
        <v>1.4066849390983</v>
      </c>
      <c r="B12" s="2">
        <v>0.0027001819795953</v>
      </c>
      <c r="C12" s="2">
        <v>90.307436532471</v>
      </c>
      <c r="D12" s="2">
        <v>0.0041298254289026</v>
      </c>
      <c r="E12" s="2">
        <v>6.6319373173646</v>
      </c>
      <c r="F12" s="2">
        <v>0.98060658781954</v>
      </c>
      <c r="G12" s="2">
        <v>18003220.551867</v>
      </c>
      <c r="H12" s="2">
        <v>4347461.712278</v>
      </c>
      <c r="I12" s="2">
        <v>-0.0017865868104636</v>
      </c>
      <c r="J12" s="2">
        <v>-0.001600675886655</v>
      </c>
      <c r="K12" s="2">
        <v>0.0042109840394979</v>
      </c>
      <c r="L12" s="2">
        <v>-0.033515854883966</v>
      </c>
      <c r="M12" s="2">
        <v>-0.034040027177334</v>
      </c>
      <c r="N12" s="2">
        <v>360.92095002168</v>
      </c>
      <c r="O12" s="2">
        <v>399.89276246905</v>
      </c>
    </row>
    <row r="13" spans="1:15">
      <c r="A13" s="2">
        <v>1.6066849390983</v>
      </c>
      <c r="B13" s="2">
        <v>0.0033054332491456</v>
      </c>
      <c r="C13" s="2">
        <v>90.307388708251</v>
      </c>
      <c r="D13" s="2">
        <v>0.004745735978207</v>
      </c>
      <c r="E13" s="2">
        <v>6.6360551315011</v>
      </c>
      <c r="F13" s="2">
        <v>0.97684099618434</v>
      </c>
      <c r="G13" s="2">
        <v>18517293.408697</v>
      </c>
      <c r="H13" s="2">
        <v>4436492.4143289</v>
      </c>
      <c r="I13" s="2">
        <v>-0.0021008402513391</v>
      </c>
      <c r="J13" s="2">
        <v>-0.0018781818721917</v>
      </c>
      <c r="K13" s="2">
        <v>0.0048082304253762</v>
      </c>
      <c r="L13" s="2">
        <v>-0.039128201572126</v>
      </c>
      <c r="M13" s="2">
        <v>-0.039803561020508</v>
      </c>
      <c r="N13" s="2">
        <v>363.52564870478</v>
      </c>
      <c r="O13" s="2">
        <v>403.3564999612</v>
      </c>
    </row>
    <row r="14" spans="1:15">
      <c r="A14" s="2">
        <v>1.8066849390983</v>
      </c>
      <c r="B14" s="2">
        <v>0.0039104917982433</v>
      </c>
      <c r="C14" s="2">
        <v>90.306945592133</v>
      </c>
      <c r="D14" s="2">
        <v>0.0053613791432103</v>
      </c>
      <c r="E14" s="2">
        <v>6.6402284655952</v>
      </c>
      <c r="F14" s="2">
        <v>0.97308285438997</v>
      </c>
      <c r="G14" s="2">
        <v>19042230.209017</v>
      </c>
      <c r="H14" s="2">
        <v>4527354.109773</v>
      </c>
      <c r="I14" s="2">
        <v>-0.002416131910938</v>
      </c>
      <c r="J14" s="2">
        <v>-0.0021552846401733</v>
      </c>
      <c r="K14" s="2">
        <v>0.0054051150658358</v>
      </c>
      <c r="L14" s="2">
        <v>-0.044943353832464</v>
      </c>
      <c r="M14" s="2">
        <v>-0.045664715031184</v>
      </c>
      <c r="N14" s="2">
        <v>365.65588766997</v>
      </c>
      <c r="O14" s="2">
        <v>406.12969985837</v>
      </c>
    </row>
    <row r="15" spans="1:15">
      <c r="A15" s="2">
        <v>2.0066849390983</v>
      </c>
      <c r="B15" s="2">
        <v>0.0045156380639418</v>
      </c>
      <c r="C15" s="2">
        <v>90.306268852069</v>
      </c>
      <c r="D15" s="2">
        <v>0.0059766480326528</v>
      </c>
      <c r="E15" s="2">
        <v>6.6444308315076</v>
      </c>
      <c r="F15" s="2">
        <v>0.96934931201764</v>
      </c>
      <c r="G15" s="2">
        <v>19576258.310854</v>
      </c>
      <c r="H15" s="2">
        <v>4619738.5909466</v>
      </c>
      <c r="I15" s="2">
        <v>-0.0027318582531204</v>
      </c>
      <c r="J15" s="2">
        <v>-0.0024321910383306</v>
      </c>
      <c r="K15" s="2">
        <v>0.0060016386200169</v>
      </c>
      <c r="L15" s="2">
        <v>-0.050690240484956</v>
      </c>
      <c r="M15" s="2">
        <v>-0.051473140730424</v>
      </c>
      <c r="N15" s="2">
        <v>367.49565407893</v>
      </c>
      <c r="O15" s="2">
        <v>408.48905287574</v>
      </c>
    </row>
    <row r="16" spans="1:15">
      <c r="A16" s="2">
        <v>2.2066849390983</v>
      </c>
      <c r="B16" s="2">
        <v>0.0051210168823105</v>
      </c>
      <c r="C16" s="2">
        <v>90.305456663551</v>
      </c>
      <c r="D16" s="2">
        <v>0.0065915869815862</v>
      </c>
      <c r="E16" s="2">
        <v>6.6486530631707</v>
      </c>
      <c r="F16" s="2">
        <v>0.96564537622149</v>
      </c>
      <c r="G16" s="2">
        <v>20118232.199947</v>
      </c>
      <c r="H16" s="2">
        <v>4713446.547102</v>
      </c>
      <c r="I16" s="2">
        <v>-0.0030476650426463</v>
      </c>
      <c r="J16" s="2">
        <v>-0.0027090343463952</v>
      </c>
      <c r="K16" s="2">
        <v>0.0065978015118486</v>
      </c>
      <c r="L16" s="2">
        <v>-0.0561695027237</v>
      </c>
      <c r="M16" s="2">
        <v>-0.057007851724996</v>
      </c>
      <c r="N16" s="2">
        <v>369.14853492815</v>
      </c>
      <c r="O16" s="2">
        <v>410.58296177604</v>
      </c>
    </row>
    <row r="17" spans="1:15">
      <c r="A17" s="2">
        <v>2.4066849390983</v>
      </c>
      <c r="B17" s="2">
        <v>0.0057266862091607</v>
      </c>
      <c r="C17" s="2">
        <v>90.304572533409</v>
      </c>
      <c r="D17" s="2">
        <v>0.0072062560886209</v>
      </c>
      <c r="E17" s="2">
        <v>6.6529001848727</v>
      </c>
      <c r="F17" s="2">
        <v>0.96197140764647</v>
      </c>
      <c r="G17" s="2">
        <v>20667337.261348</v>
      </c>
      <c r="H17" s="2">
        <v>4808336.079811</v>
      </c>
      <c r="I17" s="2">
        <v>-0.0033633767992373</v>
      </c>
      <c r="J17" s="2">
        <v>-0.0029858612252102</v>
      </c>
      <c r="K17" s="2">
        <v>0.0071936041599338</v>
      </c>
      <c r="L17" s="2">
        <v>-0.061693511734969</v>
      </c>
      <c r="M17" s="2">
        <v>-0.062426657047015</v>
      </c>
      <c r="N17" s="2">
        <v>370.67712103943</v>
      </c>
      <c r="O17" s="2">
        <v>412.50134827329</v>
      </c>
    </row>
    <row r="18" spans="1:15">
      <c r="A18" s="2">
        <v>2.6066849390983</v>
      </c>
      <c r="B18" s="2">
        <v>0.0063326570221724</v>
      </c>
      <c r="C18" s="2">
        <v>90.303637950802</v>
      </c>
      <c r="D18" s="2">
        <v>0.0078207004396059</v>
      </c>
      <c r="E18" s="2">
        <v>6.6571755137046</v>
      </c>
      <c r="F18" s="2">
        <v>0.95832515862439</v>
      </c>
      <c r="G18" s="2">
        <v>21222982.48804</v>
      </c>
      <c r="H18" s="2">
        <v>4904304.1211358</v>
      </c>
      <c r="I18" s="2">
        <v>-0.0036789042905682</v>
      </c>
      <c r="J18" s="2">
        <v>-0.0032626785123384</v>
      </c>
      <c r="K18" s="2">
        <v>0.0077890469965068</v>
      </c>
      <c r="L18" s="2">
        <v>-0.066980649545645</v>
      </c>
      <c r="M18" s="2">
        <v>-0.067699467949798</v>
      </c>
      <c r="N18" s="2">
        <v>372.12148438331</v>
      </c>
      <c r="O18" s="2">
        <v>414.30320134783</v>
      </c>
    </row>
    <row r="19" spans="1:15">
      <c r="A19" s="2">
        <v>2.8066849390983</v>
      </c>
      <c r="B19" s="2">
        <v>0.0069388697790859</v>
      </c>
      <c r="C19" s="2">
        <v>90.302675650657</v>
      </c>
      <c r="D19" s="2">
        <v>0.0084349436083346</v>
      </c>
      <c r="E19" s="2">
        <v>6.661484222975</v>
      </c>
      <c r="F19" s="2">
        <v>0.95470563459584</v>
      </c>
      <c r="G19" s="2">
        <v>21784755.916566</v>
      </c>
      <c r="H19" s="2">
        <v>5001278.7274741</v>
      </c>
      <c r="I19" s="2">
        <v>-0.0039942192349027</v>
      </c>
      <c r="J19" s="2">
        <v>-0.0035394695433211</v>
      </c>
      <c r="K19" s="2">
        <v>0.0083841304752238</v>
      </c>
      <c r="L19" s="2">
        <v>-0.072213458651986</v>
      </c>
      <c r="M19" s="2">
        <v>-0.072900532583643</v>
      </c>
      <c r="N19" s="2">
        <v>373.50505384393</v>
      </c>
      <c r="O19" s="2">
        <v>416.02205013677</v>
      </c>
    </row>
    <row r="20" spans="1:15">
      <c r="A20" s="2">
        <v>3.0066849390983</v>
      </c>
      <c r="B20" s="2">
        <v>0.0075452429036915</v>
      </c>
      <c r="C20" s="2">
        <v>90.301702039755</v>
      </c>
      <c r="D20" s="2">
        <v>0.0090489901871718</v>
      </c>
      <c r="E20" s="2">
        <v>6.6658290101213</v>
      </c>
      <c r="F20" s="2">
        <v>0.9511119670892</v>
      </c>
      <c r="G20" s="2">
        <v>22352384.435275</v>
      </c>
      <c r="H20" s="2">
        <v>5099212.134286</v>
      </c>
      <c r="I20" s="2">
        <v>-0.0043093297212643</v>
      </c>
      <c r="J20" s="2">
        <v>-0.0038162008231865</v>
      </c>
      <c r="K20" s="2">
        <v>0.0089788551154392</v>
      </c>
      <c r="L20" s="2">
        <v>-0.077434050979026</v>
      </c>
      <c r="M20" s="2">
        <v>-0.078068526463408</v>
      </c>
      <c r="N20" s="2">
        <v>374.84133134206</v>
      </c>
      <c r="O20" s="2">
        <v>417.6756597918</v>
      </c>
    </row>
    <row r="21" spans="1:15">
      <c r="A21" s="2">
        <v>3.2066849390983</v>
      </c>
      <c r="B21" s="2">
        <v>0.0081516967431181</v>
      </c>
      <c r="C21" s="2">
        <v>90.300711058394</v>
      </c>
      <c r="D21" s="2">
        <v>0.0096628359637642</v>
      </c>
      <c r="E21" s="2">
        <v>6.6702090987306</v>
      </c>
      <c r="F21" s="2">
        <v>0.94754012087007</v>
      </c>
      <c r="G21" s="2">
        <v>22925669.344343</v>
      </c>
      <c r="H21" s="2">
        <v>5198069.565623</v>
      </c>
      <c r="I21" s="2">
        <v>-0.0046242656182833</v>
      </c>
      <c r="J21" s="2">
        <v>-0.0040928250741058</v>
      </c>
      <c r="K21" s="2">
        <v>0.0095732214390983</v>
      </c>
      <c r="L21" s="2">
        <v>-0.08262387323692</v>
      </c>
      <c r="M21" s="2">
        <v>-0.083193104927264</v>
      </c>
      <c r="N21" s="2">
        <v>376.13955169715</v>
      </c>
      <c r="O21" s="2">
        <v>419.2754882457</v>
      </c>
    </row>
    <row r="22" spans="1:15">
      <c r="A22" s="2">
        <v>3.4066849390983</v>
      </c>
      <c r="B22" s="2">
        <v>0.008758170580961</v>
      </c>
      <c r="C22" s="2">
        <v>90.299709374011</v>
      </c>
      <c r="D22" s="2">
        <v>0.010276477552892</v>
      </c>
      <c r="E22" s="2">
        <v>6.674623403733</v>
      </c>
      <c r="F22" s="2">
        <v>0.94398794258052</v>
      </c>
      <c r="G22" s="2">
        <v>23504462.560906</v>
      </c>
      <c r="H22" s="2">
        <v>5297825.0667648</v>
      </c>
      <c r="I22" s="2">
        <v>-0.0049390587303808</v>
      </c>
      <c r="J22" s="2">
        <v>-0.0043693013315647</v>
      </c>
      <c r="K22" s="2">
        <v>0.010167229946892</v>
      </c>
      <c r="L22" s="2">
        <v>-0.087717684688774</v>
      </c>
      <c r="M22" s="2">
        <v>-0.088215857479749</v>
      </c>
      <c r="N22" s="2">
        <v>377.40476544913</v>
      </c>
      <c r="O22" s="2">
        <v>420.82797032251</v>
      </c>
    </row>
    <row r="23" spans="1:15">
      <c r="A23" s="2">
        <v>3.6066849390983</v>
      </c>
      <c r="B23" s="2">
        <v>0.0093646225238339</v>
      </c>
      <c r="C23" s="2">
        <v>90.298698871309</v>
      </c>
      <c r="D23" s="2">
        <v>0.01088991837358</v>
      </c>
      <c r="E23" s="2">
        <v>6.6790696388104</v>
      </c>
      <c r="F23" s="2">
        <v>0.94045401896684</v>
      </c>
      <c r="G23" s="2">
        <v>24088621.250184</v>
      </c>
      <c r="H23" s="2">
        <v>5398453.6206544</v>
      </c>
      <c r="I23" s="2">
        <v>-0.0052537184811418</v>
      </c>
      <c r="J23" s="2">
        <v>-0.0046456101419439</v>
      </c>
      <c r="K23" s="2">
        <v>0.010760881093232</v>
      </c>
      <c r="L23" s="2">
        <v>-0.092836063144028</v>
      </c>
      <c r="M23" s="2">
        <v>-0.093256849632101</v>
      </c>
      <c r="N23" s="2">
        <v>378.64262700132</v>
      </c>
      <c r="O23" s="2">
        <v>422.34138590259</v>
      </c>
    </row>
    <row r="24" spans="1:15">
      <c r="A24" s="2">
        <v>3.8066849390983</v>
      </c>
      <c r="B24" s="2">
        <v>0.0099710596200284</v>
      </c>
      <c r="C24" s="2">
        <v>90.297684327751</v>
      </c>
      <c r="D24" s="2">
        <v>0.011503178584165</v>
      </c>
      <c r="E24" s="2">
        <v>6.6835442844585</v>
      </c>
      <c r="F24" s="2">
        <v>0.93693967618962</v>
      </c>
      <c r="G24" s="2">
        <v>24678013.188745</v>
      </c>
      <c r="H24" s="2">
        <v>5499932.0497193</v>
      </c>
      <c r="I24" s="2">
        <v>-0.0055682334094511</v>
      </c>
      <c r="J24" s="2">
        <v>-0.0049217549177439</v>
      </c>
      <c r="K24" s="2">
        <v>0.011354175237399</v>
      </c>
      <c r="L24" s="2">
        <v>-0.097845658738262</v>
      </c>
      <c r="M24" s="2">
        <v>-0.098187302402511</v>
      </c>
      <c r="N24" s="2">
        <v>379.85706645025</v>
      </c>
      <c r="O24" s="2">
        <v>423.82270500977</v>
      </c>
    </row>
    <row r="25" spans="1:15">
      <c r="A25" s="2">
        <v>4.0066849390983</v>
      </c>
      <c r="B25" s="2">
        <v>0.010577484548132</v>
      </c>
      <c r="C25" s="2">
        <v>90.296667667134</v>
      </c>
      <c r="D25" s="2">
        <v>0.012116279177749</v>
      </c>
      <c r="E25" s="2">
        <v>6.6880445995206</v>
      </c>
      <c r="F25" s="2">
        <v>0.9334448553174</v>
      </c>
      <c r="G25" s="2">
        <v>25272512.406312</v>
      </c>
      <c r="H25" s="2">
        <v>5602238.2841058</v>
      </c>
      <c r="I25" s="2">
        <v>-0.0058825888814801</v>
      </c>
      <c r="J25" s="2">
        <v>-0.0051977429030416</v>
      </c>
      <c r="K25" s="2">
        <v>0.011947112698931</v>
      </c>
      <c r="L25" s="2">
        <v>-0.10285376095543</v>
      </c>
      <c r="M25" s="2">
        <v>-0.1031544304324</v>
      </c>
      <c r="N25" s="2">
        <v>381.05224222035</v>
      </c>
      <c r="O25" s="2">
        <v>425.27897262803</v>
      </c>
    </row>
    <row r="26" spans="1:15">
      <c r="A26" s="2">
        <v>4.2066849390983</v>
      </c>
      <c r="B26" s="2">
        <v>0.011183897041653</v>
      </c>
      <c r="C26" s="2">
        <v>90.29565022001</v>
      </c>
      <c r="D26" s="2">
        <v>0.012729236429117</v>
      </c>
      <c r="E26" s="2">
        <v>6.6925694863447</v>
      </c>
      <c r="F26" s="2">
        <v>0.92996851694544</v>
      </c>
      <c r="G26" s="2">
        <v>25872018.345184</v>
      </c>
      <c r="H26" s="2">
        <v>5705354.6846692</v>
      </c>
      <c r="I26" s="2">
        <v>-0.0061967755022906</v>
      </c>
      <c r="J26" s="2">
        <v>-0.0054735786571423</v>
      </c>
      <c r="K26" s="2">
        <v>0.012539693808087</v>
      </c>
      <c r="L26" s="2">
        <v>-0.10782309616993</v>
      </c>
      <c r="M26" s="2">
        <v>-0.10800403630743</v>
      </c>
      <c r="N26" s="2">
        <v>382.2305774193</v>
      </c>
      <c r="O26" s="2">
        <v>426.71362168434</v>
      </c>
    </row>
    <row r="27" spans="1:15">
      <c r="A27" s="2">
        <v>4.4066849390983</v>
      </c>
      <c r="B27" s="2">
        <v>0.011790283808865</v>
      </c>
      <c r="C27" s="2">
        <v>90.294633538844</v>
      </c>
      <c r="D27" s="2">
        <v>0.013342063469177</v>
      </c>
      <c r="E27" s="2">
        <v>6.6971184699404</v>
      </c>
      <c r="F27" s="2">
        <v>0.92651014089505</v>
      </c>
      <c r="G27" s="2">
        <v>26476439.295516</v>
      </c>
      <c r="H27" s="2">
        <v>5809265.1676367</v>
      </c>
      <c r="I27" s="2">
        <v>-0.0065107829624245</v>
      </c>
      <c r="J27" s="2">
        <v>-0.0057492696474406</v>
      </c>
      <c r="K27" s="2">
        <v>0.013131918877768</v>
      </c>
      <c r="L27" s="2">
        <v>-0.11276075004191</v>
      </c>
      <c r="M27" s="2">
        <v>-0.11286784207319</v>
      </c>
      <c r="N27" s="2">
        <v>383.39396660824</v>
      </c>
      <c r="O27" s="2">
        <v>428.12872250811</v>
      </c>
    </row>
    <row r="28" spans="1:15">
      <c r="A28" s="2">
        <v>4.6066849390983</v>
      </c>
      <c r="B28" s="2">
        <v>0.012396651025687</v>
      </c>
      <c r="C28" s="2">
        <v>90.29361702907</v>
      </c>
      <c r="D28" s="2">
        <v>0.013954768656274</v>
      </c>
      <c r="E28" s="2">
        <v>6.7016902183778</v>
      </c>
      <c r="F28" s="2">
        <v>0.92306855355586</v>
      </c>
      <c r="G28" s="2">
        <v>27085712.544056</v>
      </c>
      <c r="H28" s="2">
        <v>5913958.7022052</v>
      </c>
      <c r="I28" s="2">
        <v>-0.0068246094272607</v>
      </c>
      <c r="J28" s="2">
        <v>-0.006024817880099</v>
      </c>
      <c r="K28" s="2">
        <v>0.01372378826877</v>
      </c>
      <c r="L28" s="2">
        <v>-0.11770024362549</v>
      </c>
      <c r="M28" s="2">
        <v>-0.11773420413696</v>
      </c>
      <c r="N28" s="2">
        <v>384.54247236026</v>
      </c>
      <c r="O28" s="2">
        <v>429.52394620598</v>
      </c>
    </row>
    <row r="29" spans="1:15">
      <c r="A29" s="2">
        <v>4.8066849390983</v>
      </c>
      <c r="B29" s="2">
        <v>0.013002978091731</v>
      </c>
      <c r="C29" s="2">
        <v>90.292601163223</v>
      </c>
      <c r="D29" s="2">
        <v>0.014567356811673</v>
      </c>
      <c r="E29" s="2">
        <v>6.7062839562239</v>
      </c>
      <c r="F29" s="2">
        <v>0.91964302977907</v>
      </c>
      <c r="G29" s="2">
        <v>27699757.72865</v>
      </c>
      <c r="H29" s="2">
        <v>6019421.2143775</v>
      </c>
      <c r="I29" s="2">
        <v>-0.0071382476001573</v>
      </c>
      <c r="J29" s="2">
        <v>-0.0063002256828683</v>
      </c>
      <c r="K29" s="2">
        <v>0.014315302348096</v>
      </c>
      <c r="L29" s="2">
        <v>-0.12260553880559</v>
      </c>
      <c r="M29" s="2">
        <v>-0.12255409817439</v>
      </c>
      <c r="N29" s="2">
        <v>385.67859091141</v>
      </c>
      <c r="O29" s="2">
        <v>430.90170219817</v>
      </c>
    </row>
    <row r="30" spans="1:15">
      <c r="A30" s="2">
        <v>5.0066849390983</v>
      </c>
      <c r="B30" s="2">
        <v>0.013609251555689</v>
      </c>
      <c r="C30" s="2">
        <v>90.291585868608</v>
      </c>
      <c r="D30" s="2">
        <v>0.015179831355913</v>
      </c>
      <c r="E30" s="2">
        <v>6.7108997522064</v>
      </c>
      <c r="F30" s="2">
        <v>0.91623200810871</v>
      </c>
      <c r="G30" s="2">
        <v>28318508.562671</v>
      </c>
      <c r="H30" s="2">
        <v>6125641.0798092</v>
      </c>
      <c r="I30" s="2">
        <v>-0.0074516892721575</v>
      </c>
      <c r="J30" s="2">
        <v>-0.0065755006512935</v>
      </c>
      <c r="K30" s="2">
        <v>0.014906461497926</v>
      </c>
      <c r="L30" s="2">
        <v>-0.12750869086131</v>
      </c>
      <c r="M30" s="2">
        <v>-0.12737804495924</v>
      </c>
      <c r="N30" s="2">
        <v>386.80300341208</v>
      </c>
      <c r="O30" s="2">
        <v>432.26268128849</v>
      </c>
    </row>
    <row r="31" spans="1:15">
      <c r="A31" s="2">
        <v>5.2066849390983</v>
      </c>
      <c r="B31" s="2">
        <v>0.014215455539722</v>
      </c>
      <c r="C31" s="2">
        <v>90.29057247036</v>
      </c>
      <c r="D31" s="2">
        <v>0.015792193483327</v>
      </c>
      <c r="E31" s="2">
        <v>6.7155376759004</v>
      </c>
      <c r="F31" s="2">
        <v>0.91283488635425</v>
      </c>
      <c r="G31" s="2">
        <v>28941897.39822</v>
      </c>
      <c r="H31" s="2">
        <v>6232606.4722612</v>
      </c>
      <c r="I31" s="2">
        <v>-0.0077649218760455</v>
      </c>
      <c r="J31" s="2">
        <v>-0.00685065097672</v>
      </c>
      <c r="K31" s="2">
        <v>0.01549726610805</v>
      </c>
      <c r="L31" s="2">
        <v>-0.1324066971091</v>
      </c>
      <c r="M31" s="2">
        <v>-0.13219446831669</v>
      </c>
      <c r="N31" s="2">
        <v>387.91787205797</v>
      </c>
      <c r="O31" s="2">
        <v>433.60907774069</v>
      </c>
    </row>
    <row r="32" spans="1:15">
      <c r="A32" s="2">
        <v>5.4066849390983</v>
      </c>
      <c r="B32" s="2">
        <v>0.014821589090977</v>
      </c>
      <c r="C32" s="2">
        <v>90.289561098911</v>
      </c>
      <c r="D32" s="2">
        <v>0.016404444863456</v>
      </c>
      <c r="E32" s="2">
        <v>6.7201985004348</v>
      </c>
      <c r="F32" s="2">
        <v>0.90945033885122</v>
      </c>
      <c r="G32" s="2">
        <v>29569878.790785</v>
      </c>
      <c r="H32" s="2">
        <v>6340309.3891024</v>
      </c>
      <c r="I32" s="2">
        <v>-0.0080779351432218</v>
      </c>
      <c r="J32" s="2">
        <v>-0.0071256921933173</v>
      </c>
      <c r="K32" s="2">
        <v>0.016087716592935</v>
      </c>
      <c r="L32" s="2">
        <v>-0.13725769465599</v>
      </c>
      <c r="M32" s="2">
        <v>-0.13696208067535</v>
      </c>
      <c r="N32" s="2">
        <v>389.02107340517</v>
      </c>
      <c r="O32" s="2">
        <v>434.93873961143</v>
      </c>
    </row>
    <row r="33" spans="1:15">
      <c r="A33" s="2">
        <v>5.6066849390983</v>
      </c>
      <c r="B33" s="2">
        <v>0.015427633572339</v>
      </c>
      <c r="C33" s="2">
        <v>90.288552255062</v>
      </c>
      <c r="D33" s="2">
        <v>0.017016583515302</v>
      </c>
      <c r="E33" s="2">
        <v>6.7248831345548</v>
      </c>
      <c r="F33" s="2">
        <v>0.90607754369373</v>
      </c>
      <c r="G33" s="2">
        <v>30202387.127317</v>
      </c>
      <c r="H33" s="2">
        <v>6448738.3906823</v>
      </c>
      <c r="I33" s="2">
        <v>-0.0083907122971265</v>
      </c>
      <c r="J33" s="2">
        <v>-0.0074006362697488</v>
      </c>
      <c r="K33" s="2">
        <v>0.016677813339632</v>
      </c>
      <c r="L33" s="2">
        <v>-0.1421470806342</v>
      </c>
      <c r="M33" s="2">
        <v>-0.14178141814544</v>
      </c>
      <c r="N33" s="2">
        <v>390.11515271892</v>
      </c>
      <c r="O33" s="2">
        <v>436.25466836084</v>
      </c>
    </row>
    <row r="34" spans="1:15">
      <c r="A34" s="2">
        <v>5.8066849390983</v>
      </c>
      <c r="B34" s="2">
        <v>0.016033584093511</v>
      </c>
      <c r="C34" s="2">
        <v>90.287546414445</v>
      </c>
      <c r="D34" s="2">
        <v>0.017628609838874</v>
      </c>
      <c r="E34" s="2">
        <v>6.7295923045594</v>
      </c>
      <c r="F34" s="2">
        <v>0.90271557588461</v>
      </c>
      <c r="G34" s="2">
        <v>30839369.551875</v>
      </c>
      <c r="H34" s="2">
        <v>6557884.2343483</v>
      </c>
      <c r="I34" s="2">
        <v>-0.0087032419114395</v>
      </c>
      <c r="J34" s="2">
        <v>-0.007675494164497</v>
      </c>
      <c r="K34" s="2">
        <v>0.017267556749971</v>
      </c>
      <c r="L34" s="2">
        <v>-0.14693988732076</v>
      </c>
      <c r="M34" s="2">
        <v>-0.14649327371723</v>
      </c>
      <c r="N34" s="2">
        <v>391.20024583568</v>
      </c>
      <c r="O34" s="2">
        <v>437.5572074865</v>
      </c>
    </row>
    <row r="35" spans="1:15">
      <c r="A35" s="2">
        <v>6.0066849390983</v>
      </c>
      <c r="B35" s="2">
        <v>0.016639434608832</v>
      </c>
      <c r="C35" s="2">
        <v>90.286543375625</v>
      </c>
      <c r="D35" s="2">
        <v>0.018240525801725</v>
      </c>
      <c r="E35" s="2">
        <v>6.7343256357147</v>
      </c>
      <c r="F35" s="2">
        <v>0.89936337523225</v>
      </c>
      <c r="G35" s="2">
        <v>31480765.767064</v>
      </c>
      <c r="H35" s="2">
        <v>6667736.3955055</v>
      </c>
      <c r="I35" s="2">
        <v>-0.0090155141761805</v>
      </c>
      <c r="J35" s="2">
        <v>-0.0079502739250054</v>
      </c>
      <c r="K35" s="2">
        <v>0.017856947211724</v>
      </c>
      <c r="L35" s="2">
        <v>-0.15173737361926</v>
      </c>
      <c r="M35" s="2">
        <v>-0.15123456573418</v>
      </c>
      <c r="N35" s="2">
        <v>392.27761553613</v>
      </c>
      <c r="O35" s="2">
        <v>438.84803967081</v>
      </c>
    </row>
    <row r="36" spans="1:15">
      <c r="A36" s="2">
        <v>6.2066849390983</v>
      </c>
      <c r="B36" s="2">
        <v>0.017245195886552</v>
      </c>
      <c r="C36" s="2">
        <v>90.285544510092</v>
      </c>
      <c r="D36" s="2">
        <v>0.01885233459991</v>
      </c>
      <c r="E36" s="2">
        <v>6.7390826388016</v>
      </c>
      <c r="F36" s="2">
        <v>0.896021514475</v>
      </c>
      <c r="G36" s="2">
        <v>32126527.601043</v>
      </c>
      <c r="H36" s="2">
        <v>6778286.4371538</v>
      </c>
      <c r="I36" s="2">
        <v>-0.0093275290413267</v>
      </c>
      <c r="J36" s="2">
        <v>-0.008224977312945</v>
      </c>
      <c r="K36" s="2">
        <v>0.018445985122072</v>
      </c>
      <c r="L36" s="2">
        <v>-0.15653829039235</v>
      </c>
      <c r="M36" s="2">
        <v>-0.15593766448282</v>
      </c>
      <c r="N36" s="2">
        <v>393.3465783475</v>
      </c>
      <c r="O36" s="2">
        <v>440.12717730645</v>
      </c>
    </row>
    <row r="37" spans="1:15">
      <c r="A37" s="2">
        <v>6.4066849390983</v>
      </c>
      <c r="B37" s="2">
        <v>0.0178508672239</v>
      </c>
      <c r="C37" s="2">
        <v>90.284549643502</v>
      </c>
      <c r="D37" s="2">
        <v>0.019464040651824</v>
      </c>
      <c r="E37" s="2">
        <v>6.7438626568063</v>
      </c>
      <c r="F37" s="2">
        <v>0.89268941065841</v>
      </c>
      <c r="G37" s="2">
        <v>32776599.61715</v>
      </c>
      <c r="H37" s="2">
        <v>6889524.6846962</v>
      </c>
      <c r="I37" s="2">
        <v>-0.0096392829787754</v>
      </c>
      <c r="J37" s="2">
        <v>-0.0084996064445256</v>
      </c>
      <c r="K37" s="2">
        <v>0.01903467084422</v>
      </c>
      <c r="L37" s="2">
        <v>-0.16131817871452</v>
      </c>
      <c r="M37" s="2">
        <v>-0.16065002292566</v>
      </c>
      <c r="N37" s="2">
        <v>394.40798535321</v>
      </c>
      <c r="O37" s="2">
        <v>441.39583779786</v>
      </c>
    </row>
    <row r="38" spans="1:15">
      <c r="A38" s="2">
        <v>6.6066849390983</v>
      </c>
      <c r="B38" s="2">
        <v>0.018456455716447</v>
      </c>
      <c r="C38" s="2">
        <v>90.283559365019</v>
      </c>
      <c r="D38" s="2">
        <v>0.020075649011343</v>
      </c>
      <c r="E38" s="2">
        <v>6.7486643338357</v>
      </c>
      <c r="F38" s="2">
        <v>0.88936636025878</v>
      </c>
      <c r="G38" s="2">
        <v>33430932.621574</v>
      </c>
      <c r="H38" s="2">
        <v>7001442.5332867</v>
      </c>
      <c r="I38" s="2">
        <v>-0.0099507777612427</v>
      </c>
      <c r="J38" s="2">
        <v>-0.0087741611018934</v>
      </c>
      <c r="K38" s="2">
        <v>0.019623004796116</v>
      </c>
      <c r="L38" s="2">
        <v>-0.16608745495836</v>
      </c>
      <c r="M38" s="2">
        <v>-0.16534633620544</v>
      </c>
      <c r="N38" s="2">
        <v>395.46135367001</v>
      </c>
      <c r="O38" s="2">
        <v>442.65383406021</v>
      </c>
    </row>
    <row r="39" spans="1:15">
      <c r="A39" s="2">
        <v>6.8066849390983</v>
      </c>
      <c r="B39" s="2">
        <v>0.019061959653342</v>
      </c>
      <c r="C39" s="2">
        <v>90.282572784447</v>
      </c>
      <c r="D39" s="2">
        <v>0.020687163650712</v>
      </c>
      <c r="E39" s="2">
        <v>6.7534858139991</v>
      </c>
      <c r="F39" s="2">
        <v>0.88605318601725</v>
      </c>
      <c r="G39" s="2">
        <v>34089469.145941</v>
      </c>
      <c r="H39" s="2">
        <v>7114029.9767783</v>
      </c>
      <c r="I39" s="2">
        <v>-0.010262011638545</v>
      </c>
      <c r="J39" s="2">
        <v>-0.0090486399522951</v>
      </c>
      <c r="K39" s="2">
        <v>0.020210987359093</v>
      </c>
      <c r="L39" s="2">
        <v>-0.17084725948805</v>
      </c>
      <c r="M39" s="2">
        <v>-0.17004178855709</v>
      </c>
      <c r="N39" s="2">
        <v>396.50825342898</v>
      </c>
      <c r="O39" s="2">
        <v>443.90308239265</v>
      </c>
    </row>
    <row r="40" spans="1:15">
      <c r="A40" s="2">
        <v>7.0066849390983</v>
      </c>
      <c r="B40" s="2">
        <v>0.019667385995099</v>
      </c>
      <c r="C40" s="2">
        <v>90.281590403147</v>
      </c>
      <c r="D40" s="2">
        <v>0.021298590138035</v>
      </c>
      <c r="E40" s="2">
        <v>6.7583264597453</v>
      </c>
      <c r="F40" s="2">
        <v>0.88275025497463</v>
      </c>
      <c r="G40" s="2">
        <v>34752162.724315</v>
      </c>
      <c r="H40" s="2">
        <v>7227278.9108984</v>
      </c>
      <c r="I40" s="2">
        <v>-0.010572988602587</v>
      </c>
      <c r="J40" s="2">
        <v>-0.0093230396565974</v>
      </c>
      <c r="K40" s="2">
        <v>0.020798618939198</v>
      </c>
      <c r="L40" s="2">
        <v>-0.17558986890962</v>
      </c>
      <c r="M40" s="2">
        <v>-0.17470847717502</v>
      </c>
      <c r="N40" s="2">
        <v>397.54853979097</v>
      </c>
      <c r="O40" s="2">
        <v>445.14350555059</v>
      </c>
    </row>
    <row r="41" spans="1:15">
      <c r="A41" s="2">
        <v>7.2066849390983</v>
      </c>
      <c r="B41" s="2">
        <v>0.020272736224714</v>
      </c>
      <c r="C41" s="2">
        <v>90.280611983245</v>
      </c>
      <c r="D41" s="2">
        <v>0.021909932325797</v>
      </c>
      <c r="E41" s="2">
        <v>6.763184598703</v>
      </c>
      <c r="F41" s="2">
        <v>0.87945792831777</v>
      </c>
      <c r="G41" s="2">
        <v>35418961.070462</v>
      </c>
      <c r="H41" s="2">
        <v>7341180.2411601</v>
      </c>
      <c r="I41" s="2">
        <v>-0.010883708176561</v>
      </c>
      <c r="J41" s="2">
        <v>-0.0095973591507635</v>
      </c>
      <c r="K41" s="2">
        <v>0.021385899933849</v>
      </c>
      <c r="L41" s="2">
        <v>-0.18032926588848</v>
      </c>
      <c r="M41" s="2">
        <v>-0.17937112079685</v>
      </c>
      <c r="N41" s="2">
        <v>398.58312311845</v>
      </c>
      <c r="O41" s="2">
        <v>446.37618641965</v>
      </c>
    </row>
    <row r="42" spans="1:15">
      <c r="A42" s="2">
        <v>7.4066849390983</v>
      </c>
      <c r="B42" s="2">
        <v>0.020878019157131</v>
      </c>
      <c r="C42" s="2">
        <v>90.279637605048</v>
      </c>
      <c r="D42" s="2">
        <v>0.022521195584319</v>
      </c>
      <c r="E42" s="2">
        <v>6.7680584960298</v>
      </c>
      <c r="F42" s="2">
        <v>0.87617622603574</v>
      </c>
      <c r="G42" s="2">
        <v>36089823.069066</v>
      </c>
      <c r="H42" s="2">
        <v>7455726.7814173</v>
      </c>
      <c r="I42" s="2">
        <v>-0.011194172453832</v>
      </c>
      <c r="J42" s="2">
        <v>-0.0098715993902483</v>
      </c>
      <c r="K42" s="2">
        <v>0.021972830744679</v>
      </c>
      <c r="L42" s="2">
        <v>-0.18503657525297</v>
      </c>
      <c r="M42" s="2">
        <v>-0.1840064387227</v>
      </c>
      <c r="N42" s="2">
        <v>399.6108107856</v>
      </c>
      <c r="O42" s="2">
        <v>447.60008866548</v>
      </c>
    </row>
    <row r="43" spans="1:15">
      <c r="A43" s="2">
        <v>7.6066849390983</v>
      </c>
      <c r="B43" s="2">
        <v>0.021483235329072</v>
      </c>
      <c r="C43" s="2">
        <v>90.27866743421</v>
      </c>
      <c r="D43" s="2">
        <v>0.023132384539419</v>
      </c>
      <c r="E43" s="2">
        <v>6.7729469369042</v>
      </c>
      <c r="F43" s="2">
        <v>0.87290521793113</v>
      </c>
      <c r="G43" s="2">
        <v>36764698.809208</v>
      </c>
      <c r="H43" s="2">
        <v>7570909.859922</v>
      </c>
      <c r="I43" s="2">
        <v>-0.011504383204158</v>
      </c>
      <c r="J43" s="2">
        <v>-0.010145757396502</v>
      </c>
      <c r="K43" s="2">
        <v>0.022559411784708</v>
      </c>
      <c r="L43" s="2">
        <v>-0.18975674223184</v>
      </c>
      <c r="M43" s="2">
        <v>-0.1886552725167</v>
      </c>
      <c r="N43" s="2">
        <v>400.63242359215</v>
      </c>
      <c r="O43" s="2">
        <v>448.81613072046</v>
      </c>
    </row>
    <row r="44" spans="1:15">
      <c r="A44" s="2">
        <v>7.8066849390983</v>
      </c>
      <c r="B44" s="2">
        <v>0.022088388994097</v>
      </c>
      <c r="C44" s="2">
        <v>90.277700752034</v>
      </c>
      <c r="D44" s="2">
        <v>0.023743503378539</v>
      </c>
      <c r="E44" s="2">
        <v>6.7778494785641</v>
      </c>
      <c r="F44" s="2">
        <v>0.8696459857335</v>
      </c>
      <c r="G44" s="2">
        <v>37443541.020601</v>
      </c>
      <c r="H44" s="2">
        <v>7686721.2737712</v>
      </c>
      <c r="I44" s="2">
        <v>-0.011814341418872</v>
      </c>
      <c r="J44" s="2">
        <v>-0.010419831296735</v>
      </c>
      <c r="K44" s="2">
        <v>0.023145643426417</v>
      </c>
      <c r="L44" s="2">
        <v>-0.19445194050057</v>
      </c>
      <c r="M44" s="2">
        <v>-0.19328419522521</v>
      </c>
      <c r="N44" s="2">
        <v>401.64843085775</v>
      </c>
      <c r="O44" s="2">
        <v>450.02488357194</v>
      </c>
    </row>
    <row r="45" spans="1:15">
      <c r="A45" s="2">
        <v>8.0066849390983</v>
      </c>
      <c r="B45" s="2">
        <v>0.022693485529068</v>
      </c>
      <c r="C45" s="2">
        <v>90.276737757906</v>
      </c>
      <c r="D45" s="2">
        <v>0.024354556253396</v>
      </c>
      <c r="E45" s="2">
        <v>6.7827643852905</v>
      </c>
      <c r="F45" s="2">
        <v>0.86639832254296</v>
      </c>
      <c r="G45" s="2">
        <v>38126307.409333</v>
      </c>
      <c r="H45" s="2">
        <v>7803153.666247</v>
      </c>
      <c r="I45" s="2">
        <v>-0.012124048950676</v>
      </c>
      <c r="J45" s="2">
        <v>-0.01069382033673</v>
      </c>
      <c r="K45" s="2">
        <v>0.023731526086263</v>
      </c>
      <c r="L45" s="2">
        <v>-0.199167965312</v>
      </c>
      <c r="M45" s="2">
        <v>-0.19792167629149</v>
      </c>
      <c r="N45" s="2">
        <v>402.65862104417</v>
      </c>
      <c r="O45" s="2">
        <v>451.22624650824</v>
      </c>
    </row>
    <row r="46" spans="1:15">
      <c r="A46" s="2">
        <v>8.2066849390983</v>
      </c>
      <c r="B46" s="2">
        <v>0.02329852408415</v>
      </c>
      <c r="C46" s="2">
        <v>90.27577838509</v>
      </c>
      <c r="D46" s="2">
        <v>0.024965547001036</v>
      </c>
      <c r="E46" s="2">
        <v>6.7876909138813</v>
      </c>
      <c r="F46" s="2">
        <v>0.86316266503953</v>
      </c>
      <c r="G46" s="2">
        <v>38812947.903168</v>
      </c>
      <c r="H46" s="2">
        <v>7920198.3679379</v>
      </c>
      <c r="I46" s="2">
        <v>-0.012433507368402</v>
      </c>
      <c r="J46" s="2">
        <v>-0.010967720878124</v>
      </c>
      <c r="K46" s="2">
        <v>0.024317060154057</v>
      </c>
      <c r="L46" s="2">
        <v>-0.20387823936091</v>
      </c>
      <c r="M46" s="2">
        <v>-0.20256983710675</v>
      </c>
      <c r="N46" s="2">
        <v>403.66407058335</v>
      </c>
      <c r="O46" s="2">
        <v>452.42137960106</v>
      </c>
    </row>
    <row r="47" spans="1:15">
      <c r="A47" s="2">
        <v>8.4066849390983</v>
      </c>
      <c r="B47" s="2">
        <v>0.023903511914941</v>
      </c>
      <c r="C47" s="2">
        <v>90.274822195866</v>
      </c>
      <c r="D47" s="2">
        <v>0.025576480246406</v>
      </c>
      <c r="E47" s="2">
        <v>6.7926279892273</v>
      </c>
      <c r="F47" s="2">
        <v>0.85993912221944</v>
      </c>
      <c r="G47" s="2">
        <v>39503424.776669</v>
      </c>
      <c r="H47" s="2">
        <v>8037848.823869</v>
      </c>
      <c r="I47" s="2">
        <v>-0.012742720652234</v>
      </c>
      <c r="J47" s="2">
        <v>-0.011241531137521</v>
      </c>
      <c r="K47" s="2">
        <v>0.024902246031693</v>
      </c>
      <c r="L47" s="2">
        <v>-0.20857266194417</v>
      </c>
      <c r="M47" s="2">
        <v>-0.20718242484294</v>
      </c>
      <c r="N47" s="2">
        <v>404.66393591032</v>
      </c>
      <c r="O47" s="2">
        <v>453.60953221138</v>
      </c>
    </row>
    <row r="48" spans="1:15">
      <c r="A48" s="2">
        <v>8.6066849390983</v>
      </c>
      <c r="B48" s="2">
        <v>0.024508446811285</v>
      </c>
      <c r="C48" s="2">
        <v>90.273869350392</v>
      </c>
      <c r="D48" s="2">
        <v>0.026187358714256</v>
      </c>
      <c r="E48" s="2">
        <v>6.7975746413273</v>
      </c>
      <c r="F48" s="2">
        <v>0.85672785616373</v>
      </c>
      <c r="G48" s="2">
        <v>40197685.399132</v>
      </c>
      <c r="H48" s="2">
        <v>8156095.9348672</v>
      </c>
      <c r="I48" s="2">
        <v>-0.013051688553904</v>
      </c>
      <c r="J48" s="2">
        <v>-0.011515248342855</v>
      </c>
      <c r="K48" s="2">
        <v>0.025487084110052</v>
      </c>
      <c r="L48" s="2">
        <v>-0.21326193429081</v>
      </c>
      <c r="M48" s="2">
        <v>-0.21180586466211</v>
      </c>
      <c r="N48" s="2">
        <v>405.65979469944</v>
      </c>
      <c r="O48" s="2">
        <v>454.79246361087</v>
      </c>
    </row>
    <row r="49" spans="1:15">
      <c r="A49" s="2">
        <v>8.8066849390982</v>
      </c>
      <c r="B49" s="2">
        <v>0.025113334423141</v>
      </c>
      <c r="C49" s="2">
        <v>90.27291980805</v>
      </c>
      <c r="D49" s="2">
        <v>0.026798186654012</v>
      </c>
      <c r="E49" s="2">
        <v>6.8025295680841</v>
      </c>
      <c r="F49" s="2">
        <v>0.85352868353265</v>
      </c>
      <c r="G49" s="2">
        <v>40895693.564109</v>
      </c>
      <c r="H49" s="2">
        <v>8274933.4388099</v>
      </c>
      <c r="I49" s="2">
        <v>-0.013360414372474</v>
      </c>
      <c r="J49" s="2">
        <v>-0.011788870659552</v>
      </c>
      <c r="K49" s="2">
        <v>0.026071574794011</v>
      </c>
      <c r="L49" s="2">
        <v>-0.21795148098827</v>
      </c>
      <c r="M49" s="2">
        <v>-0.21642115074858</v>
      </c>
      <c r="N49" s="2">
        <v>406.65115770878</v>
      </c>
      <c r="O49" s="2">
        <v>455.96964642535</v>
      </c>
    </row>
    <row r="50" spans="1:15">
      <c r="A50" s="2">
        <v>9.0066849390982</v>
      </c>
      <c r="B50" s="2">
        <v>0.02571817731716</v>
      </c>
      <c r="C50" s="2">
        <v>90.271973062157</v>
      </c>
      <c r="D50" s="2">
        <v>0.027408967206853</v>
      </c>
      <c r="E50" s="2">
        <v>6.8074926444987</v>
      </c>
      <c r="F50" s="2">
        <v>0.85034168023393</v>
      </c>
      <c r="G50" s="2">
        <v>41597403.66335</v>
      </c>
      <c r="H50" s="2">
        <v>8394353.4440505</v>
      </c>
      <c r="I50" s="2">
        <v>-0.013668899699127</v>
      </c>
      <c r="J50" s="2">
        <v>-0.012062396409322</v>
      </c>
      <c r="K50" s="2">
        <v>0.026655718486437</v>
      </c>
      <c r="L50" s="2">
        <v>-0.22267735958129</v>
      </c>
      <c r="M50" s="2">
        <v>-0.22108263498618</v>
      </c>
      <c r="N50" s="2">
        <v>407.6383504832</v>
      </c>
      <c r="O50" s="2">
        <v>457.14163047344</v>
      </c>
    </row>
    <row r="51" spans="1:15">
      <c r="A51" s="2">
        <v>9.2066849390982</v>
      </c>
      <c r="B51" s="2">
        <v>0.026322985223772</v>
      </c>
      <c r="C51" s="2">
        <v>90.271029253054</v>
      </c>
      <c r="D51" s="2">
        <v>0.028019705099769</v>
      </c>
      <c r="E51" s="2">
        <v>6.8124629507423</v>
      </c>
      <c r="F51" s="2">
        <v>0.84716721568536</v>
      </c>
      <c r="G51" s="2">
        <v>42302788.754129</v>
      </c>
      <c r="H51" s="2">
        <v>8514351.264576</v>
      </c>
      <c r="I51" s="2">
        <v>-0.013977149782158</v>
      </c>
      <c r="J51" s="2">
        <v>-0.012335824613801</v>
      </c>
      <c r="K51" s="2">
        <v>0.02723951557073</v>
      </c>
      <c r="L51" s="2">
        <v>-0.2273593625079</v>
      </c>
      <c r="M51" s="2">
        <v>-0.22568888586185</v>
      </c>
      <c r="N51" s="2">
        <v>408.61947888582</v>
      </c>
      <c r="O51" s="2">
        <v>458.30637123254</v>
      </c>
    </row>
    <row r="52" spans="1:15">
      <c r="A52" s="2">
        <v>9.4066849390982</v>
      </c>
      <c r="B52" s="2">
        <v>0.026927757066867</v>
      </c>
      <c r="C52" s="2">
        <v>90.270087956265</v>
      </c>
      <c r="D52" s="2">
        <v>0.028630401903708</v>
      </c>
      <c r="E52" s="2">
        <v>6.8174394523553</v>
      </c>
      <c r="F52" s="2">
        <v>0.84400522456454</v>
      </c>
      <c r="G52" s="2">
        <v>43011801.745365</v>
      </c>
      <c r="H52" s="2">
        <v>8634918.7962272</v>
      </c>
      <c r="I52" s="2">
        <v>-0.014285165095095</v>
      </c>
      <c r="J52" s="2">
        <v>-0.012609152330283</v>
      </c>
      <c r="K52" s="2">
        <v>0.027822966452127</v>
      </c>
      <c r="L52" s="2">
        <v>-0.23206427523282</v>
      </c>
      <c r="M52" s="2">
        <v>-0.23032754043321</v>
      </c>
      <c r="N52" s="2">
        <v>409.59595374289</v>
      </c>
      <c r="O52" s="2">
        <v>459.46542645661</v>
      </c>
    </row>
    <row r="53" spans="1:15">
      <c r="A53" s="2">
        <v>9.6066849390982</v>
      </c>
      <c r="B53" s="2">
        <v>0.02753249416095</v>
      </c>
      <c r="C53" s="2">
        <v>90.269149306277</v>
      </c>
      <c r="D53" s="2">
        <v>0.029241061141173</v>
      </c>
      <c r="E53" s="2">
        <v>6.8224217711816</v>
      </c>
      <c r="F53" s="2">
        <v>0.84085559914309</v>
      </c>
      <c r="G53" s="2">
        <v>43724401.372432</v>
      </c>
      <c r="H53" s="2">
        <v>8756048.9242827</v>
      </c>
      <c r="I53" s="2">
        <v>-0.014592947090312</v>
      </c>
      <c r="J53" s="2">
        <v>-0.012882377870524</v>
      </c>
      <c r="K53" s="2">
        <v>0.028406071528721</v>
      </c>
      <c r="L53" s="2">
        <v>-0.23676196944739</v>
      </c>
      <c r="M53" s="2">
        <v>-0.23494983111471</v>
      </c>
      <c r="N53" s="2">
        <v>410.56798548266</v>
      </c>
      <c r="O53" s="2">
        <v>460.61905233634</v>
      </c>
    </row>
    <row r="54" spans="1:15">
      <c r="A54" s="2">
        <v>9.8066849390982</v>
      </c>
      <c r="B54" s="2">
        <v>0.028137201094215</v>
      </c>
      <c r="C54" s="2">
        <v>90.268212922145</v>
      </c>
      <c r="D54" s="2">
        <v>0.029851685877364</v>
      </c>
      <c r="E54" s="2">
        <v>6.8274092374354</v>
      </c>
      <c r="F54" s="2">
        <v>0.83771814236799</v>
      </c>
      <c r="G54" s="2">
        <v>44440549.607651</v>
      </c>
      <c r="H54" s="2">
        <v>8877735.0838899</v>
      </c>
      <c r="I54" s="2">
        <v>-0.014900497774487</v>
      </c>
      <c r="J54" s="2">
        <v>-0.013155500147194</v>
      </c>
      <c r="K54" s="2">
        <v>0.028988831196286</v>
      </c>
      <c r="L54" s="2">
        <v>-0.24146620212092</v>
      </c>
      <c r="M54" s="2">
        <v>-0.23958548700267</v>
      </c>
      <c r="N54" s="2">
        <v>411.53539513083</v>
      </c>
      <c r="O54" s="2">
        <v>461.76720241268</v>
      </c>
    </row>
    <row r="55" spans="1:15">
      <c r="A55" s="2">
        <v>10.006684939098</v>
      </c>
      <c r="B55" s="2">
        <v>0.028741870280003</v>
      </c>
      <c r="C55" s="2">
        <v>90.267277971041</v>
      </c>
      <c r="D55" s="2">
        <v>0.030462277704436</v>
      </c>
      <c r="E55" s="2">
        <v>6.8324013522301</v>
      </c>
      <c r="F55" s="2">
        <v>0.83459255589126</v>
      </c>
      <c r="G55" s="2">
        <v>45160196.133585</v>
      </c>
      <c r="H55" s="2">
        <v>8999968.6407779</v>
      </c>
      <c r="I55" s="2">
        <v>-0.015207816176845</v>
      </c>
      <c r="J55" s="2">
        <v>-0.013428516192635</v>
      </c>
      <c r="K55" s="2">
        <v>0.029571245856791</v>
      </c>
      <c r="L55" s="2">
        <v>-0.24618822799422</v>
      </c>
      <c r="M55" s="2">
        <v>-0.24423839042536</v>
      </c>
      <c r="N55" s="2">
        <v>412.5001462851</v>
      </c>
      <c r="O55" s="2">
        <v>462.91199503723</v>
      </c>
    </row>
    <row r="56" spans="1:15">
      <c r="A56" s="2">
        <v>10.206684939098</v>
      </c>
      <c r="B56" s="2">
        <v>0.029346519875278</v>
      </c>
      <c r="C56" s="2">
        <v>90.266345187432</v>
      </c>
      <c r="D56" s="2">
        <v>0.031072840690425</v>
      </c>
      <c r="E56" s="2">
        <v>6.8373975960147</v>
      </c>
      <c r="F56" s="2">
        <v>0.83147906718798</v>
      </c>
      <c r="G56" s="2">
        <v>45883321.384314</v>
      </c>
      <c r="H56" s="2">
        <v>9122746.1873074</v>
      </c>
      <c r="I56" s="2">
        <v>-0.015514907730467</v>
      </c>
      <c r="J56" s="2">
        <v>-0.013701427098914</v>
      </c>
      <c r="K56" s="2">
        <v>0.03015331591064</v>
      </c>
      <c r="L56" s="2">
        <v>-0.2508925131965</v>
      </c>
      <c r="M56" s="2">
        <v>-0.24887113517964</v>
      </c>
      <c r="N56" s="2">
        <v>413.45942096628</v>
      </c>
      <c r="O56" s="2">
        <v>464.05054311798</v>
      </c>
    </row>
    <row r="57" spans="1:15">
      <c r="A57" s="2">
        <v>10.406684939098</v>
      </c>
      <c r="B57" s="2">
        <v>0.029951145808475</v>
      </c>
      <c r="C57" s="2">
        <v>90.265414131251</v>
      </c>
      <c r="D57" s="2">
        <v>0.031683376759109</v>
      </c>
      <c r="E57" s="2">
        <v>6.8423975596113</v>
      </c>
      <c r="F57" s="2">
        <v>0.82837767479748</v>
      </c>
      <c r="G57" s="2">
        <v>46609882.01607</v>
      </c>
      <c r="H57" s="2">
        <v>9246060.2929734</v>
      </c>
      <c r="I57" s="2">
        <v>-0.015821774827906</v>
      </c>
      <c r="J57" s="2">
        <v>-0.013974228461403</v>
      </c>
      <c r="K57" s="2">
        <v>0.030735041764085</v>
      </c>
      <c r="L57" s="2">
        <v>-0.25561556415793</v>
      </c>
      <c r="M57" s="2">
        <v>-0.25352475942733</v>
      </c>
      <c r="N57" s="2">
        <v>414.41436384277</v>
      </c>
      <c r="O57" s="2">
        <v>465.18404399836</v>
      </c>
    </row>
    <row r="58" spans="1:15">
      <c r="A58" s="2">
        <v>10.606684939098</v>
      </c>
      <c r="B58" s="2">
        <v>0.030555743903562</v>
      </c>
      <c r="C58" s="2">
        <v>90.264484002298</v>
      </c>
      <c r="D58" s="2">
        <v>0.032293887548387</v>
      </c>
      <c r="E58" s="2">
        <v>6.1442761838776</v>
      </c>
      <c r="F58" s="2">
        <v>0.82528822335615</v>
      </c>
      <c r="G58" s="2">
        <v>47339831.251945</v>
      </c>
      <c r="H58" s="2">
        <v>9369902.9350375</v>
      </c>
      <c r="I58" s="2">
        <v>-0.016128417702067</v>
      </c>
      <c r="J58" s="2">
        <v>-0.014246917501904</v>
      </c>
      <c r="K58" s="2">
        <v>0.031316423807014</v>
      </c>
      <c r="L58" s="2">
        <v>-0.26034465672725</v>
      </c>
      <c r="M58" s="2">
        <v>-0.25817027871221</v>
      </c>
      <c r="N58" s="2">
        <v>415.36627824678</v>
      </c>
      <c r="O58" s="2">
        <v>466.31396289849</v>
      </c>
    </row>
    <row r="59" spans="1:15">
      <c r="A59" s="2">
        <v>10.806684939098</v>
      </c>
      <c r="B59" s="2">
        <v>0.031160321109003</v>
      </c>
      <c r="C59" s="2">
        <v>90.26355571857</v>
      </c>
      <c r="D59" s="2">
        <v>0.03290437564815</v>
      </c>
      <c r="E59" s="2">
        <v>6.1492822381494</v>
      </c>
      <c r="F59" s="2">
        <v>0.82221043574731</v>
      </c>
      <c r="G59" s="2">
        <v>48073140.359559</v>
      </c>
      <c r="H59" s="2">
        <v>9494269.1760919</v>
      </c>
      <c r="I59" s="2">
        <v>-0.01643483755255</v>
      </c>
      <c r="J59" s="2">
        <v>-0.014519494649889</v>
      </c>
      <c r="K59" s="2">
        <v>0.031897462440052</v>
      </c>
      <c r="L59" s="2">
        <v>-0.2650652886309</v>
      </c>
      <c r="M59" s="2">
        <v>-0.26282436634421</v>
      </c>
      <c r="N59" s="2">
        <v>416.31458171661</v>
      </c>
      <c r="O59" s="2">
        <v>467.43960977299</v>
      </c>
    </row>
    <row r="60" spans="1:15">
      <c r="A60" s="2">
        <v>11.006684939098</v>
      </c>
      <c r="B60" s="2">
        <v>0.031764884394072</v>
      </c>
      <c r="C60" s="2">
        <v>90.262628773028</v>
      </c>
      <c r="D60" s="2">
        <v>0.033514844459087</v>
      </c>
      <c r="E60" s="2">
        <v>6.1542907899071</v>
      </c>
      <c r="F60" s="2">
        <v>0.81914430668138</v>
      </c>
      <c r="G60" s="2">
        <v>48809777.722954</v>
      </c>
      <c r="H60" s="2">
        <v>9619153.5962346</v>
      </c>
      <c r="I60" s="2">
        <v>-0.016741037370397</v>
      </c>
      <c r="J60" s="2">
        <v>-0.014791959454157</v>
      </c>
      <c r="K60" s="2">
        <v>0.032478158067319</v>
      </c>
      <c r="L60" s="2">
        <v>-0.26981831995229</v>
      </c>
      <c r="M60" s="2">
        <v>-0.26748852266459</v>
      </c>
      <c r="N60" s="2">
        <v>417.25836793</v>
      </c>
      <c r="O60" s="2">
        <v>468.56020351523</v>
      </c>
    </row>
    <row r="61" spans="1:15">
      <c r="A61" s="2">
        <v>11.206684939098</v>
      </c>
      <c r="B61" s="2">
        <v>0.032369427585333</v>
      </c>
      <c r="C61" s="2">
        <v>90.26170296384</v>
      </c>
      <c r="D61" s="2">
        <v>0.034125293489938</v>
      </c>
      <c r="E61" s="2">
        <v>6.1593014421023</v>
      </c>
      <c r="F61" s="2">
        <v>0.81608995335194</v>
      </c>
      <c r="G61" s="2">
        <v>49549697.978858</v>
      </c>
      <c r="H61" s="2">
        <v>9744548.4446328</v>
      </c>
      <c r="I61" s="2">
        <v>-0.017047016332909</v>
      </c>
      <c r="J61" s="2">
        <v>-0.015064308663666</v>
      </c>
      <c r="K61" s="2">
        <v>0.033058511109708</v>
      </c>
      <c r="L61" s="2">
        <v>-0.2745553563937</v>
      </c>
      <c r="M61" s="2">
        <v>-0.27215547846224</v>
      </c>
      <c r="N61" s="2">
        <v>418.19956281907</v>
      </c>
      <c r="O61" s="2">
        <v>469.67781289907</v>
      </c>
    </row>
    <row r="62" spans="1:15">
      <c r="A62" s="2">
        <v>11.406684939098</v>
      </c>
      <c r="B62" s="2">
        <v>0.032973954738173</v>
      </c>
      <c r="C62" s="2">
        <v>90.260778290831</v>
      </c>
      <c r="D62" s="2">
        <v>0.034735726489078</v>
      </c>
      <c r="E62" s="2">
        <v>5.4611890562105</v>
      </c>
      <c r="F62" s="2">
        <v>0.81304724773233</v>
      </c>
      <c r="G62" s="2">
        <v>50292874.052925</v>
      </c>
      <c r="H62" s="2">
        <v>9870449.0631646</v>
      </c>
      <c r="I62" s="2">
        <v>-0.017352776041389</v>
      </c>
      <c r="J62" s="2">
        <v>-0.015336545782442</v>
      </c>
      <c r="K62" s="2">
        <v>0.033638521976725</v>
      </c>
      <c r="L62" s="2">
        <v>-0.27935409619844</v>
      </c>
      <c r="M62" s="2">
        <v>-0.27688168748664</v>
      </c>
      <c r="N62" s="2">
        <v>419.13632387561</v>
      </c>
      <c r="O62" s="2">
        <v>470.79044553647</v>
      </c>
    </row>
    <row r="63" spans="1:15">
      <c r="A63" s="2">
        <v>11.606684939098</v>
      </c>
      <c r="B63" s="2">
        <v>0.033578478124588</v>
      </c>
      <c r="C63" s="2">
        <v>90.259854354909</v>
      </c>
      <c r="D63" s="2">
        <v>0.035346147260895</v>
      </c>
      <c r="E63" s="2">
        <v>5.4662030267316</v>
      </c>
      <c r="F63" s="2">
        <v>0.81001579667577</v>
      </c>
      <c r="G63" s="2">
        <v>51039277.995393</v>
      </c>
      <c r="H63" s="2">
        <v>9996850.6697229</v>
      </c>
      <c r="I63" s="2">
        <v>-0.017658320753143</v>
      </c>
      <c r="J63" s="2">
        <v>-0.015608666738508</v>
      </c>
      <c r="K63" s="2">
        <v>0.034218191041178</v>
      </c>
      <c r="L63" s="2">
        <v>-0.28408649737607</v>
      </c>
      <c r="M63" s="2">
        <v>-0.28151993507919</v>
      </c>
      <c r="N63" s="2">
        <v>420.0683031678</v>
      </c>
      <c r="O63" s="2">
        <v>471.89769589707</v>
      </c>
    </row>
    <row r="64" spans="1:15">
      <c r="A64" s="2">
        <v>11.806684939098</v>
      </c>
      <c r="B64" s="2">
        <v>0.03418298797981</v>
      </c>
      <c r="C64" s="2">
        <v>90.258931351474</v>
      </c>
      <c r="D64" s="2">
        <v>0.035956555977342</v>
      </c>
      <c r="E64" s="2">
        <v>5.47121804704</v>
      </c>
      <c r="F64" s="2">
        <v>0.80699552996099</v>
      </c>
      <c r="G64" s="2">
        <v>51788862.149234</v>
      </c>
      <c r="H64" s="2">
        <v>10123745.121402</v>
      </c>
      <c r="I64" s="2">
        <v>-0.017963650817281</v>
      </c>
      <c r="J64" s="2">
        <v>-0.015880668458925</v>
      </c>
      <c r="K64" s="2">
        <v>0.034797518736469</v>
      </c>
      <c r="L64" s="2">
        <v>-0.28886901905467</v>
      </c>
      <c r="M64" s="2">
        <v>-0.28621425418635</v>
      </c>
      <c r="N64" s="2">
        <v>420.99724394843</v>
      </c>
      <c r="O64" s="2">
        <v>473.00157551466</v>
      </c>
    </row>
    <row r="65" spans="1:15">
      <c r="A65" s="2">
        <v>12.006684939098</v>
      </c>
      <c r="B65" s="2">
        <v>0.034787492291181</v>
      </c>
      <c r="C65" s="2">
        <v>90.25800851162</v>
      </c>
      <c r="D65" s="2">
        <v>0.03656695507604</v>
      </c>
      <c r="E65" s="2">
        <v>5.4762338960443</v>
      </c>
      <c r="F65" s="2">
        <v>0.80398640553383</v>
      </c>
      <c r="G65" s="2">
        <v>52541600.410374</v>
      </c>
      <c r="H65" s="2">
        <v>10251127.960381</v>
      </c>
      <c r="I65" s="2">
        <v>-0.018268767413929</v>
      </c>
      <c r="J65" s="2">
        <v>-0.016152552272554</v>
      </c>
      <c r="K65" s="2">
        <v>0.035376505445707</v>
      </c>
      <c r="L65" s="2">
        <v>-0.29364517212562</v>
      </c>
      <c r="M65" s="2">
        <v>-0.29091307753972</v>
      </c>
      <c r="N65" s="2">
        <v>421.92209771406</v>
      </c>
      <c r="O65" s="2">
        <v>474.10099271413</v>
      </c>
    </row>
    <row r="66" spans="1:15">
      <c r="A66" s="2">
        <v>12.206684939098</v>
      </c>
      <c r="B66" s="2">
        <v>0.035391987180656</v>
      </c>
      <c r="C66" s="2">
        <v>90.257086469247</v>
      </c>
      <c r="D66" s="2">
        <v>0.037177345451195</v>
      </c>
      <c r="E66" s="2">
        <v>5.4812506468706</v>
      </c>
      <c r="F66" s="2">
        <v>0.80098837509092</v>
      </c>
      <c r="G66" s="2">
        <v>53297454.147127</v>
      </c>
      <c r="H66" s="2">
        <v>10378992.621047</v>
      </c>
      <c r="I66" s="2">
        <v>-0.018573670448268</v>
      </c>
      <c r="J66" s="2">
        <v>-0.016424316127848</v>
      </c>
      <c r="K66" s="2">
        <v>0.035955151566765</v>
      </c>
      <c r="L66" s="2">
        <v>-0.29844213456175</v>
      </c>
      <c r="M66" s="2">
        <v>-0.29562297138313</v>
      </c>
      <c r="N66" s="2">
        <v>422.84400549541</v>
      </c>
      <c r="O66" s="2">
        <v>475.19714863564</v>
      </c>
    </row>
    <row r="67" spans="1:15">
      <c r="A67" s="2">
        <v>12.406684939098</v>
      </c>
      <c r="B67" s="2">
        <v>0.035996475702017</v>
      </c>
      <c r="C67" s="2">
        <v>90.256164871901</v>
      </c>
      <c r="D67" s="2">
        <v>0.037787728613607</v>
      </c>
      <c r="E67" s="2">
        <v>5.4862679262491</v>
      </c>
      <c r="F67" s="2">
        <v>0.79800101460841</v>
      </c>
      <c r="G67" s="2">
        <v>54056391.585788</v>
      </c>
      <c r="H67" s="2">
        <v>10507333.671198</v>
      </c>
      <c r="I67" s="2">
        <v>-0.018878361210369</v>
      </c>
      <c r="J67" s="2">
        <v>-0.016695959912942</v>
      </c>
      <c r="K67" s="2">
        <v>0.036533457510536</v>
      </c>
      <c r="L67" s="2">
        <v>-0.30325848534634</v>
      </c>
      <c r="M67" s="2">
        <v>-0.30034665950995</v>
      </c>
      <c r="N67" s="2">
        <v>423.76265032905</v>
      </c>
      <c r="O67" s="2">
        <v>476.28983817506</v>
      </c>
    </row>
    <row r="68" spans="1:15">
      <c r="A68" s="2">
        <v>12.606684939098</v>
      </c>
      <c r="B68" s="2">
        <v>0.036600962085075</v>
      </c>
      <c r="C68" s="2">
        <v>90.255243470477</v>
      </c>
      <c r="D68" s="2">
        <v>0.038398107495839</v>
      </c>
      <c r="E68" s="2">
        <v>5.4912849796329</v>
      </c>
      <c r="F68" s="2">
        <v>0.79502422562662</v>
      </c>
      <c r="G68" s="2">
        <v>54818383.612441</v>
      </c>
      <c r="H68" s="2">
        <v>10636146.164894</v>
      </c>
      <c r="I68" s="2">
        <v>-0.019182840835405</v>
      </c>
      <c r="J68" s="2">
        <v>-0.016967484192779</v>
      </c>
      <c r="K68" s="2">
        <v>0.037111423681195</v>
      </c>
      <c r="L68" s="2">
        <v>-0.30805536653452</v>
      </c>
      <c r="M68" s="2">
        <v>-0.30506268253326</v>
      </c>
      <c r="N68" s="2">
        <v>424.67739656202</v>
      </c>
      <c r="O68" s="2">
        <v>477.37815235311</v>
      </c>
    </row>
    <row r="69" spans="1:15">
      <c r="A69" s="2">
        <v>12.806684939098</v>
      </c>
      <c r="B69" s="2">
        <v>0.037205445233245</v>
      </c>
      <c r="C69" s="2">
        <v>90.254322373321</v>
      </c>
      <c r="D69" s="2">
        <v>0.039008482815927</v>
      </c>
      <c r="E69" s="2">
        <v>5.4963021665273</v>
      </c>
      <c r="F69" s="2">
        <v>0.79205821092053</v>
      </c>
      <c r="G69" s="2">
        <v>55583395.736383</v>
      </c>
      <c r="H69" s="2">
        <v>10765424.24004</v>
      </c>
      <c r="I69" s="2">
        <v>-0.019487110314754</v>
      </c>
      <c r="J69" s="2">
        <v>-0.017238887219887</v>
      </c>
      <c r="K69" s="2">
        <v>0.037689050479012</v>
      </c>
      <c r="L69" s="2">
        <v>-0.3128882687512</v>
      </c>
      <c r="M69" s="2">
        <v>-0.30980040438587</v>
      </c>
      <c r="N69" s="2">
        <v>425.5888367805</v>
      </c>
      <c r="O69" s="2">
        <v>478.46279708753</v>
      </c>
    </row>
    <row r="70" spans="1:15">
      <c r="A70" s="2">
        <v>13.006684939098</v>
      </c>
      <c r="B70" s="2">
        <v>0.037809926193008</v>
      </c>
      <c r="C70" s="2">
        <v>90.253401643031</v>
      </c>
      <c r="D70" s="2">
        <v>0.03961885666443</v>
      </c>
      <c r="E70" s="2">
        <v>5.5013191651692</v>
      </c>
      <c r="F70" s="2">
        <v>0.78910300180144</v>
      </c>
      <c r="G70" s="2">
        <v>56351395.817611</v>
      </c>
      <c r="H70" s="2">
        <v>10895162.437353</v>
      </c>
      <c r="I70" s="2">
        <v>-0.019791170908789</v>
      </c>
      <c r="J70" s="2">
        <v>-0.017510167589761</v>
      </c>
      <c r="K70" s="2">
        <v>0.038266338306206</v>
      </c>
      <c r="L70" s="2">
        <v>-0.31771569528291</v>
      </c>
      <c r="M70" s="2">
        <v>-0.31454458683825</v>
      </c>
      <c r="N70" s="2">
        <v>426.49716218303</v>
      </c>
      <c r="O70" s="2">
        <v>479.54405078339</v>
      </c>
    </row>
    <row r="71" spans="1:15">
      <c r="A71" s="2">
        <v>13.206684939098</v>
      </c>
      <c r="B71" s="2">
        <v>0.038414411465572</v>
      </c>
      <c r="C71" s="2">
        <v>90.252480820384</v>
      </c>
      <c r="D71" s="2">
        <v>0.040229230938591</v>
      </c>
      <c r="E71" s="2">
        <v>5.5063359928378</v>
      </c>
      <c r="F71" s="2">
        <v>0.78615823241755</v>
      </c>
      <c r="G71" s="2">
        <v>57122359.243397</v>
      </c>
      <c r="H71" s="2">
        <v>11025356.56292</v>
      </c>
      <c r="I71" s="2">
        <v>-0.020095024702025</v>
      </c>
      <c r="J71" s="2">
        <v>-0.017781326038524</v>
      </c>
      <c r="K71" s="2">
        <v>0.038843287560348</v>
      </c>
      <c r="L71" s="2">
        <v>-0.32256005119217</v>
      </c>
      <c r="M71" s="2">
        <v>-0.31929736281349</v>
      </c>
      <c r="N71" s="2">
        <v>427.40131904253</v>
      </c>
      <c r="O71" s="2">
        <v>480.62085394407</v>
      </c>
    </row>
    <row r="72" spans="1:15">
      <c r="A72" s="2">
        <v>13.406684939098</v>
      </c>
      <c r="B72" s="2">
        <v>0.03901889639286</v>
      </c>
      <c r="C72" s="2">
        <v>90.2515601079</v>
      </c>
      <c r="D72" s="2">
        <v>0.040839606339913</v>
      </c>
      <c r="E72" s="2">
        <v>5.51135230977</v>
      </c>
      <c r="F72" s="2">
        <v>0.78322385456585</v>
      </c>
      <c r="G72" s="2">
        <v>57896247.075577</v>
      </c>
      <c r="H72" s="2">
        <v>11156000.028807</v>
      </c>
      <c r="I72" s="2">
        <v>-0.020398669964586</v>
      </c>
      <c r="J72" s="2">
        <v>-0.018052361575886</v>
      </c>
      <c r="K72" s="2">
        <v>0.039419898638413</v>
      </c>
      <c r="L72" s="2">
        <v>-0.32741563868308</v>
      </c>
      <c r="M72" s="2">
        <v>-0.32406102778979</v>
      </c>
      <c r="N72" s="2">
        <v>428.30268506202</v>
      </c>
      <c r="O72" s="2">
        <v>481.69462100837</v>
      </c>
    </row>
    <row r="73" spans="1:15">
      <c r="A73" s="2">
        <v>13.606684939098</v>
      </c>
      <c r="B73" s="2">
        <v>0.039623384483592</v>
      </c>
      <c r="C73" s="2">
        <v>90.250639512723</v>
      </c>
      <c r="D73" s="2">
        <v>0.041449984686025</v>
      </c>
      <c r="E73" s="2">
        <v>5.5163679773007</v>
      </c>
      <c r="F73" s="2">
        <v>0.78029969396484</v>
      </c>
      <c r="G73" s="2">
        <v>58673031.670635</v>
      </c>
      <c r="H73" s="2">
        <v>11287088.145151</v>
      </c>
      <c r="I73" s="2">
        <v>-0.020702109696266</v>
      </c>
      <c r="J73" s="2">
        <v>-0.018323272709886</v>
      </c>
      <c r="K73" s="2">
        <v>0.039996171949184</v>
      </c>
      <c r="L73" s="2">
        <v>-0.33226163084096</v>
      </c>
      <c r="M73" s="2">
        <v>-0.3288217665356</v>
      </c>
      <c r="N73" s="2">
        <v>429.20074201296</v>
      </c>
      <c r="O73" s="2">
        <v>482.76477501881</v>
      </c>
    </row>
    <row r="74" spans="1:15">
      <c r="A74" s="2">
        <v>13.806684939098</v>
      </c>
      <c r="B74" s="2">
        <v>0.040227875052639</v>
      </c>
      <c r="C74" s="2">
        <v>90.249718725547</v>
      </c>
      <c r="D74" s="2">
        <v>0.042060366778159</v>
      </c>
      <c r="E74" s="2">
        <v>4.115132597989</v>
      </c>
      <c r="F74" s="2">
        <v>0.77738546382127</v>
      </c>
      <c r="G74" s="2">
        <v>59452678.885948</v>
      </c>
      <c r="H74" s="2">
        <v>11418615.12591</v>
      </c>
      <c r="I74" s="2">
        <v>-0.021005343569124</v>
      </c>
      <c r="J74" s="2">
        <v>-0.01859405888067</v>
      </c>
      <c r="K74" s="2">
        <v>0.04057210790254</v>
      </c>
      <c r="L74" s="2">
        <v>-0.33716378376024</v>
      </c>
      <c r="M74" s="2">
        <v>-0.33362139080059</v>
      </c>
      <c r="N74" s="2">
        <v>430.09616946123</v>
      </c>
      <c r="O74" s="2">
        <v>483.83212730433</v>
      </c>
    </row>
    <row r="75" spans="1:15">
      <c r="A75" s="2">
        <v>14.006684939098</v>
      </c>
      <c r="B75" s="2">
        <v>0.040832371487988</v>
      </c>
      <c r="C75" s="2">
        <v>90.24879776088</v>
      </c>
      <c r="D75" s="2">
        <v>0.042670754742266</v>
      </c>
      <c r="E75" s="2">
        <v>4.1201464660418</v>
      </c>
      <c r="F75" s="2">
        <v>0.77448129761465</v>
      </c>
      <c r="G75" s="2">
        <v>60235163.228318</v>
      </c>
      <c r="H75" s="2">
        <v>11550576.666207</v>
      </c>
      <c r="I75" s="2">
        <v>-0.0213083732424</v>
      </c>
      <c r="J75" s="2">
        <v>-0.01886471999767</v>
      </c>
      <c r="K75" s="2">
        <v>0.041147706887835</v>
      </c>
      <c r="L75" s="2">
        <v>-0.34205662105456</v>
      </c>
      <c r="M75" s="2">
        <v>-0.33841727691562</v>
      </c>
      <c r="N75" s="2">
        <v>430.98834553237</v>
      </c>
      <c r="O75" s="2">
        <v>484.89595444597</v>
      </c>
    </row>
    <row r="76" spans="1:15">
      <c r="A76" s="2">
        <v>14.206684939098</v>
      </c>
      <c r="B76" s="2">
        <v>0.041436876373704</v>
      </c>
      <c r="C76" s="2">
        <v>90.247876733971</v>
      </c>
      <c r="D76" s="2">
        <v>0.04328114999771</v>
      </c>
      <c r="E76" s="2">
        <v>4.125159594703</v>
      </c>
      <c r="F76" s="2">
        <v>0.77158707986426</v>
      </c>
      <c r="G76" s="2">
        <v>61020457.968071</v>
      </c>
      <c r="H76" s="2">
        <v>11682968.253503</v>
      </c>
      <c r="I76" s="2">
        <v>-0.021611200195081</v>
      </c>
      <c r="J76" s="2">
        <v>-0.019135255508745</v>
      </c>
      <c r="K76" s="2">
        <v>0.041722969313877</v>
      </c>
      <c r="L76" s="2">
        <v>-0.34695354815869</v>
      </c>
      <c r="M76" s="2">
        <v>-0.34322162231163</v>
      </c>
      <c r="N76" s="2">
        <v>431.8770448627</v>
      </c>
      <c r="O76" s="2">
        <v>485.95604516775</v>
      </c>
    </row>
    <row r="77" spans="1:15">
      <c r="A77" s="2">
        <v>14.406684939098</v>
      </c>
      <c r="B77" s="2">
        <v>0.042041390748363</v>
      </c>
      <c r="C77" s="2">
        <v>90.246955877763</v>
      </c>
      <c r="D77" s="2">
        <v>0.043891553976055</v>
      </c>
      <c r="E77" s="2">
        <v>4.1301719808847</v>
      </c>
      <c r="F77" s="2">
        <v>0.76870258490256</v>
      </c>
      <c r="G77" s="2">
        <v>61808531.53704</v>
      </c>
      <c r="H77" s="2">
        <v>11815784.548729</v>
      </c>
      <c r="I77" s="2">
        <v>-0.021913825619428</v>
      </c>
      <c r="J77" s="2">
        <v>-0.019405664160338</v>
      </c>
      <c r="K77" s="2">
        <v>0.042297895584194</v>
      </c>
      <c r="L77" s="2">
        <v>-0.35186741729116</v>
      </c>
      <c r="M77" s="2">
        <v>-0.34803632158427</v>
      </c>
      <c r="N77" s="2">
        <v>432.76249509427</v>
      </c>
      <c r="O77" s="2">
        <v>487.01268249862</v>
      </c>
    </row>
    <row r="78" spans="1:15">
      <c r="A78" s="2">
        <v>14.606684939098</v>
      </c>
      <c r="B78" s="2">
        <v>0.042645913283609</v>
      </c>
      <c r="C78" s="2">
        <v>90.246035253632</v>
      </c>
      <c r="D78" s="2">
        <v>0.044501968026257</v>
      </c>
      <c r="E78" s="2">
        <v>4.1351833264468</v>
      </c>
      <c r="F78" s="2">
        <v>0.76582742496992</v>
      </c>
      <c r="G78" s="2">
        <v>62599353.256504</v>
      </c>
      <c r="H78" s="2">
        <v>11949020.367146</v>
      </c>
      <c r="I78" s="2">
        <v>-0.022216248011194</v>
      </c>
      <c r="J78" s="2">
        <v>-0.019675947410143</v>
      </c>
      <c r="K78" s="2">
        <v>0.042872486096089</v>
      </c>
      <c r="L78" s="2">
        <v>-0.35679314955842</v>
      </c>
      <c r="M78" s="2">
        <v>-0.35286390616725</v>
      </c>
      <c r="N78" s="2">
        <v>433.64491538807</v>
      </c>
      <c r="O78" s="2">
        <v>488.06603537579</v>
      </c>
    </row>
    <row r="79" spans="1:15">
      <c r="A79" s="2">
        <v>14.806684939098</v>
      </c>
      <c r="B79" s="2">
        <v>0.043250447927563</v>
      </c>
      <c r="C79" s="2">
        <v>90.245114291318</v>
      </c>
      <c r="D79" s="2">
        <v>0.045112393180909</v>
      </c>
      <c r="E79" s="2">
        <v>4.1401939109507</v>
      </c>
      <c r="F79" s="2">
        <v>0.76296208434972</v>
      </c>
      <c r="G79" s="2">
        <v>63392898.233506</v>
      </c>
      <c r="H79" s="2">
        <v>12082671.529533</v>
      </c>
      <c r="I79" s="2">
        <v>-0.022518469480838</v>
      </c>
      <c r="J79" s="2">
        <v>-0.019946103731857</v>
      </c>
      <c r="K79" s="2">
        <v>0.043446741228848</v>
      </c>
      <c r="L79" s="2">
        <v>-0.36172907953781</v>
      </c>
      <c r="M79" s="2">
        <v>-0.35770185655456</v>
      </c>
      <c r="N79" s="2">
        <v>434.52417434136</v>
      </c>
      <c r="O79" s="2">
        <v>489.11597514536</v>
      </c>
    </row>
    <row r="80" spans="1:15">
      <c r="A80" s="2">
        <v>15.006684939098</v>
      </c>
      <c r="B80" s="2">
        <v>0.043854991673125</v>
      </c>
      <c r="C80" s="2">
        <v>90.244193760928</v>
      </c>
      <c r="D80" s="2">
        <v>0.045722830723082</v>
      </c>
      <c r="E80" s="2">
        <v>4.1452034986573</v>
      </c>
      <c r="F80" s="2">
        <v>0.76010596311923</v>
      </c>
      <c r="G80" s="2">
        <v>64189131.825612</v>
      </c>
      <c r="H80" s="2">
        <v>12216732.181024</v>
      </c>
      <c r="I80" s="2">
        <v>-0.022820489400111</v>
      </c>
      <c r="J80" s="2">
        <v>-0.020216133538732</v>
      </c>
      <c r="K80" s="2">
        <v>0.044020661423681</v>
      </c>
      <c r="L80" s="2">
        <v>-0.36676769477378</v>
      </c>
      <c r="M80" s="2">
        <v>-0.36265182281557</v>
      </c>
      <c r="N80" s="2">
        <v>435.40079372911</v>
      </c>
      <c r="O80" s="2">
        <v>490.16321168053</v>
      </c>
    </row>
    <row r="81" spans="1:15">
      <c r="A81" s="2">
        <v>15.206684939098</v>
      </c>
      <c r="B81" s="2">
        <v>0.044459545659791</v>
      </c>
      <c r="C81" s="2">
        <v>90.243273109207</v>
      </c>
      <c r="D81" s="2">
        <v>0.046333281002943</v>
      </c>
      <c r="E81" s="2">
        <v>4.150212444271</v>
      </c>
      <c r="F81" s="2">
        <v>0.75725900550767</v>
      </c>
      <c r="G81" s="2">
        <v>64988027.269658</v>
      </c>
      <c r="H81" s="2">
        <v>12351197.825425</v>
      </c>
      <c r="I81" s="2">
        <v>-0.023122308453948</v>
      </c>
      <c r="J81" s="2">
        <v>-0.020486034449433</v>
      </c>
      <c r="K81" s="2">
        <v>0.044594247052547</v>
      </c>
      <c r="L81" s="2">
        <v>-0.37163117039634</v>
      </c>
      <c r="M81" s="2">
        <v>-0.36741090740565</v>
      </c>
      <c r="N81" s="2">
        <v>436.27508631468</v>
      </c>
      <c r="O81" s="2">
        <v>491.20780125608</v>
      </c>
    </row>
    <row r="82" spans="1:15">
      <c r="A82" s="2">
        <v>15.406684939098</v>
      </c>
      <c r="B82" s="2">
        <v>0.045064119431806</v>
      </c>
      <c r="C82" s="2">
        <v>90.24235226445</v>
      </c>
      <c r="D82" s="2">
        <v>0.046943746984037</v>
      </c>
      <c r="E82" s="2">
        <v>4.1552205130111</v>
      </c>
      <c r="F82" s="2">
        <v>0.75442178166803</v>
      </c>
      <c r="G82" s="2">
        <v>65789569.016073</v>
      </c>
      <c r="H82" s="2">
        <v>12486065.868553</v>
      </c>
      <c r="I82" s="2">
        <v>-0.023423929223171</v>
      </c>
      <c r="J82" s="2">
        <v>-0.020755809683403</v>
      </c>
      <c r="K82" s="2">
        <v>0.045167498512423</v>
      </c>
      <c r="L82" s="2">
        <v>-0.37660883552642</v>
      </c>
      <c r="M82" s="2">
        <v>-0.3722798627954</v>
      </c>
      <c r="N82" s="2">
        <v>437.14523840703</v>
      </c>
      <c r="O82" s="2">
        <v>492.24799757277</v>
      </c>
    </row>
    <row r="83" spans="1:15">
      <c r="A83" s="2">
        <v>15.606684939098</v>
      </c>
      <c r="B83" s="2">
        <v>0.045668702056762</v>
      </c>
      <c r="C83" s="2">
        <v>90.241431768083</v>
      </c>
      <c r="D83" s="2">
        <v>0.047554227981278</v>
      </c>
      <c r="E83" s="2">
        <v>4.1602271632866</v>
      </c>
      <c r="F83" s="2">
        <v>0.75159404085257</v>
      </c>
      <c r="G83" s="2">
        <v>66593713.025522</v>
      </c>
      <c r="H83" s="2">
        <v>12621328.891475</v>
      </c>
      <c r="I83" s="2">
        <v>-0.023725350065117</v>
      </c>
      <c r="J83" s="2">
        <v>-0.021025456542127</v>
      </c>
      <c r="K83" s="2">
        <v>0.045740416231166</v>
      </c>
      <c r="L83" s="2">
        <v>-0.38162753586083</v>
      </c>
      <c r="M83" s="2">
        <v>-0.37719717565983</v>
      </c>
      <c r="N83" s="2">
        <v>438.01329370054</v>
      </c>
      <c r="O83" s="2">
        <v>493.28594003459</v>
      </c>
    </row>
    <row r="84" spans="1:15">
      <c r="A84" s="2">
        <v>15.806684939098</v>
      </c>
      <c r="B84" s="2">
        <v>0.046273303671854</v>
      </c>
      <c r="C84" s="2">
        <v>90.24051138668</v>
      </c>
      <c r="D84" s="2">
        <v>0.048164726245473</v>
      </c>
      <c r="E84" s="2">
        <v>4.1652328913857</v>
      </c>
      <c r="F84" s="2">
        <v>0.74877575517281</v>
      </c>
      <c r="G84" s="2">
        <v>67400444.445524</v>
      </c>
      <c r="H84" s="2">
        <v>12756984.418305</v>
      </c>
      <c r="I84" s="2">
        <v>-0.024026571587557</v>
      </c>
      <c r="J84" s="2">
        <v>-0.021294976533542</v>
      </c>
      <c r="K84" s="2">
        <v>0.046313000567101</v>
      </c>
      <c r="L84" s="2">
        <v>-0.38658794033132</v>
      </c>
      <c r="M84" s="2">
        <v>-0.38205588577869</v>
      </c>
      <c r="N84" s="2">
        <v>438.8781845707</v>
      </c>
      <c r="O84" s="2">
        <v>494.32042775966</v>
      </c>
    </row>
    <row r="85" spans="1:15">
      <c r="A85" s="2">
        <v>16.006684939098</v>
      </c>
      <c r="B85" s="2">
        <v>0.046877917986539</v>
      </c>
      <c r="C85" s="2">
        <v>90.239591057402</v>
      </c>
      <c r="D85" s="2">
        <v>0.048775242775535</v>
      </c>
      <c r="E85" s="2">
        <v>4.1702378252853</v>
      </c>
      <c r="F85" s="2">
        <v>0.7459663303554</v>
      </c>
      <c r="G85" s="2">
        <v>68209724.946711</v>
      </c>
      <c r="H85" s="2">
        <v>12893025.98921</v>
      </c>
      <c r="I85" s="2">
        <v>-0.024327596077801</v>
      </c>
      <c r="J85" s="2">
        <v>-0.02156436538342</v>
      </c>
      <c r="K85" s="2">
        <v>0.046885251931507</v>
      </c>
      <c r="L85" s="2">
        <v>-0.39157973408968</v>
      </c>
      <c r="M85" s="2">
        <v>-0.38694361999969</v>
      </c>
      <c r="N85" s="2">
        <v>439.74116719434</v>
      </c>
      <c r="O85" s="2">
        <v>495.35298159936</v>
      </c>
    </row>
    <row r="86" spans="1:15">
      <c r="A86" s="2">
        <v>16.206684939098</v>
      </c>
      <c r="B86" s="2">
        <v>0.047482556053085</v>
      </c>
      <c r="C86" s="2">
        <v>90.238670748334</v>
      </c>
      <c r="D86" s="2">
        <v>0.049385779823728</v>
      </c>
      <c r="E86" s="2">
        <v>4.1752423429533</v>
      </c>
      <c r="F86" s="2">
        <v>0.7431661295083</v>
      </c>
      <c r="G86" s="2">
        <v>69021539.913543</v>
      </c>
      <c r="H86" s="2">
        <v>13029451.174204</v>
      </c>
      <c r="I86" s="2">
        <v>-0.024628425568854</v>
      </c>
      <c r="J86" s="2">
        <v>-0.021833625256093</v>
      </c>
      <c r="K86" s="2">
        <v>0.047457170720777</v>
      </c>
      <c r="L86" s="2">
        <v>-0.39661915708771</v>
      </c>
      <c r="M86" s="2">
        <v>-0.39188006354853</v>
      </c>
      <c r="N86" s="2">
        <v>440.60060172946</v>
      </c>
      <c r="O86" s="2">
        <v>496.3818352677</v>
      </c>
    </row>
    <row r="87" spans="1:15">
      <c r="A87" s="2">
        <v>16.406684939098</v>
      </c>
      <c r="B87" s="2">
        <v>0.048087214539331</v>
      </c>
      <c r="C87" s="2">
        <v>90.23775075926</v>
      </c>
      <c r="D87" s="2">
        <v>0.049996337371985</v>
      </c>
      <c r="E87" s="2">
        <v>4.1802458690974</v>
      </c>
      <c r="F87" s="2">
        <v>0.74037533350756</v>
      </c>
      <c r="G87" s="2">
        <v>69835858.945009</v>
      </c>
      <c r="H87" s="2">
        <v>13166254.892541</v>
      </c>
      <c r="I87" s="2">
        <v>-0.024929058384346</v>
      </c>
      <c r="J87" s="2">
        <v>-0.022102756223678</v>
      </c>
      <c r="K87" s="2">
        <v>0.048028757330634</v>
      </c>
      <c r="L87" s="2">
        <v>-0.40165155877569</v>
      </c>
      <c r="M87" s="2">
        <v>-0.39681086618239</v>
      </c>
      <c r="N87" s="2">
        <v>441.45724991952</v>
      </c>
      <c r="O87" s="2">
        <v>497.40766823704</v>
      </c>
    </row>
    <row r="88" spans="1:15">
      <c r="A88" s="2">
        <v>16.606684939098</v>
      </c>
      <c r="B88" s="2">
        <v>0.04869189683612</v>
      </c>
      <c r="C88" s="2">
        <v>90.23683111103</v>
      </c>
      <c r="D88" s="2">
        <v>0.050606917210232</v>
      </c>
      <c r="E88" s="2">
        <v>4.1852479711425</v>
      </c>
      <c r="F88" s="2">
        <v>0.73759325286451</v>
      </c>
      <c r="G88" s="2">
        <v>70652660.843633</v>
      </c>
      <c r="H88" s="2">
        <v>13303433.604591</v>
      </c>
      <c r="I88" s="2">
        <v>-0.025229495258931</v>
      </c>
      <c r="J88" s="2">
        <v>-0.022371759106949</v>
      </c>
      <c r="K88" s="2">
        <v>0.048600012163416</v>
      </c>
      <c r="L88" s="2">
        <v>-0.4066947457232</v>
      </c>
      <c r="M88" s="2">
        <v>-0.4017508177611</v>
      </c>
      <c r="N88" s="2">
        <v>442.31062983786</v>
      </c>
      <c r="O88" s="2">
        <v>498.42997077307</v>
      </c>
    </row>
    <row r="89" spans="1:15">
      <c r="A89" s="2">
        <v>16.806684939098</v>
      </c>
      <c r="B89" s="2">
        <v>0.049296598032959</v>
      </c>
      <c r="C89" s="2">
        <v>90.235911528696</v>
      </c>
      <c r="D89" s="2">
        <v>0.051217519526935</v>
      </c>
      <c r="E89" s="2">
        <v>4.1902490931429</v>
      </c>
      <c r="F89" s="2">
        <v>0.73482000593683</v>
      </c>
      <c r="G89" s="2">
        <v>71471910.6026</v>
      </c>
      <c r="H89" s="2">
        <v>13440981.426526</v>
      </c>
      <c r="I89" s="2">
        <v>-0.025529735022819</v>
      </c>
      <c r="J89" s="2">
        <v>-0.022640633005499</v>
      </c>
      <c r="K89" s="2">
        <v>0.049170935599557</v>
      </c>
      <c r="L89" s="2">
        <v>-0.41173861333921</v>
      </c>
      <c r="M89" s="2">
        <v>-0.40668409033977</v>
      </c>
      <c r="N89" s="2">
        <v>443.16181984819</v>
      </c>
      <c r="O89" s="2">
        <v>499.44992112594</v>
      </c>
    </row>
    <row r="90" spans="1:15">
      <c r="A90" s="2">
        <v>17</v>
      </c>
      <c r="B90" s="2">
        <v>0.049880966497232</v>
      </c>
      <c r="C90" s="2">
        <v>90.235026036386</v>
      </c>
      <c r="D90" s="2">
        <v>0.051807721836894</v>
      </c>
      <c r="E90" s="2">
        <v>4.1950813087048</v>
      </c>
      <c r="F90" s="2">
        <v>0.73214791520847</v>
      </c>
      <c r="G90" s="2">
        <v>72265897.500498</v>
      </c>
      <c r="H90" s="2">
        <v>13574247.864361</v>
      </c>
      <c r="I90" s="2">
        <v>-0.025819722532024</v>
      </c>
      <c r="J90" s="2">
        <v>-0.022900374483041</v>
      </c>
      <c r="K90" s="2">
        <v>0.049722461558297</v>
      </c>
      <c r="L90" s="2">
        <v>-0.41598124105684</v>
      </c>
      <c r="M90" s="2">
        <v>-0.41070111378978</v>
      </c>
      <c r="N90" s="2">
        <v>444.0054805129</v>
      </c>
      <c r="O90" s="2">
        <v>500.45834905188</v>
      </c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topLeftCell="A64" workbookViewId="0">
      <selection activeCell="A1" sqref="A1:O90"/>
    </sheetView>
  </sheetViews>
  <sheetFormatPr defaultColWidth="8.81481481481481" defaultRowHeight="15"/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2">
        <v>0.0025830812468784</v>
      </c>
      <c r="B3" s="3">
        <v>4.4901358807698e-26</v>
      </c>
      <c r="C3" s="2">
        <v>90.287236841511</v>
      </c>
      <c r="D3" s="3">
        <v>7.0006023220313e-6</v>
      </c>
      <c r="E3" s="2">
        <v>6.6107832515794</v>
      </c>
      <c r="F3" s="2">
        <v>0.99204058932192</v>
      </c>
      <c r="G3" s="2">
        <v>16000000</v>
      </c>
      <c r="H3" s="2">
        <v>4000000</v>
      </c>
      <c r="I3" s="3">
        <v>-2.1112957603872e-6</v>
      </c>
      <c r="J3" s="3">
        <v>-1.891297190437e-6</v>
      </c>
      <c r="K3" s="3">
        <v>7.7492130839279e-6</v>
      </c>
      <c r="L3" s="3">
        <v>-1.4802030662204e-7</v>
      </c>
      <c r="M3" s="3">
        <v>-1.5079876558485e-7</v>
      </c>
      <c r="N3" s="2">
        <v>1.6278583382669</v>
      </c>
      <c r="O3" s="2">
        <v>1.740346037191</v>
      </c>
    </row>
    <row r="4" spans="1:15">
      <c r="A4" s="2">
        <v>0.018444056862426</v>
      </c>
      <c r="B4" s="3">
        <v>4.1330963820023e-23</v>
      </c>
      <c r="C4" s="2">
        <v>90.287541351832</v>
      </c>
      <c r="D4" s="3">
        <v>4.9988364396314e-5</v>
      </c>
      <c r="E4" s="2">
        <v>6.610795516708</v>
      </c>
      <c r="F4" s="2">
        <v>0.9920979272479</v>
      </c>
      <c r="G4" s="2">
        <v>16000000</v>
      </c>
      <c r="H4" s="2">
        <v>4000000</v>
      </c>
      <c r="I4" s="3">
        <v>-1.5077590383912e-5</v>
      </c>
      <c r="J4" s="3">
        <v>-1.350652372005e-5</v>
      </c>
      <c r="K4" s="3">
        <v>5.5330607623613e-5</v>
      </c>
      <c r="L4" s="3">
        <v>-7.5428324208541e-6</v>
      </c>
      <c r="M4" s="3">
        <v>-7.6850424757637e-6</v>
      </c>
      <c r="N4" s="2">
        <v>11.626550267611</v>
      </c>
      <c r="O4" s="2">
        <v>12.429681972174</v>
      </c>
    </row>
    <row r="5" spans="1:15">
      <c r="A5" s="2">
        <v>0.1</v>
      </c>
      <c r="B5" s="3">
        <v>1.7523567141049e-16</v>
      </c>
      <c r="C5" s="2">
        <v>90.28915041961</v>
      </c>
      <c r="D5" s="2">
        <v>0.0002710793485611</v>
      </c>
      <c r="E5" s="2">
        <v>6.6108577974295</v>
      </c>
      <c r="F5" s="2">
        <v>0.99239251133861</v>
      </c>
      <c r="G5" s="2">
        <v>16000000</v>
      </c>
      <c r="H5" s="2">
        <v>4000000</v>
      </c>
      <c r="I5" s="3">
        <v>-8.1819077968264e-5</v>
      </c>
      <c r="J5" s="3">
        <v>-7.3294521679946e-5</v>
      </c>
      <c r="K5" s="2">
        <v>0.00029995406276327</v>
      </c>
      <c r="L5" s="2">
        <v>-0.00022015406175331</v>
      </c>
      <c r="M5" s="2">
        <v>-0.00022451209957195</v>
      </c>
      <c r="N5" s="2">
        <v>63.133803619597</v>
      </c>
      <c r="O5" s="2">
        <v>67.486341186844</v>
      </c>
    </row>
    <row r="6" spans="1:15">
      <c r="A6" s="2">
        <v>0.20668493909835</v>
      </c>
      <c r="B6" s="3">
        <v>2.7442360531389e-12</v>
      </c>
      <c r="C6" s="2">
        <v>90.291374338186</v>
      </c>
      <c r="D6" s="2">
        <v>0.00056041227981903</v>
      </c>
      <c r="E6" s="2">
        <v>6.6109375526896</v>
      </c>
      <c r="F6" s="2">
        <v>0.99277727313661</v>
      </c>
      <c r="G6" s="2">
        <v>16000000.001637</v>
      </c>
      <c r="H6" s="2">
        <v>4000000.0002845</v>
      </c>
      <c r="I6" s="2">
        <v>-0.00016927833659847</v>
      </c>
      <c r="J6" s="2">
        <v>-0.00015164380428769</v>
      </c>
      <c r="K6" s="2">
        <v>0.00061985862392377</v>
      </c>
      <c r="L6" s="2">
        <v>-0.00094403607694678</v>
      </c>
      <c r="M6" s="2">
        <v>-0.00096250670900523</v>
      </c>
      <c r="N6" s="2">
        <v>130.72435102523</v>
      </c>
      <c r="O6" s="2">
        <v>139.71529364729</v>
      </c>
    </row>
    <row r="7" spans="1:15">
      <c r="A7" s="2">
        <v>0.40668493909835</v>
      </c>
      <c r="B7" s="3">
        <v>7.5588964647259e-7</v>
      </c>
      <c r="C7" s="2">
        <v>90.295966860714</v>
      </c>
      <c r="D7" s="2">
        <v>0.0011033321107452</v>
      </c>
      <c r="E7" s="2">
        <v>6.6110907879767</v>
      </c>
      <c r="F7" s="2">
        <v>0.99349204185442</v>
      </c>
      <c r="G7" s="2">
        <v>16000431.512796</v>
      </c>
      <c r="H7" s="2">
        <v>4000074.984571</v>
      </c>
      <c r="I7" s="2">
        <v>-0.00033399782223942</v>
      </c>
      <c r="J7" s="2">
        <v>-0.00029916338002234</v>
      </c>
      <c r="K7" s="2">
        <v>0.0012192955334187</v>
      </c>
      <c r="L7" s="2">
        <v>-0.0036757470136431</v>
      </c>
      <c r="M7" s="2">
        <v>-0.0037434701318589</v>
      </c>
      <c r="N7" s="2">
        <v>258.04790104535</v>
      </c>
      <c r="O7" s="2">
        <v>275.72099446453</v>
      </c>
    </row>
    <row r="8" spans="1:15">
      <c r="A8" s="2">
        <v>0.60668493909835</v>
      </c>
      <c r="B8" s="2">
        <v>0.00018691547018441</v>
      </c>
      <c r="C8" s="2">
        <v>90.299643279951</v>
      </c>
      <c r="D8" s="2">
        <v>0.0016682051664768</v>
      </c>
      <c r="E8" s="2">
        <v>6.6135551833243</v>
      </c>
      <c r="F8" s="2">
        <v>0.99340993883015</v>
      </c>
      <c r="G8" s="2">
        <v>16111967.692772</v>
      </c>
      <c r="H8" s="2">
        <v>4019450.5547359</v>
      </c>
      <c r="I8" s="2">
        <v>-0.00054165605661177</v>
      </c>
      <c r="J8" s="2">
        <v>-0.0004822572748139</v>
      </c>
      <c r="K8" s="2">
        <v>0.0018183651859695</v>
      </c>
      <c r="L8" s="2">
        <v>-0.012754701176682</v>
      </c>
      <c r="M8" s="2">
        <v>-0.012297054112966</v>
      </c>
      <c r="N8" s="2">
        <v>351.68042582754</v>
      </c>
      <c r="O8" s="2">
        <v>377.68616141367</v>
      </c>
    </row>
    <row r="9" spans="1:15">
      <c r="A9" s="2">
        <v>0.80668493909835</v>
      </c>
      <c r="B9" s="2">
        <v>0.00073963344744356</v>
      </c>
      <c r="C9" s="2">
        <v>90.30247491002</v>
      </c>
      <c r="D9" s="2">
        <v>0.0022670746702927</v>
      </c>
      <c r="E9" s="2">
        <v>6.6188639118438</v>
      </c>
      <c r="F9" s="2">
        <v>0.99178309256389</v>
      </c>
      <c r="G9" s="2">
        <v>16467091.520737</v>
      </c>
      <c r="H9" s="2">
        <v>4081103.4900565</v>
      </c>
      <c r="I9" s="2">
        <v>-0.00082658578969462</v>
      </c>
      <c r="J9" s="2">
        <v>-0.000737929926024</v>
      </c>
      <c r="K9" s="2">
        <v>0.0024170699099556</v>
      </c>
      <c r="L9" s="2">
        <v>-0.012701307647326</v>
      </c>
      <c r="M9" s="2">
        <v>-0.01234645542344</v>
      </c>
      <c r="N9" s="2">
        <v>378.22508622022</v>
      </c>
      <c r="O9" s="2">
        <v>410.53807566949</v>
      </c>
    </row>
    <row r="10" spans="1:15">
      <c r="A10" s="2">
        <v>1.0066849390983</v>
      </c>
      <c r="B10" s="2">
        <v>0.0013506153327604</v>
      </c>
      <c r="C10" s="2">
        <v>90.305887035817</v>
      </c>
      <c r="D10" s="2">
        <v>0.0028752478358492</v>
      </c>
      <c r="E10" s="2">
        <v>6.6229630046014</v>
      </c>
      <c r="F10" s="2">
        <v>0.98913071107569</v>
      </c>
      <c r="G10" s="2">
        <v>16897459.359937</v>
      </c>
      <c r="H10" s="2">
        <v>4155765.5323084</v>
      </c>
      <c r="I10" s="2">
        <v>-0.0011282983431761</v>
      </c>
      <c r="J10" s="2">
        <v>-0.0010098270357348</v>
      </c>
      <c r="K10" s="2">
        <v>0.0030154099186926</v>
      </c>
      <c r="L10" s="2">
        <v>-0.020850772994617</v>
      </c>
      <c r="M10" s="2">
        <v>-0.020674770278931</v>
      </c>
      <c r="N10" s="2">
        <v>389.72139233768</v>
      </c>
      <c r="O10" s="2">
        <v>426.65194802138</v>
      </c>
    </row>
    <row r="11" spans="1:15">
      <c r="A11" s="2">
        <v>1.2066849390983</v>
      </c>
      <c r="B11" s="2">
        <v>0.0019620963846657</v>
      </c>
      <c r="C11" s="2">
        <v>90.307850158014</v>
      </c>
      <c r="D11" s="2">
        <v>0.0034885549849215</v>
      </c>
      <c r="E11" s="2">
        <v>6.6268551251112</v>
      </c>
      <c r="F11" s="2">
        <v>0.98553328151422</v>
      </c>
      <c r="G11" s="2">
        <v>17362732.873393</v>
      </c>
      <c r="H11" s="2">
        <v>4236431.4827051</v>
      </c>
      <c r="I11" s="2">
        <v>-0.0014360287314482</v>
      </c>
      <c r="J11" s="2">
        <v>-0.0012857462336801</v>
      </c>
      <c r="K11" s="2">
        <v>0.0036133844039935</v>
      </c>
      <c r="L11" s="2">
        <v>-0.030279836289202</v>
      </c>
      <c r="M11" s="2">
        <v>-0.030218378286026</v>
      </c>
      <c r="N11" s="2">
        <v>396.48746863179</v>
      </c>
      <c r="O11" s="2">
        <v>436.54173199107</v>
      </c>
    </row>
    <row r="12" spans="1:15">
      <c r="A12" s="2">
        <v>1.4066849390983</v>
      </c>
      <c r="B12" s="2">
        <v>0.0025702194829828</v>
      </c>
      <c r="C12" s="2">
        <v>90.30860473626</v>
      </c>
      <c r="D12" s="2">
        <v>0.0041039647295238</v>
      </c>
      <c r="E12" s="2">
        <v>6.6308090895688</v>
      </c>
      <c r="F12" s="2">
        <v>0.98173884599572</v>
      </c>
      <c r="G12" s="2">
        <v>17851410.953747</v>
      </c>
      <c r="H12" s="2">
        <v>4321104.8432938</v>
      </c>
      <c r="I12" s="2">
        <v>-0.0017471849907904</v>
      </c>
      <c r="J12" s="2">
        <v>-0.0015629230498245</v>
      </c>
      <c r="K12" s="2">
        <v>0.004210994795863</v>
      </c>
      <c r="L12" s="2">
        <v>-0.036100187596818</v>
      </c>
      <c r="M12" s="2">
        <v>-0.036384641906056</v>
      </c>
      <c r="N12" s="2">
        <v>400.90892622638</v>
      </c>
      <c r="O12" s="2">
        <v>442.98713207205</v>
      </c>
    </row>
    <row r="13" spans="1:15">
      <c r="A13" s="2">
        <v>1.6066849390983</v>
      </c>
      <c r="B13" s="2">
        <v>0.0031767607304307</v>
      </c>
      <c r="C13" s="2">
        <v>90.308624590466</v>
      </c>
      <c r="D13" s="2">
        <v>0.0047200437510256</v>
      </c>
      <c r="E13" s="2">
        <v>6.6348578244423</v>
      </c>
      <c r="F13" s="2">
        <v>0.97792425831329</v>
      </c>
      <c r="G13" s="2">
        <v>18356032.973135</v>
      </c>
      <c r="H13" s="2">
        <v>4408489.2967109</v>
      </c>
      <c r="I13" s="2">
        <v>-0.0020604276089329</v>
      </c>
      <c r="J13" s="2">
        <v>-0.0018401611374632</v>
      </c>
      <c r="K13" s="2">
        <v>0.0048082420524353</v>
      </c>
      <c r="L13" s="2">
        <v>-0.042182071347283</v>
      </c>
      <c r="M13" s="2">
        <v>-0.042801022324717</v>
      </c>
      <c r="N13" s="2">
        <v>404.14839087851</v>
      </c>
      <c r="O13" s="2">
        <v>447.60369653441</v>
      </c>
    </row>
    <row r="14" spans="1:15">
      <c r="A14" s="2">
        <v>1.8066849390983</v>
      </c>
      <c r="B14" s="2">
        <v>0.0037825510547665</v>
      </c>
      <c r="C14" s="2">
        <v>90.308206385859</v>
      </c>
      <c r="D14" s="2">
        <v>0.0053360845066193</v>
      </c>
      <c r="E14" s="2">
        <v>6.6389815389984</v>
      </c>
      <c r="F14" s="2">
        <v>0.97409997300971</v>
      </c>
      <c r="G14" s="2">
        <v>18872467.551848</v>
      </c>
      <c r="H14" s="2">
        <v>4497866.6879008</v>
      </c>
      <c r="I14" s="2">
        <v>-0.0023750984818111</v>
      </c>
      <c r="J14" s="2">
        <v>-0.0021169541850576</v>
      </c>
      <c r="K14" s="2">
        <v>0.0054051271790197</v>
      </c>
      <c r="L14" s="2">
        <v>-0.048656763583434</v>
      </c>
      <c r="M14" s="2">
        <v>-0.049441767279324</v>
      </c>
      <c r="N14" s="2">
        <v>406.74729483188</v>
      </c>
      <c r="O14" s="2">
        <v>451.21315824038</v>
      </c>
    </row>
    <row r="15" spans="1:15">
      <c r="A15" s="2">
        <v>2.0066849390983</v>
      </c>
      <c r="B15" s="2">
        <v>0.0043880820951986</v>
      </c>
      <c r="C15" s="2">
        <v>90.307523829639</v>
      </c>
      <c r="D15" s="2">
        <v>0.0059518167985824</v>
      </c>
      <c r="E15" s="2">
        <v>6.6431452705477</v>
      </c>
      <c r="F15" s="2">
        <v>0.97028602290788</v>
      </c>
      <c r="G15" s="2">
        <v>19398481.457263</v>
      </c>
      <c r="H15" s="2">
        <v>4588848.7397455</v>
      </c>
      <c r="I15" s="2">
        <v>-0.0026905441305669</v>
      </c>
      <c r="J15" s="2">
        <v>-0.0023934042880454</v>
      </c>
      <c r="K15" s="2">
        <v>0.006001651060485</v>
      </c>
      <c r="L15" s="2">
        <v>-0.055218917782492</v>
      </c>
      <c r="M15" s="2">
        <v>-0.056114727692238</v>
      </c>
      <c r="N15" s="2">
        <v>408.96338471139</v>
      </c>
      <c r="O15" s="2">
        <v>454.23010159722</v>
      </c>
    </row>
    <row r="16" spans="1:15">
      <c r="A16" s="2">
        <v>2.2066849390983</v>
      </c>
      <c r="B16" s="2">
        <v>0.0049935970643537</v>
      </c>
      <c r="C16" s="2">
        <v>90.306695086813</v>
      </c>
      <c r="D16" s="2">
        <v>0.0065672018823375</v>
      </c>
      <c r="E16" s="2">
        <v>6.6473236568121</v>
      </c>
      <c r="F16" s="2">
        <v>0.9664915176357</v>
      </c>
      <c r="G16" s="2">
        <v>19932795.488228</v>
      </c>
      <c r="H16" s="2">
        <v>4681213.0401053</v>
      </c>
      <c r="I16" s="2">
        <v>-0.0030062525508211</v>
      </c>
      <c r="J16" s="2">
        <v>-0.0026697424813927</v>
      </c>
      <c r="K16" s="2">
        <v>0.0065978142114365</v>
      </c>
      <c r="L16" s="2">
        <v>-0.061726806581502</v>
      </c>
      <c r="M16" s="2">
        <v>-0.062650492909698</v>
      </c>
      <c r="N16" s="2">
        <v>410.92872418888</v>
      </c>
      <c r="O16" s="2">
        <v>456.86029653815</v>
      </c>
    </row>
    <row r="17" spans="1:15">
      <c r="A17" s="2">
        <v>2.4066849390983</v>
      </c>
      <c r="B17" s="2">
        <v>0.0055991859084902</v>
      </c>
      <c r="C17" s="2">
        <v>90.305782647657</v>
      </c>
      <c r="D17" s="2">
        <v>0.0071822875093963</v>
      </c>
      <c r="E17" s="2">
        <v>6.6515134621825</v>
      </c>
      <c r="F17" s="2">
        <v>0.9627278854286</v>
      </c>
      <c r="G17" s="2">
        <v>20474496.262585</v>
      </c>
      <c r="H17" s="2">
        <v>4774800.6840614</v>
      </c>
      <c r="I17" s="2">
        <v>-0.0033219249053876</v>
      </c>
      <c r="J17" s="2">
        <v>-0.0029460894237383</v>
      </c>
      <c r="K17" s="2">
        <v>0.0071936170333221</v>
      </c>
      <c r="L17" s="2">
        <v>-0.067976126841568</v>
      </c>
      <c r="M17" s="2">
        <v>-0.068963717602211</v>
      </c>
      <c r="N17" s="2">
        <v>412.72804530116</v>
      </c>
      <c r="O17" s="2">
        <v>459.22712526345</v>
      </c>
    </row>
    <row r="18" spans="1:15">
      <c r="A18" s="2">
        <v>2.6066849390983</v>
      </c>
      <c r="B18" s="2">
        <v>0.0062049082047741</v>
      </c>
      <c r="C18" s="2">
        <v>90.304821636505</v>
      </c>
      <c r="D18" s="2">
        <v>0.0077971217167102</v>
      </c>
      <c r="E18" s="2">
        <v>6.6557238735324</v>
      </c>
      <c r="F18" s="2">
        <v>0.95899985809045</v>
      </c>
      <c r="G18" s="2">
        <v>21022907.740054</v>
      </c>
      <c r="H18" s="2">
        <v>4869493.912422</v>
      </c>
      <c r="I18" s="2">
        <v>-0.0036374173230707</v>
      </c>
      <c r="J18" s="2">
        <v>-0.0032224828725471</v>
      </c>
      <c r="K18" s="2">
        <v>0.0077890599320007</v>
      </c>
      <c r="L18" s="2">
        <v>-0.074115737671297</v>
      </c>
      <c r="M18" s="2">
        <v>-0.075108737372055</v>
      </c>
      <c r="N18" s="2">
        <v>414.41338333111</v>
      </c>
      <c r="O18" s="2">
        <v>461.4100738184</v>
      </c>
    </row>
    <row r="19" spans="1:15">
      <c r="A19" s="2">
        <v>2.8066849390983</v>
      </c>
      <c r="B19" s="2">
        <v>0.0068108175350314</v>
      </c>
      <c r="C19" s="2">
        <v>90.30383457499</v>
      </c>
      <c r="D19" s="2">
        <v>0.0084117500002552</v>
      </c>
      <c r="E19" s="2">
        <v>6.6599633807307</v>
      </c>
      <c r="F19" s="2">
        <v>0.95530629873969</v>
      </c>
      <c r="G19" s="2">
        <v>21577513.216743</v>
      </c>
      <c r="H19" s="2">
        <v>4965202.585149</v>
      </c>
      <c r="I19" s="2">
        <v>-0.0039526737015295</v>
      </c>
      <c r="J19" s="2">
        <v>-0.0034989153824868</v>
      </c>
      <c r="K19" s="2">
        <v>0.0083841432996257</v>
      </c>
      <c r="L19" s="2">
        <v>-0.080182978401723</v>
      </c>
      <c r="M19" s="2">
        <v>-0.081169492507305</v>
      </c>
      <c r="N19" s="2">
        <v>416.016948007</v>
      </c>
      <c r="O19" s="2">
        <v>463.46427539469</v>
      </c>
    </row>
    <row r="20" spans="1:15">
      <c r="A20" s="2">
        <v>3.0066849390983</v>
      </c>
      <c r="B20" s="2">
        <v>0.0074169045830655</v>
      </c>
      <c r="C20" s="2">
        <v>90.302832915436</v>
      </c>
      <c r="D20" s="2">
        <v>0.0090262006246964</v>
      </c>
      <c r="E20" s="2">
        <v>6.6642376906577</v>
      </c>
      <c r="F20" s="2">
        <v>0.95164448226305</v>
      </c>
      <c r="G20" s="2">
        <v>22137930.22635</v>
      </c>
      <c r="H20" s="2">
        <v>5061859.9224143</v>
      </c>
      <c r="I20" s="2">
        <v>-0.0042676832062815</v>
      </c>
      <c r="J20" s="2">
        <v>-0.0037753526269111</v>
      </c>
      <c r="K20" s="2">
        <v>0.0089788675667129</v>
      </c>
      <c r="L20" s="2">
        <v>-0.086122350552721</v>
      </c>
      <c r="M20" s="2">
        <v>-0.08706898930387</v>
      </c>
      <c r="N20" s="2">
        <v>417.56161978306</v>
      </c>
      <c r="O20" s="2">
        <v>465.42710505376</v>
      </c>
    </row>
    <row r="21" spans="1:15">
      <c r="A21" s="2">
        <v>3.2066849390983</v>
      </c>
      <c r="B21" s="2">
        <v>0.0080231157789559</v>
      </c>
      <c r="C21" s="2">
        <v>90.301821399234</v>
      </c>
      <c r="D21" s="2">
        <v>0.00964047859024</v>
      </c>
      <c r="E21" s="2">
        <v>6.6685489171514</v>
      </c>
      <c r="F21" s="2">
        <v>0.94801352965081</v>
      </c>
      <c r="G21" s="2">
        <v>22703914.226979</v>
      </c>
      <c r="H21" s="2">
        <v>5159423.1599759</v>
      </c>
      <c r="I21" s="2">
        <v>-0.0045824623615171</v>
      </c>
      <c r="J21" s="2">
        <v>-0.0040517585907606</v>
      </c>
      <c r="K21" s="2">
        <v>0.0095732332616308</v>
      </c>
      <c r="L21" s="2">
        <v>-0.092064016977813</v>
      </c>
      <c r="M21" s="2">
        <v>-0.092968552019882</v>
      </c>
      <c r="N21" s="2">
        <v>419.05843061783</v>
      </c>
      <c r="O21" s="2">
        <v>467.31634938355</v>
      </c>
    </row>
    <row r="22" spans="1:15">
      <c r="A22" s="2">
        <v>3.4066849390983</v>
      </c>
      <c r="B22" s="2">
        <v>0.0086293778446385</v>
      </c>
      <c r="C22" s="2">
        <v>90.300802962142</v>
      </c>
      <c r="D22" s="2">
        <v>0.010254578772369</v>
      </c>
      <c r="E22" s="2">
        <v>6.6728967677888</v>
      </c>
      <c r="F22" s="2">
        <v>0.94441136891852</v>
      </c>
      <c r="G22" s="2">
        <v>23275278.918307</v>
      </c>
      <c r="H22" s="2">
        <v>5257859.7297158</v>
      </c>
      <c r="I22" s="2">
        <v>-0.0048970348614793</v>
      </c>
      <c r="J22" s="2">
        <v>-0.0043280903427953</v>
      </c>
      <c r="K22" s="2">
        <v>0.010167240941495</v>
      </c>
      <c r="L22" s="2">
        <v>-0.097956737206014</v>
      </c>
      <c r="M22" s="2">
        <v>-0.098803015622425</v>
      </c>
      <c r="N22" s="2">
        <v>420.51723192812</v>
      </c>
      <c r="O22" s="2">
        <v>469.14549613984</v>
      </c>
    </row>
    <row r="23" spans="1:15">
      <c r="A23" s="2">
        <v>3.6066849390983</v>
      </c>
      <c r="B23" s="2">
        <v>0.009235642246254</v>
      </c>
      <c r="C23" s="2">
        <v>90.299778141351</v>
      </c>
      <c r="D23" s="2">
        <v>0.010868494166607</v>
      </c>
      <c r="E23" s="2">
        <v>6.6772806756293</v>
      </c>
      <c r="F23" s="2">
        <v>0.94083426384051</v>
      </c>
      <c r="G23" s="2">
        <v>23851893.169007</v>
      </c>
      <c r="H23" s="2">
        <v>5357146.6705962</v>
      </c>
      <c r="I23" s="2">
        <v>-0.0052114428903075</v>
      </c>
      <c r="J23" s="2">
        <v>-0.0046042990096049</v>
      </c>
      <c r="K23" s="2">
        <v>0.010760891156415</v>
      </c>
      <c r="L23" s="2">
        <v>-0.10387186415081</v>
      </c>
      <c r="M23" s="2">
        <v>-0.10464234469972</v>
      </c>
      <c r="N23" s="2">
        <v>421.94213415408</v>
      </c>
      <c r="O23" s="2">
        <v>470.92131137311</v>
      </c>
    </row>
    <row r="24" spans="1:15">
      <c r="A24" s="2">
        <v>3.8066849390983</v>
      </c>
      <c r="B24" s="2">
        <v>0.009841851068776</v>
      </c>
      <c r="C24" s="2">
        <v>90.298746315166</v>
      </c>
      <c r="D24" s="2">
        <v>0.011482215108467</v>
      </c>
      <c r="E24" s="2">
        <v>6.6816987864159</v>
      </c>
      <c r="F24" s="2">
        <v>0.93727894723108</v>
      </c>
      <c r="G24" s="2">
        <v>24433638.692054</v>
      </c>
      <c r="H24" s="2">
        <v>5457263.3038928</v>
      </c>
      <c r="I24" s="2">
        <v>-0.0055257173598119</v>
      </c>
      <c r="J24" s="2">
        <v>-0.0048803420094392</v>
      </c>
      <c r="K24" s="2">
        <v>0.011354184431122</v>
      </c>
      <c r="L24" s="2">
        <v>-0.10963750487059</v>
      </c>
      <c r="M24" s="2">
        <v>-0.11035300841333</v>
      </c>
      <c r="N24" s="2">
        <v>423.33879504825</v>
      </c>
      <c r="O24" s="2">
        <v>472.65101472014</v>
      </c>
    </row>
    <row r="25" spans="1:15">
      <c r="A25" s="2">
        <v>4.0066849390983</v>
      </c>
      <c r="B25" s="2">
        <v>0.010448000776316</v>
      </c>
      <c r="C25" s="2">
        <v>90.297709233936</v>
      </c>
      <c r="D25" s="2">
        <v>0.012095750877812</v>
      </c>
      <c r="E25" s="2">
        <v>6.6861478256463</v>
      </c>
      <c r="F25" s="2">
        <v>0.93374496934508</v>
      </c>
      <c r="G25" s="2">
        <v>25020401.575644</v>
      </c>
      <c r="H25" s="2">
        <v>5558189.6914925</v>
      </c>
      <c r="I25" s="2">
        <v>-0.0058398612112906</v>
      </c>
      <c r="J25" s="2">
        <v>-0.0051562119027964</v>
      </c>
      <c r="K25" s="2">
        <v>0.011947121207401</v>
      </c>
      <c r="L25" s="2">
        <v>-0.11543327440456</v>
      </c>
      <c r="M25" s="2">
        <v>-0.1160729720911</v>
      </c>
      <c r="N25" s="2">
        <v>424.71013578622</v>
      </c>
      <c r="O25" s="2">
        <v>474.34115409917</v>
      </c>
    </row>
    <row r="26" spans="1:15">
      <c r="A26" s="2">
        <v>4.2066849390983</v>
      </c>
      <c r="B26" s="2">
        <v>0.011054100771568</v>
      </c>
      <c r="C26" s="2">
        <v>90.296667811098</v>
      </c>
      <c r="D26" s="2">
        <v>0.012709120519404</v>
      </c>
      <c r="E26" s="2">
        <v>6.690623244689</v>
      </c>
      <c r="F26" s="2">
        <v>0.93023177131103</v>
      </c>
      <c r="G26" s="2">
        <v>25612054.907732</v>
      </c>
      <c r="H26" s="2">
        <v>5659903.6374336</v>
      </c>
      <c r="I26" s="2">
        <v>-0.0061538582467515</v>
      </c>
      <c r="J26" s="2">
        <v>-0.0054319156782861</v>
      </c>
      <c r="K26" s="2">
        <v>0.012539701835106</v>
      </c>
      <c r="L26" s="2">
        <v>-0.12115813075696</v>
      </c>
      <c r="M26" s="2">
        <v>-0.12168175637523</v>
      </c>
      <c r="N26" s="2">
        <v>426.06068759515</v>
      </c>
      <c r="O26" s="2">
        <v>476.00053903364</v>
      </c>
    </row>
    <row r="27" spans="1:15">
      <c r="A27" s="2">
        <v>4.4066849390983</v>
      </c>
      <c r="B27" s="2">
        <v>0.011660182021657</v>
      </c>
      <c r="C27" s="2">
        <v>90.295625245875</v>
      </c>
      <c r="D27" s="2">
        <v>0.013322345910456</v>
      </c>
      <c r="E27" s="2">
        <v>6.6951228528449</v>
      </c>
      <c r="F27" s="2">
        <v>0.92673887124306</v>
      </c>
      <c r="G27" s="2">
        <v>26208505.989048</v>
      </c>
      <c r="H27" s="2">
        <v>5762388.8939568</v>
      </c>
      <c r="I27" s="2">
        <v>-0.0064676985381023</v>
      </c>
      <c r="J27" s="2">
        <v>-0.0057074627163777</v>
      </c>
      <c r="K27" s="2">
        <v>0.0131319266127</v>
      </c>
      <c r="L27" s="2">
        <v>-0.12682020095763</v>
      </c>
      <c r="M27" s="2">
        <v>-0.12726686749896</v>
      </c>
      <c r="N27" s="2">
        <v>427.39105996367</v>
      </c>
      <c r="O27" s="2">
        <v>477.63226444878</v>
      </c>
    </row>
    <row r="28" spans="1:15">
      <c r="A28" s="2">
        <v>4.6066849390983</v>
      </c>
      <c r="B28" s="2">
        <v>0.012266234943145</v>
      </c>
      <c r="C28" s="2">
        <v>90.294581727685</v>
      </c>
      <c r="D28" s="2">
        <v>0.013935440984771</v>
      </c>
      <c r="E28" s="2">
        <v>6.6996456552959</v>
      </c>
      <c r="F28" s="2">
        <v>0.92326504611513</v>
      </c>
      <c r="G28" s="2">
        <v>26809650.001616</v>
      </c>
      <c r="H28" s="2">
        <v>5865627.156885</v>
      </c>
      <c r="I28" s="2">
        <v>-0.0067813709526365</v>
      </c>
      <c r="J28" s="2">
        <v>-0.0059828550774309</v>
      </c>
      <c r="K28" s="2">
        <v>0.013723795856627</v>
      </c>
      <c r="L28" s="2">
        <v>-0.13247823728764</v>
      </c>
      <c r="M28" s="2">
        <v>-0.13284547499796</v>
      </c>
      <c r="N28" s="2">
        <v>428.70588489954</v>
      </c>
      <c r="O28" s="2">
        <v>479.24254544222</v>
      </c>
    </row>
    <row r="29" spans="1:15">
      <c r="A29" s="2">
        <v>4.8066849390983</v>
      </c>
      <c r="B29" s="2">
        <v>0.012872267301129</v>
      </c>
      <c r="C29" s="2">
        <v>90.293543346774</v>
      </c>
      <c r="D29" s="2">
        <v>0.014548419946995</v>
      </c>
      <c r="E29" s="2">
        <v>6.7041899808717</v>
      </c>
      <c r="F29" s="2">
        <v>0.91980999174648</v>
      </c>
      <c r="G29" s="2">
        <v>27415415.433734</v>
      </c>
      <c r="H29" s="2">
        <v>5969605.8762616</v>
      </c>
      <c r="I29" s="2">
        <v>-0.0070948729658779</v>
      </c>
      <c r="J29" s="2">
        <v>-0.0062580971466672</v>
      </c>
      <c r="K29" s="2">
        <v>0.014315309912178</v>
      </c>
      <c r="L29" s="2">
        <v>-0.13809776382134</v>
      </c>
      <c r="M29" s="2">
        <v>-0.13838568949738</v>
      </c>
      <c r="N29" s="2">
        <v>430.00458480463</v>
      </c>
      <c r="O29" s="2">
        <v>480.83106087897</v>
      </c>
    </row>
    <row r="30" spans="1:15">
      <c r="A30" s="2">
        <v>5.0066849390983</v>
      </c>
      <c r="B30" s="2">
        <v>0.013478275091488</v>
      </c>
      <c r="C30" s="2">
        <v>90.292500902164</v>
      </c>
      <c r="D30" s="2">
        <v>0.015161289963758</v>
      </c>
      <c r="E30" s="2">
        <v>6.7087541808434</v>
      </c>
      <c r="F30" s="2">
        <v>0.91637152703706</v>
      </c>
      <c r="G30" s="2">
        <v>28025730.093072</v>
      </c>
      <c r="H30" s="2">
        <v>6074312.4374278</v>
      </c>
      <c r="I30" s="2">
        <v>-0.0074082006404664</v>
      </c>
      <c r="J30" s="2">
        <v>-0.0065331887458358</v>
      </c>
      <c r="K30" s="2">
        <v>0.014906469130453</v>
      </c>
      <c r="L30" s="2">
        <v>-0.14372308417402</v>
      </c>
      <c r="M30" s="2">
        <v>-0.1439253803055</v>
      </c>
      <c r="N30" s="2">
        <v>431.28927563711</v>
      </c>
      <c r="O30" s="2">
        <v>482.39998171357</v>
      </c>
    </row>
    <row r="31" spans="1:15">
      <c r="A31" s="2">
        <v>5.2066849390983</v>
      </c>
      <c r="B31" s="2">
        <v>0.014084245046377</v>
      </c>
      <c r="C31" s="2">
        <v>90.291456156379</v>
      </c>
      <c r="D31" s="2">
        <v>0.015774056606291</v>
      </c>
      <c r="E31" s="2">
        <v>6.7133381562976</v>
      </c>
      <c r="F31" s="2">
        <v>0.91294877009929</v>
      </c>
      <c r="G31" s="2">
        <v>28640520.148876</v>
      </c>
      <c r="H31" s="2">
        <v>6179733.9524319</v>
      </c>
      <c r="I31" s="2">
        <v>-0.0077213514849491</v>
      </c>
      <c r="J31" s="2">
        <v>-0.0068081277449893</v>
      </c>
      <c r="K31" s="2">
        <v>0.015497273874718</v>
      </c>
      <c r="L31" s="2">
        <v>-0.14933179817182</v>
      </c>
      <c r="M31" s="2">
        <v>-0.14944726563716</v>
      </c>
      <c r="N31" s="2">
        <v>432.56228479832</v>
      </c>
      <c r="O31" s="2">
        <v>483.95173571828</v>
      </c>
    </row>
    <row r="32" spans="1:15">
      <c r="A32" s="2">
        <v>5.4066849390983</v>
      </c>
      <c r="B32" s="2">
        <v>0.014690179422592</v>
      </c>
      <c r="C32" s="2">
        <v>90.290412066321</v>
      </c>
      <c r="D32" s="2">
        <v>0.016386726063128</v>
      </c>
      <c r="E32" s="2">
        <v>6.7179410280149</v>
      </c>
      <c r="F32" s="2">
        <v>0.90954025676716</v>
      </c>
      <c r="G32" s="2">
        <v>29259731.725456</v>
      </c>
      <c r="H32" s="2">
        <v>6285860.9752005</v>
      </c>
      <c r="I32" s="2">
        <v>-0.0080343213796272</v>
      </c>
      <c r="J32" s="2">
        <v>-0.0070829216679029</v>
      </c>
      <c r="K32" s="2">
        <v>0.016087724515146</v>
      </c>
      <c r="L32" s="2">
        <v>-0.15495791931361</v>
      </c>
      <c r="M32" s="2">
        <v>-0.15497830880905</v>
      </c>
      <c r="N32" s="2">
        <v>433.82239135251</v>
      </c>
      <c r="O32" s="2">
        <v>485.48496445342</v>
      </c>
    </row>
    <row r="33" spans="1:15">
      <c r="A33" s="2">
        <v>5.6066849390983</v>
      </c>
      <c r="B33" s="2">
        <v>0.015296066698473</v>
      </c>
      <c r="C33" s="2">
        <v>90.289368740476</v>
      </c>
      <c r="D33" s="2">
        <v>0.016999300817293</v>
      </c>
      <c r="E33" s="2">
        <v>6.7225628907874</v>
      </c>
      <c r="F33" s="2">
        <v>0.90614517795866</v>
      </c>
      <c r="G33" s="2">
        <v>29883298.393767</v>
      </c>
      <c r="H33" s="2">
        <v>6392681.924155</v>
      </c>
      <c r="I33" s="2">
        <v>-0.0083471022675625</v>
      </c>
      <c r="J33" s="2">
        <v>-0.0073575752705063</v>
      </c>
      <c r="K33" s="2">
        <v>0.016677821448902</v>
      </c>
      <c r="L33" s="2">
        <v>-0.16056389041697</v>
      </c>
      <c r="M33" s="2">
        <v>-0.16047356250411</v>
      </c>
      <c r="N33" s="2">
        <v>435.0712896588</v>
      </c>
      <c r="O33" s="2">
        <v>487.00170728505</v>
      </c>
    </row>
    <row r="34" spans="1:15">
      <c r="A34" s="2">
        <v>5.8066849390983</v>
      </c>
      <c r="B34" s="2">
        <v>0.015901893056045</v>
      </c>
      <c r="C34" s="2">
        <v>90.288327019914</v>
      </c>
      <c r="D34" s="2">
        <v>0.017611780863079</v>
      </c>
      <c r="E34" s="2">
        <v>6.7272038447921</v>
      </c>
      <c r="F34" s="2">
        <v>0.90276253943395</v>
      </c>
      <c r="G34" s="2">
        <v>30511156.806352</v>
      </c>
      <c r="H34" s="2">
        <v>6500185.7749877</v>
      </c>
      <c r="I34" s="2">
        <v>-0.0086596806384473</v>
      </c>
      <c r="J34" s="2">
        <v>-0.0076320978544804</v>
      </c>
      <c r="K34" s="2">
        <v>0.017267565066533</v>
      </c>
      <c r="L34" s="2">
        <v>-0.16612232216448</v>
      </c>
      <c r="M34" s="2">
        <v>-0.16596453992076</v>
      </c>
      <c r="N34" s="2">
        <v>436.31110125</v>
      </c>
      <c r="O34" s="2">
        <v>488.50435703063</v>
      </c>
    </row>
    <row r="35" spans="1:15">
      <c r="A35" s="2">
        <v>6.0066849390983</v>
      </c>
      <c r="B35" s="2">
        <v>0.016507654448604</v>
      </c>
      <c r="C35" s="2">
        <v>90.287285639649</v>
      </c>
      <c r="D35" s="2">
        <v>0.018224168341977</v>
      </c>
      <c r="E35" s="2">
        <v>6.7318642776086</v>
      </c>
      <c r="F35" s="2">
        <v>0.89939154616392</v>
      </c>
      <c r="G35" s="2">
        <v>31143255.028409</v>
      </c>
      <c r="H35" s="2">
        <v>6608363.4709019</v>
      </c>
      <c r="I35" s="2">
        <v>-0.0089720491942993</v>
      </c>
      <c r="J35" s="2">
        <v>-0.0079064986220365</v>
      </c>
      <c r="K35" s="2">
        <v>0.017856955786128</v>
      </c>
      <c r="L35" s="2">
        <v>-0.17168779052161</v>
      </c>
      <c r="M35" s="2">
        <v>-0.17143839379896</v>
      </c>
      <c r="N35" s="2">
        <v>437.54129010101</v>
      </c>
      <c r="O35" s="2">
        <v>489.99255834778</v>
      </c>
    </row>
    <row r="36" spans="1:15">
      <c r="A36" s="2">
        <v>6.2066849390983</v>
      </c>
      <c r="B36" s="2">
        <v>0.017113344183122</v>
      </c>
      <c r="C36" s="2">
        <v>90.286246823702</v>
      </c>
      <c r="D36" s="2">
        <v>0.01883646183475</v>
      </c>
      <c r="E36" s="2">
        <v>6.7365447463166</v>
      </c>
      <c r="F36" s="2">
        <v>0.89603155492431</v>
      </c>
      <c r="G36" s="2">
        <v>31779547.091656</v>
      </c>
      <c r="H36" s="2">
        <v>6717207.0157646</v>
      </c>
      <c r="I36" s="2">
        <v>-0.0092841974209057</v>
      </c>
      <c r="J36" s="2">
        <v>-0.0081807889154012</v>
      </c>
      <c r="K36" s="2">
        <v>0.018445994013604</v>
      </c>
      <c r="L36" s="2">
        <v>-0.17725561021028</v>
      </c>
      <c r="M36" s="2">
        <v>-0.17691974042322</v>
      </c>
      <c r="N36" s="2">
        <v>438.76171585693</v>
      </c>
      <c r="O36" s="2">
        <v>491.46619057683</v>
      </c>
    </row>
    <row r="37" spans="1:15">
      <c r="A37" s="2">
        <v>6.4066849390983</v>
      </c>
      <c r="B37" s="2">
        <v>0.017718956512051</v>
      </c>
      <c r="C37" s="2">
        <v>90.285210858658</v>
      </c>
      <c r="D37" s="2">
        <v>0.019448660137609</v>
      </c>
      <c r="E37" s="2">
        <v>6.7412465919228</v>
      </c>
      <c r="F37" s="2">
        <v>0.89268142497189</v>
      </c>
      <c r="G37" s="2">
        <v>32419985.774675</v>
      </c>
      <c r="H37" s="2">
        <v>6826708.2020838</v>
      </c>
      <c r="I37" s="2">
        <v>-0.009596111281245</v>
      </c>
      <c r="J37" s="2">
        <v>-0.0084549833509488</v>
      </c>
      <c r="K37" s="2">
        <v>0.019034680140994</v>
      </c>
      <c r="L37" s="2">
        <v>-0.18283521659433</v>
      </c>
      <c r="M37" s="2">
        <v>-0.18240211916626</v>
      </c>
      <c r="N37" s="2">
        <v>439.97234365368</v>
      </c>
      <c r="O37" s="2">
        <v>492.92550705382</v>
      </c>
    </row>
    <row r="38" spans="1:15">
      <c r="A38" s="2">
        <v>6.6066849390983</v>
      </c>
      <c r="B38" s="2">
        <v>0.018324489176596</v>
      </c>
      <c r="C38" s="2">
        <v>90.284177561271</v>
      </c>
      <c r="D38" s="2">
        <v>0.020060762499796</v>
      </c>
      <c r="E38" s="2">
        <v>6.7459705105531</v>
      </c>
      <c r="F38" s="2">
        <v>0.88934026113743</v>
      </c>
      <c r="G38" s="2">
        <v>33064523.685624</v>
      </c>
      <c r="H38" s="2">
        <v>6936858.8122701</v>
      </c>
      <c r="I38" s="2">
        <v>-0.0099077797304287</v>
      </c>
      <c r="J38" s="2">
        <v>-0.0087290923696936</v>
      </c>
      <c r="K38" s="2">
        <v>0.019623014577025</v>
      </c>
      <c r="L38" s="2">
        <v>-0.18837360157768</v>
      </c>
      <c r="M38" s="2">
        <v>-0.18784436057634</v>
      </c>
      <c r="N38" s="2">
        <v>441.1734735915</v>
      </c>
      <c r="O38" s="2">
        <v>494.3710487773</v>
      </c>
    </row>
    <row r="39" spans="1:15">
      <c r="A39" s="2">
        <v>6.8066849390983</v>
      </c>
      <c r="B39" s="2">
        <v>0.018929929405201</v>
      </c>
      <c r="C39" s="2">
        <v>90.283147730383</v>
      </c>
      <c r="D39" s="2">
        <v>0.020672768682479</v>
      </c>
      <c r="E39" s="2">
        <v>6.7507168276826</v>
      </c>
      <c r="F39" s="2">
        <v>0.88600727515428</v>
      </c>
      <c r="G39" s="2">
        <v>33713097.521085</v>
      </c>
      <c r="H39" s="2">
        <v>7047647.8841214</v>
      </c>
      <c r="I39" s="2">
        <v>-0.010219192497303</v>
      </c>
      <c r="J39" s="2">
        <v>-0.0090031210106796</v>
      </c>
      <c r="K39" s="2">
        <v>0.020210997727226</v>
      </c>
      <c r="L39" s="2">
        <v>-0.19391024635803</v>
      </c>
      <c r="M39" s="2">
        <v>-0.19329447388057</v>
      </c>
      <c r="N39" s="2">
        <v>442.36780426956</v>
      </c>
      <c r="O39" s="2">
        <v>495.80606286323</v>
      </c>
    </row>
    <row r="40" spans="1:15">
      <c r="A40" s="2">
        <v>7.0066849390983</v>
      </c>
      <c r="B40" s="2">
        <v>0.019535288640255</v>
      </c>
      <c r="C40" s="2">
        <v>90.282121350435</v>
      </c>
      <c r="D40" s="2">
        <v>0.021284682857773</v>
      </c>
      <c r="E40" s="2">
        <v>6.755485216128</v>
      </c>
      <c r="F40" s="2">
        <v>0.88268236858312</v>
      </c>
      <c r="G40" s="2">
        <v>34365665.792901</v>
      </c>
      <c r="H40" s="2">
        <v>7159068.1967925</v>
      </c>
      <c r="I40" s="2">
        <v>-0.010530350346415</v>
      </c>
      <c r="J40" s="2">
        <v>-0.0092770717069486</v>
      </c>
      <c r="K40" s="2">
        <v>0.02079862996257</v>
      </c>
      <c r="L40" s="2">
        <v>-0.19940597253478</v>
      </c>
      <c r="M40" s="2">
        <v>-0.19871107312277</v>
      </c>
      <c r="N40" s="2">
        <v>443.55397896485</v>
      </c>
      <c r="O40" s="2">
        <v>497.22967052529</v>
      </c>
    </row>
    <row r="41" spans="1:15">
      <c r="A41" s="2">
        <v>7.2066849390983</v>
      </c>
      <c r="B41" s="2">
        <v>0.020140568091765</v>
      </c>
      <c r="C41" s="2">
        <v>90.281098454039</v>
      </c>
      <c r="D41" s="2">
        <v>0.021896508181225</v>
      </c>
      <c r="E41" s="2">
        <v>6.7602744978573</v>
      </c>
      <c r="F41" s="2">
        <v>0.87936554942169</v>
      </c>
      <c r="G41" s="2">
        <v>35022175.095379</v>
      </c>
      <c r="H41" s="2">
        <v>7271110.494272</v>
      </c>
      <c r="I41" s="2">
        <v>-0.010841250832512</v>
      </c>
      <c r="J41" s="2">
        <v>-0.0095509451993162</v>
      </c>
      <c r="K41" s="2">
        <v>0.021385911663454</v>
      </c>
      <c r="L41" s="2">
        <v>-0.20489640100964</v>
      </c>
      <c r="M41" s="2">
        <v>-0.20410723327167</v>
      </c>
      <c r="N41" s="2">
        <v>444.73299801499</v>
      </c>
      <c r="O41" s="2">
        <v>498.64326522135</v>
      </c>
    </row>
    <row r="42" spans="1:15">
      <c r="A42" s="2">
        <v>7.4066849390983</v>
      </c>
      <c r="B42" s="2">
        <v>0.020745774747034</v>
      </c>
      <c r="C42" s="2">
        <v>90.280078978217</v>
      </c>
      <c r="D42" s="2">
        <v>0.022508248917904</v>
      </c>
      <c r="E42" s="2">
        <v>6.7650837515352</v>
      </c>
      <c r="F42" s="2">
        <v>0.8760568773529</v>
      </c>
      <c r="G42" s="2">
        <v>35682580.741839</v>
      </c>
      <c r="H42" s="2">
        <v>7383767.0107497</v>
      </c>
      <c r="I42" s="2">
        <v>-0.011151895618644</v>
      </c>
      <c r="J42" s="2">
        <v>-0.0098247414965701</v>
      </c>
      <c r="K42" s="2">
        <v>0.021972843220369</v>
      </c>
      <c r="L42" s="2">
        <v>-0.21038598445782</v>
      </c>
      <c r="M42" s="2">
        <v>-0.20952481842519</v>
      </c>
      <c r="N42" s="2">
        <v>445.90434528492</v>
      </c>
      <c r="O42" s="2">
        <v>500.04668463485</v>
      </c>
    </row>
    <row r="43" spans="1:15">
      <c r="A43" s="2">
        <v>7.6066849390983</v>
      </c>
      <c r="B43" s="2">
        <v>0.021350906986317</v>
      </c>
      <c r="C43" s="2">
        <v>90.279063081883</v>
      </c>
      <c r="D43" s="2">
        <v>0.02311990897745</v>
      </c>
      <c r="E43" s="2">
        <v>6.769911934376</v>
      </c>
      <c r="F43" s="2">
        <v>0.87275666029679</v>
      </c>
      <c r="G43" s="2">
        <v>36346828.749122</v>
      </c>
      <c r="H43" s="2">
        <v>7497028.4063011</v>
      </c>
      <c r="I43" s="2">
        <v>-0.011462285662188</v>
      </c>
      <c r="J43" s="2">
        <v>-0.010098457096924</v>
      </c>
      <c r="K43" s="2">
        <v>0.02255942504791</v>
      </c>
      <c r="L43" s="2">
        <v>-0.21586139842686</v>
      </c>
      <c r="M43" s="2">
        <v>-0.21490722318468</v>
      </c>
      <c r="N43" s="2">
        <v>447.06931530875</v>
      </c>
      <c r="O43" s="2">
        <v>501.44158588837</v>
      </c>
    </row>
    <row r="44" spans="1:15">
      <c r="A44" s="2">
        <v>7.8066849390983</v>
      </c>
      <c r="B44" s="2">
        <v>0.021955974236135</v>
      </c>
      <c r="C44" s="2">
        <v>90.278051067911</v>
      </c>
      <c r="D44" s="2">
        <v>0.023731493108546</v>
      </c>
      <c r="E44" s="2">
        <v>6.7747577815687</v>
      </c>
      <c r="F44" s="2">
        <v>0.8694649715198</v>
      </c>
      <c r="G44" s="2">
        <v>37014880.555119</v>
      </c>
      <c r="H44" s="2">
        <v>7610888.0044355</v>
      </c>
      <c r="I44" s="2">
        <v>-0.0117724243898</v>
      </c>
      <c r="J44" s="2">
        <v>-0.010372090465655</v>
      </c>
      <c r="K44" s="2">
        <v>0.023145657533576</v>
      </c>
      <c r="L44" s="2">
        <v>-0.22131022216268</v>
      </c>
      <c r="M44" s="2">
        <v>-0.22028030852384</v>
      </c>
      <c r="N44" s="2">
        <v>448.22721437918</v>
      </c>
      <c r="O44" s="2">
        <v>502.8270460487</v>
      </c>
    </row>
    <row r="45" spans="1:15">
      <c r="A45" s="2">
        <v>8.0066849390983</v>
      </c>
      <c r="B45" s="2">
        <v>0.022560980621305</v>
      </c>
      <c r="C45" s="2">
        <v>90.277043039369</v>
      </c>
      <c r="D45" s="2">
        <v>0.024343005472469</v>
      </c>
      <c r="E45" s="2">
        <v>6.7796203484216</v>
      </c>
      <c r="F45" s="2">
        <v>0.86618218748428</v>
      </c>
      <c r="G45" s="2">
        <v>37686690.714561</v>
      </c>
      <c r="H45" s="2">
        <v>7725337.9398593</v>
      </c>
      <c r="I45" s="2">
        <v>-0.012082312347944</v>
      </c>
      <c r="J45" s="2">
        <v>-0.010645641923864</v>
      </c>
      <c r="K45" s="2">
        <v>0.023731541085601</v>
      </c>
      <c r="L45" s="2">
        <v>-0.22680365105699</v>
      </c>
      <c r="M45" s="2">
        <v>-0.22567836466658</v>
      </c>
      <c r="N45" s="2">
        <v>449.37797223032</v>
      </c>
      <c r="O45" s="2">
        <v>504.20346092282</v>
      </c>
    </row>
    <row r="46" spans="1:15">
      <c r="A46" s="2">
        <v>8.2066849390983</v>
      </c>
      <c r="B46" s="2">
        <v>0.023165922639069</v>
      </c>
      <c r="C46" s="2">
        <v>90.276038078335</v>
      </c>
      <c r="D46" s="2">
        <v>0.024954448622692</v>
      </c>
      <c r="E46" s="2">
        <v>6.78449822011</v>
      </c>
      <c r="F46" s="2">
        <v>0.86290878455198</v>
      </c>
      <c r="G46" s="2">
        <v>38362208.082821</v>
      </c>
      <c r="H46" s="2">
        <v>7840369.3977554</v>
      </c>
      <c r="I46" s="2">
        <v>-0.012391949744295</v>
      </c>
      <c r="J46" s="2">
        <v>-0.010919107723784</v>
      </c>
      <c r="K46" s="2">
        <v>0.0243170761021</v>
      </c>
      <c r="L46" s="2">
        <v>-0.23225247586915</v>
      </c>
      <c r="M46" s="2">
        <v>-0.23104518569875</v>
      </c>
      <c r="N46" s="2">
        <v>450.52322572941</v>
      </c>
      <c r="O46" s="2">
        <v>505.57261793001</v>
      </c>
    </row>
    <row r="47" spans="1:15">
      <c r="A47" s="2">
        <v>8.4066849390983</v>
      </c>
      <c r="B47" s="2">
        <v>0.023770806047894</v>
      </c>
      <c r="C47" s="2">
        <v>90.27503660556</v>
      </c>
      <c r="D47" s="2">
        <v>0.025565827378731</v>
      </c>
      <c r="E47" s="2">
        <v>6.7893902469373</v>
      </c>
      <c r="F47" s="2">
        <v>0.85964450808338</v>
      </c>
      <c r="G47" s="2">
        <v>39041390.704653</v>
      </c>
      <c r="H47" s="2">
        <v>7955975.1268378</v>
      </c>
      <c r="I47" s="2">
        <v>-0.012701336552184</v>
      </c>
      <c r="J47" s="2">
        <v>-0.011192489510192</v>
      </c>
      <c r="K47" s="2">
        <v>0.024902262978737</v>
      </c>
      <c r="L47" s="2">
        <v>-0.23775744940989</v>
      </c>
      <c r="M47" s="2">
        <v>-0.2364666722736</v>
      </c>
      <c r="N47" s="2">
        <v>451.66263735233</v>
      </c>
      <c r="O47" s="2">
        <v>506.93416095194</v>
      </c>
    </row>
    <row r="48" spans="1:15">
      <c r="A48" s="2">
        <v>8.6066849390983</v>
      </c>
      <c r="B48" s="2">
        <v>0.024375637100761</v>
      </c>
      <c r="C48" s="2">
        <v>90.274038724605</v>
      </c>
      <c r="D48" s="2">
        <v>0.026177145037305</v>
      </c>
      <c r="E48" s="2">
        <v>6.7942957019476</v>
      </c>
      <c r="F48" s="2">
        <v>0.8563900378841</v>
      </c>
      <c r="G48" s="2">
        <v>39724197.228429</v>
      </c>
      <c r="H48" s="2">
        <v>8072147.9951935</v>
      </c>
      <c r="I48" s="2">
        <v>-0.013010475414808</v>
      </c>
      <c r="J48" s="2">
        <v>-0.01146578424556</v>
      </c>
      <c r="K48" s="2">
        <v>0.025487102137719</v>
      </c>
      <c r="L48" s="2">
        <v>-0.24315635856589</v>
      </c>
      <c r="M48" s="2">
        <v>-0.24177359369892</v>
      </c>
      <c r="N48" s="2">
        <v>452.7961951216</v>
      </c>
      <c r="O48" s="2">
        <v>508.28813259943</v>
      </c>
    </row>
    <row r="49" spans="1:15">
      <c r="A49" s="2">
        <v>8.8066849390982</v>
      </c>
      <c r="B49" s="2">
        <v>0.024980421651253</v>
      </c>
      <c r="C49" s="2">
        <v>90.273044561496</v>
      </c>
      <c r="D49" s="2">
        <v>0.026788406457753</v>
      </c>
      <c r="E49" s="2">
        <v>6.7992132741179</v>
      </c>
      <c r="F49" s="2">
        <v>0.85314532279852</v>
      </c>
      <c r="G49" s="2">
        <v>40410589.906347</v>
      </c>
      <c r="H49" s="2">
        <v>8188881.4906907</v>
      </c>
      <c r="I49" s="2">
        <v>-0.013319369013515</v>
      </c>
      <c r="J49" s="2">
        <v>-0.011738992249692</v>
      </c>
      <c r="K49" s="2">
        <v>0.026071593959372</v>
      </c>
      <c r="L49" s="2">
        <v>-0.24860207870053</v>
      </c>
      <c r="M49" s="2">
        <v>-0.2471473931506</v>
      </c>
      <c r="N49" s="2">
        <v>453.92309400258</v>
      </c>
      <c r="O49" s="2">
        <v>509.63399308762</v>
      </c>
    </row>
    <row r="50" spans="1:15">
      <c r="A50" s="2">
        <v>9.0066849390982</v>
      </c>
      <c r="B50" s="2">
        <v>0.025585157816036</v>
      </c>
      <c r="C50" s="2">
        <v>90.272053652141</v>
      </c>
      <c r="D50" s="2">
        <v>0.027399614317096</v>
      </c>
      <c r="E50" s="2">
        <v>6.8041424052899</v>
      </c>
      <c r="F50" s="2">
        <v>0.84991074500707</v>
      </c>
      <c r="G50" s="2">
        <v>41100521.224342</v>
      </c>
      <c r="H50" s="2">
        <v>8306167.4544549</v>
      </c>
      <c r="I50" s="2">
        <v>-0.01362801586657</v>
      </c>
      <c r="J50" s="2">
        <v>-0.012012111910232</v>
      </c>
      <c r="K50" s="2">
        <v>0.0266557388431</v>
      </c>
      <c r="L50" s="2">
        <v>-0.25404339558285</v>
      </c>
      <c r="M50" s="2">
        <v>-0.25250881037427</v>
      </c>
      <c r="N50" s="2">
        <v>455.04476341085</v>
      </c>
      <c r="O50" s="2">
        <v>510.97313872209</v>
      </c>
    </row>
    <row r="51" spans="1:15">
      <c r="A51" s="2">
        <v>9.2066849390982</v>
      </c>
      <c r="B51" s="2">
        <v>0.026189848323348</v>
      </c>
      <c r="C51" s="2">
        <v>90.27106648649</v>
      </c>
      <c r="D51" s="2">
        <v>0.028010772055516</v>
      </c>
      <c r="E51" s="2">
        <v>6.8090822456489</v>
      </c>
      <c r="F51" s="2">
        <v>0.84668629238296</v>
      </c>
      <c r="G51" s="2">
        <v>41793949.139023</v>
      </c>
      <c r="H51" s="2">
        <v>8423998.661121</v>
      </c>
      <c r="I51" s="2">
        <v>-0.01393641697538</v>
      </c>
      <c r="J51" s="2">
        <v>-0.012285142246444</v>
      </c>
      <c r="K51" s="2">
        <v>0.027239537191474</v>
      </c>
      <c r="L51" s="2">
        <v>-0.25948694202838</v>
      </c>
      <c r="M51" s="2">
        <v>-0.25786502392416</v>
      </c>
      <c r="N51" s="2">
        <v>456.161418116</v>
      </c>
      <c r="O51" s="2">
        <v>512.30588005318</v>
      </c>
    </row>
    <row r="52" spans="1:15">
      <c r="A52" s="2">
        <v>9.4066849390982</v>
      </c>
      <c r="B52" s="2">
        <v>0.026794501733914</v>
      </c>
      <c r="C52" s="2">
        <v>90.270082426996</v>
      </c>
      <c r="D52" s="2">
        <v>0.028621883907558</v>
      </c>
      <c r="E52" s="2">
        <v>6.8140317479008</v>
      </c>
      <c r="F52" s="2">
        <v>0.84347250642146</v>
      </c>
      <c r="G52" s="2">
        <v>42490841.06121</v>
      </c>
      <c r="H52" s="2">
        <v>8542369.4958908</v>
      </c>
      <c r="I52" s="2">
        <v>-0.014244577840828</v>
      </c>
      <c r="J52" s="2">
        <v>-0.012558080930804</v>
      </c>
      <c r="K52" s="2">
        <v>0.027822989403524</v>
      </c>
      <c r="L52" s="2">
        <v>-0.2649321455625</v>
      </c>
      <c r="M52" s="2">
        <v>-0.26322790830749</v>
      </c>
      <c r="N52" s="2">
        <v>457.27180767117</v>
      </c>
      <c r="O52" s="2">
        <v>513.6308929688</v>
      </c>
    </row>
    <row r="53" spans="1:15">
      <c r="A53" s="2">
        <v>9.6066849390982</v>
      </c>
      <c r="B53" s="2">
        <v>0.027399119127446</v>
      </c>
      <c r="C53" s="2">
        <v>90.269101430674</v>
      </c>
      <c r="D53" s="2">
        <v>0.029232952944123</v>
      </c>
      <c r="E53" s="2">
        <v>6.8189904676048</v>
      </c>
      <c r="F53" s="2">
        <v>0.84026965189385</v>
      </c>
      <c r="G53" s="2">
        <v>43191155.599873</v>
      </c>
      <c r="H53" s="2">
        <v>8661272.8584969</v>
      </c>
      <c r="I53" s="2">
        <v>-0.014552500526877</v>
      </c>
      <c r="J53" s="2">
        <v>-0.0128309252472</v>
      </c>
      <c r="K53" s="2">
        <v>0.028406095872974</v>
      </c>
      <c r="L53" s="2">
        <v>-0.27038067053188</v>
      </c>
      <c r="M53" s="2">
        <v>-0.26857104228612</v>
      </c>
      <c r="N53" s="2">
        <v>458.37638653194</v>
      </c>
      <c r="O53" s="2">
        <v>514.94877394307</v>
      </c>
    </row>
    <row r="54" spans="1:15">
      <c r="A54" s="2">
        <v>9.8066849390982</v>
      </c>
      <c r="B54" s="2">
        <v>0.028003695805156</v>
      </c>
      <c r="C54" s="2">
        <v>90.268123514214</v>
      </c>
      <c r="D54" s="2">
        <v>0.029843981455182</v>
      </c>
      <c r="E54" s="2">
        <v>6.8239576350919</v>
      </c>
      <c r="F54" s="2">
        <v>0.83707789980383</v>
      </c>
      <c r="G54" s="2">
        <v>43894841.555275</v>
      </c>
      <c r="H54" s="2">
        <v>8780699.980923</v>
      </c>
      <c r="I54" s="2">
        <v>-0.014860184848987</v>
      </c>
      <c r="J54" s="2">
        <v>-0.013103671616566</v>
      </c>
      <c r="K54" s="2">
        <v>0.028988856985432</v>
      </c>
      <c r="L54" s="2">
        <v>-0.27581846479183</v>
      </c>
      <c r="M54" s="2">
        <v>-0.27393529878004</v>
      </c>
      <c r="N54" s="2">
        <v>459.4770706913</v>
      </c>
      <c r="O54" s="2">
        <v>516.26159732932</v>
      </c>
    </row>
    <row r="55" spans="1:15">
      <c r="A55" s="2">
        <v>10.006684939098</v>
      </c>
      <c r="B55" s="2">
        <v>0.028608242024468</v>
      </c>
      <c r="C55" s="2">
        <v>90.267148269521</v>
      </c>
      <c r="D55" s="2">
        <v>0.0304549735035</v>
      </c>
      <c r="E55" s="2">
        <v>6.8289323519186</v>
      </c>
      <c r="F55" s="2">
        <v>0.83389714682057</v>
      </c>
      <c r="G55" s="2">
        <v>44601872.451259</v>
      </c>
      <c r="H55" s="2">
        <v>8900646.3223185</v>
      </c>
      <c r="I55" s="2">
        <v>-0.015167635176138</v>
      </c>
      <c r="J55" s="2">
        <v>-0.013376319965234</v>
      </c>
      <c r="K55" s="2">
        <v>0.02957127315782</v>
      </c>
      <c r="L55" s="2">
        <v>-0.28127242661904</v>
      </c>
      <c r="M55" s="2">
        <v>-0.27930856941178</v>
      </c>
      <c r="N55" s="2">
        <v>460.57213510787</v>
      </c>
      <c r="O55" s="2">
        <v>517.56766877542</v>
      </c>
    </row>
    <row r="56" spans="1:15">
      <c r="A56" s="2">
        <v>10.206684939098</v>
      </c>
      <c r="B56" s="2">
        <v>0.029212757762222</v>
      </c>
      <c r="C56" s="2">
        <v>90.266176012562</v>
      </c>
      <c r="D56" s="2">
        <v>0.031065930596575</v>
      </c>
      <c r="E56" s="2">
        <v>6.83391361622</v>
      </c>
      <c r="F56" s="2">
        <v>0.83072736792072</v>
      </c>
      <c r="G56" s="2">
        <v>45312206.365047</v>
      </c>
      <c r="H56" s="2">
        <v>9021104.7234459</v>
      </c>
      <c r="I56" s="2">
        <v>-0.015474853173005</v>
      </c>
      <c r="J56" s="2">
        <v>-0.013648866394727</v>
      </c>
      <c r="K56" s="2">
        <v>0.030153344775627</v>
      </c>
      <c r="L56" s="2">
        <v>-0.28673306550444</v>
      </c>
      <c r="M56" s="2">
        <v>-0.28468716860279</v>
      </c>
      <c r="N56" s="2">
        <v>461.66270871672</v>
      </c>
      <c r="O56" s="2">
        <v>518.86810643693</v>
      </c>
    </row>
    <row r="57" spans="1:15">
      <c r="A57" s="2">
        <v>10.406684939098</v>
      </c>
      <c r="B57" s="2">
        <v>0.029817247198884</v>
      </c>
      <c r="C57" s="2">
        <v>90.265206220216</v>
      </c>
      <c r="D57" s="2">
        <v>0.031676855970474</v>
      </c>
      <c r="E57" s="2">
        <v>6.1357759112012</v>
      </c>
      <c r="F57" s="2">
        <v>0.82756849056525</v>
      </c>
      <c r="G57" s="2">
        <v>46025809.791179</v>
      </c>
      <c r="H57" s="2">
        <v>9142069.4517385</v>
      </c>
      <c r="I57" s="2">
        <v>-0.015781841044212</v>
      </c>
      <c r="J57" s="2">
        <v>-0.013921310440596</v>
      </c>
      <c r="K57" s="2">
        <v>0.030735072235008</v>
      </c>
      <c r="L57" s="2">
        <v>-0.29217936384147</v>
      </c>
      <c r="M57" s="2">
        <v>-0.29005275296926</v>
      </c>
      <c r="N57" s="2">
        <v>462.74815858336</v>
      </c>
      <c r="O57" s="2">
        <v>520.16228306788</v>
      </c>
    </row>
    <row r="58" spans="1:15">
      <c r="A58" s="2">
        <v>10.606684939098</v>
      </c>
      <c r="B58" s="2">
        <v>0.030421709890314</v>
      </c>
      <c r="C58" s="2">
        <v>90.264238991373</v>
      </c>
      <c r="D58" s="2">
        <v>0.032287752339958</v>
      </c>
      <c r="E58" s="2">
        <v>6.1407691533814</v>
      </c>
      <c r="F58" s="2">
        <v>0.8244208461449</v>
      </c>
      <c r="G58" s="2">
        <v>46742641.762497</v>
      </c>
      <c r="H58" s="2">
        <v>9263533.5134773</v>
      </c>
      <c r="I58" s="2">
        <v>-0.016088600978457</v>
      </c>
      <c r="J58" s="2">
        <v>-0.014193649192797</v>
      </c>
      <c r="K58" s="2">
        <v>0.031316455924763</v>
      </c>
      <c r="L58" s="2">
        <v>-0.29764893032627</v>
      </c>
      <c r="M58" s="2">
        <v>-0.29543175858602</v>
      </c>
      <c r="N58" s="2">
        <v>463.82907025143</v>
      </c>
      <c r="O58" s="2">
        <v>521.45094316492</v>
      </c>
    </row>
    <row r="59" spans="1:15">
      <c r="A59" s="2">
        <v>10.806684939098</v>
      </c>
      <c r="B59" s="2">
        <v>0.031026148067129</v>
      </c>
      <c r="C59" s="2">
        <v>90.263274134606</v>
      </c>
      <c r="D59" s="2">
        <v>0.032898622496197</v>
      </c>
      <c r="E59" s="2">
        <v>6.1457682246187</v>
      </c>
      <c r="F59" s="2">
        <v>0.82128412016681</v>
      </c>
      <c r="G59" s="2">
        <v>47462662.738671</v>
      </c>
      <c r="H59" s="2">
        <v>9385490.1558837</v>
      </c>
      <c r="I59" s="2">
        <v>-0.016395134769492</v>
      </c>
      <c r="J59" s="2">
        <v>-0.014465880420254</v>
      </c>
      <c r="K59" s="2">
        <v>0.031897496237817</v>
      </c>
      <c r="L59" s="2">
        <v>-0.30311363073843</v>
      </c>
      <c r="M59" s="2">
        <v>-0.30081276279514</v>
      </c>
      <c r="N59" s="2">
        <v>464.90578479642</v>
      </c>
      <c r="O59" s="2">
        <v>522.73453778532</v>
      </c>
    </row>
    <row r="60" spans="1:15">
      <c r="A60" s="2">
        <v>11.006684939098</v>
      </c>
      <c r="B60" s="2">
        <v>0.031630570315993</v>
      </c>
      <c r="C60" s="2">
        <v>90.262311405359</v>
      </c>
      <c r="D60" s="2">
        <v>0.033509469056416</v>
      </c>
      <c r="E60" s="2">
        <v>6.1507718775714</v>
      </c>
      <c r="F60" s="2">
        <v>0.81815849907856</v>
      </c>
      <c r="G60" s="2">
        <v>48185848.830969</v>
      </c>
      <c r="H60" s="2">
        <v>9507935.3130612</v>
      </c>
      <c r="I60" s="2">
        <v>-0.016701445886172</v>
      </c>
      <c r="J60" s="2">
        <v>-0.014738003902786</v>
      </c>
      <c r="K60" s="2">
        <v>0.032478193579934</v>
      </c>
      <c r="L60" s="2">
        <v>-0.30858341248584</v>
      </c>
      <c r="M60" s="2">
        <v>-0.30620279685701</v>
      </c>
      <c r="N60" s="2">
        <v>465.97701046663</v>
      </c>
      <c r="O60" s="2">
        <v>524.01171263616</v>
      </c>
    </row>
    <row r="61" spans="1:15">
      <c r="A61" s="2">
        <v>11.206684939098</v>
      </c>
      <c r="B61" s="2">
        <v>0.032234969821975</v>
      </c>
      <c r="C61" s="2">
        <v>90.261350996315</v>
      </c>
      <c r="D61" s="2">
        <v>0.034120293417484</v>
      </c>
      <c r="E61" s="2">
        <v>5.4526549234473</v>
      </c>
      <c r="F61" s="2">
        <v>0.81504421321319</v>
      </c>
      <c r="G61" s="2">
        <v>48912153.227035</v>
      </c>
      <c r="H61" s="2">
        <v>9630861.0199751</v>
      </c>
      <c r="I61" s="2">
        <v>-0.017007533031274</v>
      </c>
      <c r="J61" s="2">
        <v>-0.015010017229082</v>
      </c>
      <c r="K61" s="2">
        <v>0.033058548340269</v>
      </c>
      <c r="L61" s="2">
        <v>-0.3140685120587</v>
      </c>
      <c r="M61" s="2">
        <v>-0.31160240957197</v>
      </c>
      <c r="N61" s="2">
        <v>467.0446223147</v>
      </c>
      <c r="O61" s="2">
        <v>525.28436037424</v>
      </c>
    </row>
    <row r="62" spans="1:15">
      <c r="A62" s="2">
        <v>11.406684939098</v>
      </c>
      <c r="B62" s="2">
        <v>0.032839349471905</v>
      </c>
      <c r="C62" s="2">
        <v>90.26039248181</v>
      </c>
      <c r="D62" s="2">
        <v>0.034731098412336</v>
      </c>
      <c r="E62" s="2">
        <v>5.4576670088419</v>
      </c>
      <c r="F62" s="2">
        <v>0.81194079807131</v>
      </c>
      <c r="G62" s="2">
        <v>49641539.653242</v>
      </c>
      <c r="H62" s="2">
        <v>9754261.0986573</v>
      </c>
      <c r="I62" s="2">
        <v>-0.017313399090792</v>
      </c>
      <c r="J62" s="2">
        <v>-0.015281917853771</v>
      </c>
      <c r="K62" s="2">
        <v>0.033638560941637</v>
      </c>
      <c r="L62" s="2">
        <v>-0.3195460976483</v>
      </c>
      <c r="M62" s="2">
        <v>-0.31698825929895</v>
      </c>
      <c r="N62" s="2">
        <v>468.10862964829</v>
      </c>
      <c r="O62" s="2">
        <v>526.55269348931</v>
      </c>
    </row>
    <row r="63" spans="1:15">
      <c r="A63" s="2">
        <v>11.606684939098</v>
      </c>
      <c r="B63" s="2">
        <v>0.03344371899869</v>
      </c>
      <c r="C63" s="2">
        <v>90.259435160589</v>
      </c>
      <c r="D63" s="2">
        <v>0.035341887092939</v>
      </c>
      <c r="E63" s="2">
        <v>5.4626824190338</v>
      </c>
      <c r="F63" s="2">
        <v>0.80884846685748</v>
      </c>
      <c r="G63" s="2">
        <v>50373985.358971</v>
      </c>
      <c r="H63" s="2">
        <v>9878131.6701916</v>
      </c>
      <c r="I63" s="2">
        <v>-0.017619048377859</v>
      </c>
      <c r="J63" s="2">
        <v>-0.015553705804297</v>
      </c>
      <c r="K63" s="2">
        <v>0.034218231757031</v>
      </c>
      <c r="L63" s="2">
        <v>-0.32505168041154</v>
      </c>
      <c r="M63" s="2">
        <v>-0.32241570643533</v>
      </c>
      <c r="N63" s="2">
        <v>469.16731647899</v>
      </c>
      <c r="O63" s="2">
        <v>527.81496254436</v>
      </c>
    </row>
    <row r="64" spans="1:15">
      <c r="A64" s="2">
        <v>11.806684939098</v>
      </c>
      <c r="B64" s="2">
        <v>0.034048080523156</v>
      </c>
      <c r="C64" s="2">
        <v>90.258479175862</v>
      </c>
      <c r="D64" s="2">
        <v>0.035952661226481</v>
      </c>
      <c r="E64" s="2">
        <v>5.4677006012865</v>
      </c>
      <c r="F64" s="2">
        <v>0.80576713160636</v>
      </c>
      <c r="G64" s="2">
        <v>51109454.112177</v>
      </c>
      <c r="H64" s="2">
        <v>10002466.582712</v>
      </c>
      <c r="I64" s="2">
        <v>-0.017924481103877</v>
      </c>
      <c r="J64" s="2">
        <v>-0.015825380281913</v>
      </c>
      <c r="K64" s="2">
        <v>0.034797561185155</v>
      </c>
      <c r="L64" s="2">
        <v>-0.33054882609571</v>
      </c>
      <c r="M64" s="2">
        <v>-0.32781644509932</v>
      </c>
      <c r="N64" s="2">
        <v>470.22100465494</v>
      </c>
      <c r="O64" s="2">
        <v>529.07149782625</v>
      </c>
    </row>
    <row r="65" spans="1:15">
      <c r="A65" s="2">
        <v>12.006684939098</v>
      </c>
      <c r="B65" s="2">
        <v>0.034652431858581</v>
      </c>
      <c r="C65" s="2">
        <v>90.25752453079</v>
      </c>
      <c r="D65" s="2">
        <v>0.03656342228488</v>
      </c>
      <c r="E65" s="2">
        <v>5.4727213130743</v>
      </c>
      <c r="F65" s="2">
        <v>0.80269640606864</v>
      </c>
      <c r="G65" s="2">
        <v>51847907.42423</v>
      </c>
      <c r="H65" s="2">
        <v>10127259.311002</v>
      </c>
      <c r="I65" s="2">
        <v>-0.018229697391857</v>
      </c>
      <c r="J65" s="2">
        <v>-0.016096939756326</v>
      </c>
      <c r="K65" s="2">
        <v>0.035376549630447</v>
      </c>
      <c r="L65" s="2">
        <v>-0.33605893777275</v>
      </c>
      <c r="M65" s="2">
        <v>-0.33323385056119</v>
      </c>
      <c r="N65" s="2">
        <v>471.27059303362</v>
      </c>
      <c r="O65" s="2">
        <v>530.32333944152</v>
      </c>
    </row>
    <row r="66" spans="1:15">
      <c r="A66" s="2">
        <v>12.206684939098</v>
      </c>
      <c r="B66" s="2">
        <v>0.035256772120653</v>
      </c>
      <c r="C66" s="2">
        <v>90.256571289081</v>
      </c>
      <c r="D66" s="2">
        <v>0.0371741725876</v>
      </c>
      <c r="E66" s="2">
        <v>5.477743677764</v>
      </c>
      <c r="F66" s="2">
        <v>0.79963658638541</v>
      </c>
      <c r="G66" s="2">
        <v>52589307.70825</v>
      </c>
      <c r="H66" s="2">
        <v>10252503.480353</v>
      </c>
      <c r="I66" s="2">
        <v>-0.018534699282322</v>
      </c>
      <c r="J66" s="2">
        <v>-0.016368380957984</v>
      </c>
      <c r="K66" s="2">
        <v>0.035955197491885</v>
      </c>
      <c r="L66" s="2">
        <v>-0.34158292363404</v>
      </c>
      <c r="M66" s="2">
        <v>-0.33866498932659</v>
      </c>
      <c r="N66" s="2">
        <v>472.31680767743</v>
      </c>
      <c r="O66" s="2">
        <v>531.57123395127</v>
      </c>
    </row>
    <row r="67" spans="1:15">
      <c r="A67" s="2">
        <v>12.406684939098</v>
      </c>
      <c r="B67" s="2">
        <v>0.035861108454356</v>
      </c>
      <c r="C67" s="2">
        <v>90.255618799222</v>
      </c>
      <c r="D67" s="2">
        <v>0.037784913528755</v>
      </c>
      <c r="E67" s="2">
        <v>5.4827679122402</v>
      </c>
      <c r="F67" s="2">
        <v>0.79658732247386</v>
      </c>
      <c r="G67" s="2">
        <v>53333628.411148</v>
      </c>
      <c r="H67" s="2">
        <v>10378194.584645</v>
      </c>
      <c r="I67" s="2">
        <v>-0.018839487683432</v>
      </c>
      <c r="J67" s="2">
        <v>-0.016639705909953</v>
      </c>
      <c r="K67" s="2">
        <v>0.036533505160425</v>
      </c>
      <c r="L67" s="2">
        <v>-0.34711733472899</v>
      </c>
      <c r="M67" s="2">
        <v>-0.34410418794741</v>
      </c>
      <c r="N67" s="2">
        <v>473.35851024869</v>
      </c>
      <c r="O67" s="2">
        <v>532.81414581766</v>
      </c>
    </row>
    <row r="68" spans="1:15">
      <c r="A68" s="2">
        <v>12.606684939098</v>
      </c>
      <c r="B68" s="2">
        <v>0.036465437124722</v>
      </c>
      <c r="C68" s="2">
        <v>90.254667265037</v>
      </c>
      <c r="D68" s="2">
        <v>0.038395646752767</v>
      </c>
      <c r="E68" s="2">
        <v>5.4877936948555</v>
      </c>
      <c r="F68" s="2">
        <v>0.79354875434799</v>
      </c>
      <c r="G68" s="2">
        <v>54080833.903969</v>
      </c>
      <c r="H68" s="2">
        <v>10504326.612903</v>
      </c>
      <c r="I68" s="2">
        <v>-0.019144062506996</v>
      </c>
      <c r="J68" s="2">
        <v>-0.016910913062481</v>
      </c>
      <c r="K68" s="2">
        <v>0.037111473029573</v>
      </c>
      <c r="L68" s="2">
        <v>-0.35264184831516</v>
      </c>
      <c r="M68" s="2">
        <v>-0.34952687419199</v>
      </c>
      <c r="N68" s="2">
        <v>474.3965609356</v>
      </c>
      <c r="O68" s="2">
        <v>534.05283633038</v>
      </c>
    </row>
    <row r="69" spans="1:15">
      <c r="A69" s="2">
        <v>12.806684939098</v>
      </c>
      <c r="B69" s="2">
        <v>0.037069761961511</v>
      </c>
      <c r="C69" s="2">
        <v>90.253716900467</v>
      </c>
      <c r="D69" s="2">
        <v>0.039006374213172</v>
      </c>
      <c r="E69" s="2">
        <v>5.4928207990211</v>
      </c>
      <c r="F69" s="2">
        <v>0.79052069461777</v>
      </c>
      <c r="G69" s="2">
        <v>54830891.321819</v>
      </c>
      <c r="H69" s="2">
        <v>10630893.986183</v>
      </c>
      <c r="I69" s="2">
        <v>-0.019448425980977</v>
      </c>
      <c r="J69" s="2">
        <v>-0.017182001451859</v>
      </c>
      <c r="K69" s="2">
        <v>0.037689101518032</v>
      </c>
      <c r="L69" s="2">
        <v>-0.35821118235034</v>
      </c>
      <c r="M69" s="2">
        <v>-0.35500731985613</v>
      </c>
      <c r="N69" s="2">
        <v>475.43073830691</v>
      </c>
      <c r="O69" s="2">
        <v>535.28722036987</v>
      </c>
    </row>
    <row r="70" spans="1:15">
      <c r="A70" s="2">
        <v>13.006684939098</v>
      </c>
      <c r="B70" s="2">
        <v>0.037674082826519</v>
      </c>
      <c r="C70" s="2">
        <v>90.252766878046</v>
      </c>
      <c r="D70" s="2">
        <v>0.039617097556772</v>
      </c>
      <c r="E70" s="2">
        <v>5.4978489930179</v>
      </c>
      <c r="F70" s="2">
        <v>0.78750283809395</v>
      </c>
      <c r="G70" s="2">
        <v>55583771.61528</v>
      </c>
      <c r="H70" s="2">
        <v>10757891.81366</v>
      </c>
      <c r="I70" s="2">
        <v>-0.019752578264271</v>
      </c>
      <c r="J70" s="2">
        <v>-0.0174529708721</v>
      </c>
      <c r="K70" s="2">
        <v>0.038266391046634</v>
      </c>
      <c r="L70" s="2">
        <v>-0.36376821114601</v>
      </c>
      <c r="M70" s="2">
        <v>-0.36046026219622</v>
      </c>
      <c r="N70" s="2">
        <v>476.46111651465</v>
      </c>
      <c r="O70" s="2">
        <v>536.51737435789</v>
      </c>
    </row>
    <row r="71" spans="1:15">
      <c r="A71" s="2">
        <v>13.206684939098</v>
      </c>
      <c r="B71" s="2">
        <v>0.038278406807002</v>
      </c>
      <c r="C71" s="2">
        <v>90.251817579725</v>
      </c>
      <c r="D71" s="2">
        <v>0.04022781912578</v>
      </c>
      <c r="E71" s="2">
        <v>5.5028776338502</v>
      </c>
      <c r="F71" s="2">
        <v>0.78449540310723</v>
      </c>
      <c r="G71" s="2">
        <v>56339446.883962</v>
      </c>
      <c r="H71" s="2">
        <v>10885315.391494</v>
      </c>
      <c r="I71" s="2">
        <v>-0.020056521396375</v>
      </c>
      <c r="J71" s="2">
        <v>-0.017723821126658</v>
      </c>
      <c r="K71" s="2">
        <v>0.038843341981512</v>
      </c>
      <c r="L71" s="2">
        <v>-0.36933693787849</v>
      </c>
      <c r="M71" s="2">
        <v>-0.36594663134476</v>
      </c>
      <c r="N71" s="2">
        <v>477.48706474154</v>
      </c>
      <c r="O71" s="2">
        <v>537.7426601836</v>
      </c>
    </row>
    <row r="72" spans="1:15">
      <c r="A72" s="2">
        <v>13.406684939098</v>
      </c>
      <c r="B72" s="2">
        <v>0.038882727098367</v>
      </c>
      <c r="C72" s="2">
        <v>90.250867918546</v>
      </c>
      <c r="D72" s="2">
        <v>0.040838539529388</v>
      </c>
      <c r="E72" s="2">
        <v>5.5079068672041</v>
      </c>
      <c r="F72" s="2">
        <v>0.78149806164632</v>
      </c>
      <c r="G72" s="2">
        <v>57097877.181243</v>
      </c>
      <c r="H72" s="2">
        <v>11013157.967096</v>
      </c>
      <c r="I72" s="2">
        <v>-0.020360255230811</v>
      </c>
      <c r="J72" s="2">
        <v>-0.017994550157301</v>
      </c>
      <c r="K72" s="2">
        <v>0.03941995472504</v>
      </c>
      <c r="L72" s="2">
        <v>-0.37493609657153</v>
      </c>
      <c r="M72" s="2">
        <v>-0.37142361908414</v>
      </c>
      <c r="N72" s="2">
        <v>478.50981145007</v>
      </c>
      <c r="O72" s="2">
        <v>538.96437018976</v>
      </c>
    </row>
    <row r="73" spans="1:15">
      <c r="A73" s="2">
        <v>13.606684939098</v>
      </c>
      <c r="B73" s="2">
        <v>0.03948705408085</v>
      </c>
      <c r="C73" s="2">
        <v>90.249919212713</v>
      </c>
      <c r="D73" s="2">
        <v>0.041449261234718</v>
      </c>
      <c r="E73" s="2">
        <v>4.1066857042986</v>
      </c>
      <c r="F73" s="2">
        <v>0.77851116502687</v>
      </c>
      <c r="G73" s="2">
        <v>57859041.693561</v>
      </c>
      <c r="H73" s="2">
        <v>11141416.046782</v>
      </c>
      <c r="I73" s="2">
        <v>-0.020663782979448</v>
      </c>
      <c r="J73" s="2">
        <v>-0.018265157853647</v>
      </c>
      <c r="K73" s="2">
        <v>0.039996229687568</v>
      </c>
      <c r="L73" s="2">
        <v>-0.38054222754154</v>
      </c>
      <c r="M73" s="2">
        <v>-0.37691563198683</v>
      </c>
      <c r="N73" s="2">
        <v>479.52806754287</v>
      </c>
      <c r="O73" s="2">
        <v>540.18124395422</v>
      </c>
    </row>
    <row r="74" spans="1:15">
      <c r="A74" s="2">
        <v>13.806684939098</v>
      </c>
      <c r="B74" s="2">
        <v>0.040091386593702</v>
      </c>
      <c r="C74" s="2">
        <v>90.248970765125</v>
      </c>
      <c r="D74" s="2">
        <v>0.042059985849028</v>
      </c>
      <c r="E74" s="2">
        <v>4.1117144957012</v>
      </c>
      <c r="F74" s="2">
        <v>0.77553435132445</v>
      </c>
      <c r="G74" s="2">
        <v>58622908.510494</v>
      </c>
      <c r="H74" s="2">
        <v>11270084.260745</v>
      </c>
      <c r="I74" s="2">
        <v>-0.020967105595101</v>
      </c>
      <c r="J74" s="2">
        <v>-0.018535642699708</v>
      </c>
      <c r="K74" s="2">
        <v>0.040572167272058</v>
      </c>
      <c r="L74" s="2">
        <v>-0.38614513091818</v>
      </c>
      <c r="M74" s="2">
        <v>-0.38242286000723</v>
      </c>
      <c r="N74" s="2">
        <v>480.54228380652</v>
      </c>
      <c r="O74" s="2">
        <v>541.3936780245</v>
      </c>
    </row>
    <row r="75" spans="1:15">
      <c r="A75" s="2">
        <v>14.006684939098</v>
      </c>
      <c r="B75" s="2">
        <v>0.040695719417207</v>
      </c>
      <c r="C75" s="2">
        <v>90.248022503064</v>
      </c>
      <c r="D75" s="2">
        <v>0.042670714115392</v>
      </c>
      <c r="E75" s="2">
        <v>4.116743217864</v>
      </c>
      <c r="F75" s="2">
        <v>0.77256765084848</v>
      </c>
      <c r="G75" s="2">
        <v>59389438.179727</v>
      </c>
      <c r="H75" s="2">
        <v>11399155.965689</v>
      </c>
      <c r="I75" s="2">
        <v>-0.021270223279253</v>
      </c>
      <c r="J75" s="2">
        <v>-0.018806002082545</v>
      </c>
      <c r="K75" s="2">
        <v>0.041147767860308</v>
      </c>
      <c r="L75" s="2">
        <v>-0.39177011336925</v>
      </c>
      <c r="M75" s="2">
        <v>-0.38793737107135</v>
      </c>
      <c r="N75" s="2">
        <v>481.55375231219</v>
      </c>
      <c r="O75" s="2">
        <v>542.60306724781</v>
      </c>
    </row>
    <row r="76" spans="1:15">
      <c r="A76" s="2">
        <v>14.206684939098</v>
      </c>
      <c r="B76" s="2">
        <v>0.041300062642355</v>
      </c>
      <c r="C76" s="2">
        <v>90.24707420802</v>
      </c>
      <c r="D76" s="2">
        <v>0.043281447875507</v>
      </c>
      <c r="E76" s="2">
        <v>4.1217712321592</v>
      </c>
      <c r="F76" s="2">
        <v>0.76961087056864</v>
      </c>
      <c r="G76" s="2">
        <v>60158613.048763</v>
      </c>
      <c r="H76" s="2">
        <v>11528628.218167</v>
      </c>
      <c r="I76" s="2">
        <v>-0.021573136510866</v>
      </c>
      <c r="J76" s="2">
        <v>-0.019076239056292</v>
      </c>
      <c r="K76" s="2">
        <v>0.041723031850145</v>
      </c>
      <c r="L76" s="2">
        <v>-0.39740533679184</v>
      </c>
      <c r="M76" s="2">
        <v>-0.39346746679502</v>
      </c>
      <c r="N76" s="2">
        <v>482.56102913657</v>
      </c>
      <c r="O76" s="2">
        <v>543.80794513973</v>
      </c>
    </row>
    <row r="77" spans="1:15">
      <c r="A77" s="2">
        <v>14.406684939098</v>
      </c>
      <c r="B77" s="2">
        <v>0.041904414124479</v>
      </c>
      <c r="C77" s="2">
        <v>90.246125737627</v>
      </c>
      <c r="D77" s="2">
        <v>0.04389218856097</v>
      </c>
      <c r="E77" s="2">
        <v>4.1267992889138</v>
      </c>
      <c r="F77" s="2">
        <v>0.76666389530677</v>
      </c>
      <c r="G77" s="2">
        <v>60930401.920765</v>
      </c>
      <c r="H77" s="2">
        <v>11658495.782737</v>
      </c>
      <c r="I77" s="2">
        <v>-0.021875848503413</v>
      </c>
      <c r="J77" s="2">
        <v>-0.019346350057551</v>
      </c>
      <c r="K77" s="2">
        <v>0.042297959646328</v>
      </c>
      <c r="L77" s="2">
        <v>-0.4030545165947</v>
      </c>
      <c r="M77" s="2">
        <v>-0.39900741326935</v>
      </c>
      <c r="N77" s="2">
        <v>483.56446824407</v>
      </c>
      <c r="O77" s="2">
        <v>545.00867695304</v>
      </c>
    </row>
    <row r="78" spans="1:15">
      <c r="A78" s="2">
        <v>14.606684939098</v>
      </c>
      <c r="B78" s="2">
        <v>0.042508770036836</v>
      </c>
      <c r="C78" s="2">
        <v>90.245177443076</v>
      </c>
      <c r="D78" s="2">
        <v>0.04450293616449</v>
      </c>
      <c r="E78" s="2">
        <v>4.1318269362896</v>
      </c>
      <c r="F78" s="2">
        <v>0.76372626783858</v>
      </c>
      <c r="G78" s="2">
        <v>61704768.569183</v>
      </c>
      <c r="H78" s="2">
        <v>11788752.573833</v>
      </c>
      <c r="I78" s="2">
        <v>-0.022178356509575</v>
      </c>
      <c r="J78" s="2">
        <v>-0.019616335396194</v>
      </c>
      <c r="K78" s="2">
        <v>0.042872551647897</v>
      </c>
      <c r="L78" s="2">
        <v>-0.40871629451436</v>
      </c>
      <c r="M78" s="2">
        <v>-0.4045579621404</v>
      </c>
      <c r="N78" s="2">
        <v>484.56535068996</v>
      </c>
      <c r="O78" s="2">
        <v>546.20655328287</v>
      </c>
    </row>
    <row r="79" spans="1:15">
      <c r="A79" s="2">
        <v>14.806684939098</v>
      </c>
      <c r="B79" s="2">
        <v>0.043113140169113</v>
      </c>
      <c r="C79" s="2">
        <v>90.244229308099</v>
      </c>
      <c r="D79" s="2">
        <v>0.045113694411906</v>
      </c>
      <c r="E79" s="2">
        <v>4.1368538633714</v>
      </c>
      <c r="F79" s="2">
        <v>0.76079828131375</v>
      </c>
      <c r="G79" s="2">
        <v>62481695.444256</v>
      </c>
      <c r="H79" s="2">
        <v>11919395.67326</v>
      </c>
      <c r="I79" s="2">
        <v>-0.022480664751185</v>
      </c>
      <c r="J79" s="2">
        <v>-0.019886194981308</v>
      </c>
      <c r="K79" s="2">
        <v>0.043446808246323</v>
      </c>
      <c r="L79" s="2">
        <v>-0.41438770102504</v>
      </c>
      <c r="M79" s="2">
        <v>-0.41012046703407</v>
      </c>
      <c r="N79" s="2">
        <v>485.56196398448</v>
      </c>
      <c r="O79" s="2">
        <v>547.39978147001</v>
      </c>
    </row>
    <row r="80" spans="1:15">
      <c r="A80" s="2">
        <v>15.006684939098</v>
      </c>
      <c r="B80" s="2">
        <v>0.043717524083102</v>
      </c>
      <c r="C80" s="2">
        <v>90.243280914649</v>
      </c>
      <c r="D80" s="2">
        <v>0.04572446427667</v>
      </c>
      <c r="E80" s="2">
        <v>4.1418798952802</v>
      </c>
      <c r="F80" s="2">
        <v>0.75788014981311</v>
      </c>
      <c r="G80" s="2">
        <v>63261150.964379</v>
      </c>
      <c r="H80" s="2">
        <v>12050419.773673</v>
      </c>
      <c r="I80" s="2">
        <v>-0.022782772769908</v>
      </c>
      <c r="J80" s="2">
        <v>-0.020155929021366</v>
      </c>
      <c r="K80" s="2">
        <v>0.04402072982666</v>
      </c>
      <c r="L80" s="2">
        <v>-0.42007815910173</v>
      </c>
      <c r="M80" s="2">
        <v>-0.41569581068936</v>
      </c>
      <c r="N80" s="2">
        <v>486.55463235598</v>
      </c>
      <c r="O80" s="2">
        <v>548.58876334191</v>
      </c>
    </row>
    <row r="81" spans="1:15">
      <c r="A81" s="2">
        <v>15.206684939098</v>
      </c>
      <c r="B81" s="2">
        <v>0.044321914512975</v>
      </c>
      <c r="C81" s="2">
        <v>90.242332559214</v>
      </c>
      <c r="D81" s="2">
        <v>0.046335245808045</v>
      </c>
      <c r="E81" s="2">
        <v>4.1469053951377</v>
      </c>
      <c r="F81" s="2">
        <v>0.75497170792985</v>
      </c>
      <c r="G81" s="2">
        <v>64043098.792482</v>
      </c>
      <c r="H81" s="2">
        <v>12181818.783566</v>
      </c>
      <c r="I81" s="2">
        <v>-0.023084679172275</v>
      </c>
      <c r="J81" s="2">
        <v>-0.020425536930664</v>
      </c>
      <c r="K81" s="2">
        <v>0.04459431680432</v>
      </c>
      <c r="L81" s="2">
        <v>-0.42577870308804</v>
      </c>
      <c r="M81" s="2">
        <v>-0.42128179629078</v>
      </c>
      <c r="N81" s="2">
        <v>487.544490149</v>
      </c>
      <c r="O81" s="2">
        <v>549.77471764436</v>
      </c>
    </row>
    <row r="82" spans="1:15">
      <c r="A82" s="2">
        <v>15.406684939098</v>
      </c>
      <c r="B82" s="2">
        <v>0.044926322655109</v>
      </c>
      <c r="C82" s="2">
        <v>90.24138391063</v>
      </c>
      <c r="D82" s="2">
        <v>0.04694604135864</v>
      </c>
      <c r="E82" s="2">
        <v>4.15192961548</v>
      </c>
      <c r="F82" s="2">
        <v>0.75207260162224</v>
      </c>
      <c r="G82" s="2">
        <v>64827521.543726</v>
      </c>
      <c r="H82" s="2">
        <v>12313589.813726</v>
      </c>
      <c r="I82" s="2">
        <v>-0.023386386582493</v>
      </c>
      <c r="J82" s="2">
        <v>-0.020695018593945</v>
      </c>
      <c r="K82" s="2">
        <v>0.045167569563483</v>
      </c>
      <c r="L82" s="2">
        <v>-0.43149568710828</v>
      </c>
      <c r="M82" s="2">
        <v>-0.42688420001678</v>
      </c>
      <c r="N82" s="2">
        <v>488.53048877496</v>
      </c>
      <c r="O82" s="2">
        <v>550.95654386753</v>
      </c>
    </row>
    <row r="83" spans="1:15">
      <c r="A83" s="2">
        <v>15.606684939098</v>
      </c>
      <c r="B83" s="2">
        <v>0.04553074497703</v>
      </c>
      <c r="C83" s="2">
        <v>90.240435280181</v>
      </c>
      <c r="D83" s="2">
        <v>0.047556851835447</v>
      </c>
      <c r="E83" s="2">
        <v>4.1569523811903</v>
      </c>
      <c r="F83" s="2">
        <v>0.7491828258041</v>
      </c>
      <c r="G83" s="2">
        <v>65614385.82491</v>
      </c>
      <c r="H83" s="2">
        <v>12445727.289086</v>
      </c>
      <c r="I83" s="2">
        <v>-0.023687896313677</v>
      </c>
      <c r="J83" s="2">
        <v>-0.020964371242409</v>
      </c>
      <c r="K83" s="2">
        <v>0.045740488496965</v>
      </c>
      <c r="L83" s="2">
        <v>-0.43727905264585</v>
      </c>
      <c r="M83" s="2">
        <v>-0.43253544306721</v>
      </c>
      <c r="N83" s="2">
        <v>489.51356295854</v>
      </c>
      <c r="O83" s="2">
        <v>552.13521755169</v>
      </c>
    </row>
    <row r="84" spans="1:15">
      <c r="A84" s="2">
        <v>15.806684939098</v>
      </c>
      <c r="B84" s="2">
        <v>0.04613518395027</v>
      </c>
      <c r="C84" s="2">
        <v>90.239486222168</v>
      </c>
      <c r="D84" s="2">
        <v>0.048167677890414</v>
      </c>
      <c r="E84" s="2">
        <v>4.1619735111878</v>
      </c>
      <c r="F84" s="2">
        <v>0.74630221346475</v>
      </c>
      <c r="G84" s="2">
        <v>66403667.032337</v>
      </c>
      <c r="H84" s="2">
        <v>12578227.110781</v>
      </c>
      <c r="I84" s="2">
        <v>-0.023989208022378</v>
      </c>
      <c r="J84" s="2">
        <v>-0.021233595813992</v>
      </c>
      <c r="K84" s="2">
        <v>0.046313074011186</v>
      </c>
      <c r="L84" s="2">
        <v>-0.44296978395249</v>
      </c>
      <c r="M84" s="2">
        <v>-0.43812478671524</v>
      </c>
      <c r="N84" s="2">
        <v>490.49335844629</v>
      </c>
      <c r="O84" s="2">
        <v>553.31029301892</v>
      </c>
    </row>
    <row r="85" spans="1:15">
      <c r="A85" s="2">
        <v>16.006684939098</v>
      </c>
      <c r="B85" s="2">
        <v>0.046739642207298</v>
      </c>
      <c r="C85" s="2">
        <v>90.23853700623</v>
      </c>
      <c r="D85" s="2">
        <v>0.0487785221811</v>
      </c>
      <c r="E85" s="2">
        <v>4.1669933277595</v>
      </c>
      <c r="F85" s="2">
        <v>0.74343080428433</v>
      </c>
      <c r="G85" s="2">
        <v>67195341.809903</v>
      </c>
      <c r="H85" s="2">
        <v>12711085.379826</v>
      </c>
      <c r="I85" s="2">
        <v>-0.024290322339251</v>
      </c>
      <c r="J85" s="2">
        <v>-0.021502693916412</v>
      </c>
      <c r="K85" s="2">
        <v>0.046885326485705</v>
      </c>
      <c r="L85" s="2">
        <v>-0.44872739272863</v>
      </c>
      <c r="M85" s="2">
        <v>-0.44376288729279</v>
      </c>
      <c r="N85" s="2">
        <v>491.46932780066</v>
      </c>
      <c r="O85" s="2">
        <v>554.48136632708</v>
      </c>
    </row>
    <row r="86" spans="1:15">
      <c r="A86" s="2">
        <v>16.206684939098</v>
      </c>
      <c r="B86" s="2">
        <v>0.047344120231945</v>
      </c>
      <c r="C86" s="2">
        <v>90.237587697529</v>
      </c>
      <c r="D86" s="2">
        <v>0.049389385226759</v>
      </c>
      <c r="E86" s="2">
        <v>4.1720116248811</v>
      </c>
      <c r="F86" s="2">
        <v>0.7405683264587</v>
      </c>
      <c r="G86" s="2">
        <v>67989383.388522</v>
      </c>
      <c r="H86" s="2">
        <v>12844297.641947</v>
      </c>
      <c r="I86" s="2">
        <v>-0.024591239868957</v>
      </c>
      <c r="J86" s="2">
        <v>-0.021771664565166</v>
      </c>
      <c r="K86" s="2">
        <v>0.047457246314365</v>
      </c>
      <c r="L86" s="2">
        <v>-0.45449762722957</v>
      </c>
      <c r="M86" s="2">
        <v>-0.44941335343341</v>
      </c>
      <c r="N86" s="2">
        <v>492.44172124998</v>
      </c>
      <c r="O86" s="2">
        <v>555.64858755354</v>
      </c>
    </row>
    <row r="87" spans="1:15">
      <c r="A87" s="2">
        <v>16.406684939098</v>
      </c>
      <c r="B87" s="2">
        <v>0.047948613572155</v>
      </c>
      <c r="C87" s="2">
        <v>90.236640288616</v>
      </c>
      <c r="D87" s="2">
        <v>0.050000267792417</v>
      </c>
      <c r="E87" s="2">
        <v>4.1770287160316</v>
      </c>
      <c r="F87" s="2">
        <v>0.73771504490531</v>
      </c>
      <c r="G87" s="2">
        <v>68785758.513248</v>
      </c>
      <c r="H87" s="2">
        <v>12977858.356094</v>
      </c>
      <c r="I87" s="2">
        <v>-0.024891959976244</v>
      </c>
      <c r="J87" s="2">
        <v>-0.022040506708698</v>
      </c>
      <c r="K87" s="2">
        <v>0.048028833888216</v>
      </c>
      <c r="L87" s="2">
        <v>-0.46026677276374</v>
      </c>
      <c r="M87" s="2">
        <v>-0.4550562064194</v>
      </c>
      <c r="N87" s="2">
        <v>493.41146791485</v>
      </c>
      <c r="O87" s="2">
        <v>556.81294893444</v>
      </c>
    </row>
    <row r="88" spans="1:15">
      <c r="A88" s="2">
        <v>16.606684939098</v>
      </c>
      <c r="B88" s="2">
        <v>0.048553124559712</v>
      </c>
      <c r="C88" s="2">
        <v>90.235696330037</v>
      </c>
      <c r="D88" s="2">
        <v>0.05061117100864</v>
      </c>
      <c r="E88" s="2">
        <v>4.1820444269256</v>
      </c>
      <c r="F88" s="2">
        <v>0.73487039850558</v>
      </c>
      <c r="G88" s="2">
        <v>69584443.40084</v>
      </c>
      <c r="H88" s="2">
        <v>13111763.562053</v>
      </c>
      <c r="I88" s="2">
        <v>-0.025192484442048</v>
      </c>
      <c r="J88" s="2">
        <v>-0.022309220360824</v>
      </c>
      <c r="K88" s="2">
        <v>0.048600089635694</v>
      </c>
      <c r="L88" s="2">
        <v>-0.46608396782268</v>
      </c>
      <c r="M88" s="2">
        <v>-0.4607596450458</v>
      </c>
      <c r="N88" s="2">
        <v>494.37813183623</v>
      </c>
      <c r="O88" s="2">
        <v>557.97415010001</v>
      </c>
    </row>
    <row r="89" spans="1:15">
      <c r="A89" s="2">
        <v>16.806684939098</v>
      </c>
      <c r="B89" s="2">
        <v>0.04915766287825</v>
      </c>
      <c r="C89" s="2">
        <v>90.234747743292</v>
      </c>
      <c r="D89" s="2">
        <v>0.05122209654067</v>
      </c>
      <c r="E89" s="2">
        <v>4.1870585602345</v>
      </c>
      <c r="F89" s="2">
        <v>0.7320344926163</v>
      </c>
      <c r="G89" s="2">
        <v>70385422.723926</v>
      </c>
      <c r="H89" s="2">
        <v>13246010.767768</v>
      </c>
      <c r="I89" s="2">
        <v>-0.025492814821703</v>
      </c>
      <c r="J89" s="2">
        <v>-0.022577805051002</v>
      </c>
      <c r="K89" s="2">
        <v>0.049171013943846</v>
      </c>
      <c r="L89" s="2">
        <v>-0.47189685663859</v>
      </c>
      <c r="M89" s="2">
        <v>-0.46645083208554</v>
      </c>
      <c r="N89" s="2">
        <v>495.34108998671</v>
      </c>
      <c r="O89" s="2">
        <v>559.13139513793</v>
      </c>
    </row>
    <row r="90" spans="1:15">
      <c r="A90" s="2">
        <v>17</v>
      </c>
      <c r="B90" s="2">
        <v>0.049741887083743</v>
      </c>
      <c r="C90" s="2">
        <v>90.233833867654</v>
      </c>
      <c r="D90" s="2">
        <v>0.051812611344851</v>
      </c>
      <c r="E90" s="2">
        <v>4.1919028285255</v>
      </c>
      <c r="F90" s="2">
        <v>0.72930235707508</v>
      </c>
      <c r="G90" s="2">
        <v>71161612.848879</v>
      </c>
      <c r="H90" s="2">
        <v>13376062.634448</v>
      </c>
      <c r="I90" s="2">
        <v>-0.025782895813587</v>
      </c>
      <c r="J90" s="2">
        <v>-0.022837267611162</v>
      </c>
      <c r="K90" s="2">
        <v>0.04972254065264</v>
      </c>
      <c r="L90" s="2">
        <v>-0.47689861478617</v>
      </c>
      <c r="M90" s="2">
        <v>-0.471141316704</v>
      </c>
      <c r="N90" s="2">
        <v>496.2902774029</v>
      </c>
      <c r="O90" s="2">
        <v>560.26967935088</v>
      </c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topLeftCell="A67" workbookViewId="0">
      <selection activeCell="A1" sqref="A1:O90"/>
    </sheetView>
  </sheetViews>
  <sheetFormatPr defaultColWidth="8.81481481481481" defaultRowHeight="15"/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2">
        <v>0.0025830812468784</v>
      </c>
      <c r="B3" s="3">
        <v>8.0905728566801e-29</v>
      </c>
      <c r="C3" s="2">
        <v>90.287236406764</v>
      </c>
      <c r="D3" s="3">
        <v>6.9743105048139e-6</v>
      </c>
      <c r="E3" s="2">
        <v>6.6107830567379</v>
      </c>
      <c r="F3" s="2">
        <v>0.99204042945801</v>
      </c>
      <c r="G3" s="2">
        <v>16000000</v>
      </c>
      <c r="H3" s="2">
        <v>4000000</v>
      </c>
      <c r="I3" s="3">
        <v>-2.1003961805464e-6</v>
      </c>
      <c r="J3" s="3">
        <v>-1.8889890571852e-6</v>
      </c>
      <c r="K3" s="3">
        <v>7.7492131440854e-6</v>
      </c>
      <c r="L3" s="3">
        <v>-1.3810268189175e-7</v>
      </c>
      <c r="M3" s="3">
        <v>-1.3994047592478e-7</v>
      </c>
      <c r="N3" s="2">
        <v>1.657021400466</v>
      </c>
      <c r="O3" s="2">
        <v>1.7619505473485</v>
      </c>
    </row>
    <row r="4" spans="1:15">
      <c r="A4" s="2">
        <v>0.018444056862426</v>
      </c>
      <c r="B4" s="3">
        <v>1.4716739026031e-25</v>
      </c>
      <c r="C4" s="2">
        <v>90.287538230923</v>
      </c>
      <c r="D4" s="3">
        <v>4.9800628532518e-5</v>
      </c>
      <c r="E4" s="2">
        <v>6.6107941274065</v>
      </c>
      <c r="F4" s="2">
        <v>0.9920967856466</v>
      </c>
      <c r="G4" s="2">
        <v>16000000</v>
      </c>
      <c r="H4" s="2">
        <v>4000000</v>
      </c>
      <c r="I4" s="3">
        <v>-1.4999733878588e-5</v>
      </c>
      <c r="J4" s="3">
        <v>-1.3490019458851e-5</v>
      </c>
      <c r="K4" s="3">
        <v>5.533061069227e-5</v>
      </c>
      <c r="L4" s="3">
        <v>-7.0372634309969e-6</v>
      </c>
      <c r="M4" s="3">
        <v>-7.1315428637209e-6</v>
      </c>
      <c r="N4" s="2">
        <v>11.834825957964</v>
      </c>
      <c r="O4" s="2">
        <v>12.583992571095</v>
      </c>
    </row>
    <row r="5" spans="1:15">
      <c r="A5" s="2">
        <v>0.1</v>
      </c>
      <c r="B5" s="3">
        <v>1.1410687558911e-18</v>
      </c>
      <c r="C5" s="2">
        <v>90.289133009428</v>
      </c>
      <c r="D5" s="2">
        <v>0.00027006129950369</v>
      </c>
      <c r="E5" s="2">
        <v>6.6108503249645</v>
      </c>
      <c r="F5" s="2">
        <v>0.99238631746588</v>
      </c>
      <c r="G5" s="2">
        <v>16000000</v>
      </c>
      <c r="H5" s="2">
        <v>4000000</v>
      </c>
      <c r="I5" s="3">
        <v>-8.1395999478324e-5</v>
      </c>
      <c r="J5" s="3">
        <v>-7.3204294932159e-5</v>
      </c>
      <c r="K5" s="2">
        <v>0.00029995415291107</v>
      </c>
      <c r="L5" s="2">
        <v>-0.00020530870841997</v>
      </c>
      <c r="M5" s="2">
        <v>-0.00020825208681163</v>
      </c>
      <c r="N5" s="2">
        <v>64.264346019854</v>
      </c>
      <c r="O5" s="2">
        <v>68.324450066233</v>
      </c>
    </row>
    <row r="6" spans="1:15">
      <c r="A6" s="2">
        <v>0.20668493909835</v>
      </c>
      <c r="B6" s="3">
        <v>1.0037432741852e-13</v>
      </c>
      <c r="C6" s="2">
        <v>90.291336849781</v>
      </c>
      <c r="D6" s="2">
        <v>0.00055830784327831</v>
      </c>
      <c r="E6" s="2">
        <v>6.6109222538493</v>
      </c>
      <c r="F6" s="2">
        <v>0.99276446185898</v>
      </c>
      <c r="G6" s="2">
        <v>16000000.000058</v>
      </c>
      <c r="H6" s="2">
        <v>4000000.0000101</v>
      </c>
      <c r="I6" s="2">
        <v>-0.00016840162042622</v>
      </c>
      <c r="J6" s="2">
        <v>-0.00015145553663857</v>
      </c>
      <c r="K6" s="2">
        <v>0.00061985900865866</v>
      </c>
      <c r="L6" s="2">
        <v>-0.00088064385538917</v>
      </c>
      <c r="M6" s="2">
        <v>-0.00089308229007544</v>
      </c>
      <c r="N6" s="2">
        <v>133.064192804</v>
      </c>
      <c r="O6" s="2">
        <v>141.45113211777</v>
      </c>
    </row>
    <row r="7" spans="1:15">
      <c r="A7" s="2">
        <v>0.40668493909835</v>
      </c>
      <c r="B7" s="3">
        <v>7.4034848420343e-8</v>
      </c>
      <c r="C7" s="2">
        <v>90.295892109044</v>
      </c>
      <c r="D7" s="2">
        <v>0.0010990914108377</v>
      </c>
      <c r="E7" s="2">
        <v>6.6110523698176</v>
      </c>
      <c r="F7" s="2">
        <v>0.99347070798137</v>
      </c>
      <c r="G7" s="2">
        <v>16000041.180451</v>
      </c>
      <c r="H7" s="2">
        <v>4000007.1560185</v>
      </c>
      <c r="I7" s="2">
        <v>-0.00033208385507754</v>
      </c>
      <c r="J7" s="2">
        <v>-0.00029866676714995</v>
      </c>
      <c r="K7" s="2">
        <v>0.0012192970249765</v>
      </c>
      <c r="L7" s="2">
        <v>-0.0034061387573293</v>
      </c>
      <c r="M7" s="2">
        <v>-0.003457309223075</v>
      </c>
      <c r="N7" s="2">
        <v>262.79697629922</v>
      </c>
      <c r="O7" s="2">
        <v>279.28261529586</v>
      </c>
    </row>
    <row r="8" spans="1:15">
      <c r="A8" s="2">
        <v>0.60668493909835</v>
      </c>
      <c r="B8" s="2">
        <v>0.00010158366648952</v>
      </c>
      <c r="C8" s="2">
        <v>90.300219089293</v>
      </c>
      <c r="D8" s="2">
        <v>0.0016527390097613</v>
      </c>
      <c r="E8" s="2">
        <v>6.6124279231547</v>
      </c>
      <c r="F8" s="2">
        <v>0.99376907679369</v>
      </c>
      <c r="G8" s="2">
        <v>16058801.0908</v>
      </c>
      <c r="H8" s="2">
        <v>4010215.3708356</v>
      </c>
      <c r="I8" s="2">
        <v>-0.00052038844587387</v>
      </c>
      <c r="J8" s="2">
        <v>-0.00046474653325962</v>
      </c>
      <c r="K8" s="2">
        <v>0.0018183686577047</v>
      </c>
      <c r="L8" s="2">
        <v>-0.011024718931515</v>
      </c>
      <c r="M8" s="2">
        <v>-0.010896523824693</v>
      </c>
      <c r="N8" s="2">
        <v>374.30743608652</v>
      </c>
      <c r="O8" s="2">
        <v>398.90494914555</v>
      </c>
    </row>
    <row r="9" spans="1:15">
      <c r="A9" s="2">
        <v>0.80668493909835</v>
      </c>
      <c r="B9" s="2">
        <v>0.00060517158548279</v>
      </c>
      <c r="C9" s="2">
        <v>90.302893488623</v>
      </c>
      <c r="D9" s="2">
        <v>0.0022458447593113</v>
      </c>
      <c r="E9" s="2">
        <v>6.6178098389718</v>
      </c>
      <c r="F9" s="2">
        <v>0.99247291773401</v>
      </c>
      <c r="G9" s="2">
        <v>16370062.418833</v>
      </c>
      <c r="H9" s="2">
        <v>4064258.4118605</v>
      </c>
      <c r="I9" s="2">
        <v>-0.00079422011308856</v>
      </c>
      <c r="J9" s="2">
        <v>-0.00070819255451456</v>
      </c>
      <c r="K9" s="2">
        <v>0.0024170749634895</v>
      </c>
      <c r="L9" s="2">
        <v>-0.017323485048796</v>
      </c>
      <c r="M9" s="2">
        <v>-0.016869879477239</v>
      </c>
      <c r="N9" s="2">
        <v>411.99343789959</v>
      </c>
      <c r="O9" s="2">
        <v>443.66002872621</v>
      </c>
    </row>
    <row r="10" spans="1:15">
      <c r="A10" s="2">
        <v>1.0066849390983</v>
      </c>
      <c r="B10" s="2">
        <v>0.0012128232966701</v>
      </c>
      <c r="C10" s="2">
        <v>90.306571368941</v>
      </c>
      <c r="D10" s="2">
        <v>0.0028511887829851</v>
      </c>
      <c r="E10" s="2">
        <v>6.6220341338748</v>
      </c>
      <c r="F10" s="2">
        <v>0.99019834396378</v>
      </c>
      <c r="G10" s="2">
        <v>16780124.604302</v>
      </c>
      <c r="H10" s="2">
        <v>4135400.2606356</v>
      </c>
      <c r="I10" s="2">
        <v>-0.001092772263152</v>
      </c>
      <c r="J10" s="2">
        <v>-0.00097599257762182</v>
      </c>
      <c r="K10" s="2">
        <v>0.0030154173938629</v>
      </c>
      <c r="L10" s="2">
        <v>-0.020124126058383</v>
      </c>
      <c r="M10" s="2">
        <v>-0.019651331169683</v>
      </c>
      <c r="N10" s="2">
        <v>427.00693523936</v>
      </c>
      <c r="O10" s="2">
        <v>464.41601728799</v>
      </c>
    </row>
    <row r="11" spans="1:15">
      <c r="A11" s="2">
        <v>1.2066849390983</v>
      </c>
      <c r="B11" s="2">
        <v>0.0018273701761489</v>
      </c>
      <c r="C11" s="2">
        <v>90.308852835722</v>
      </c>
      <c r="D11" s="2">
        <v>0.0034630352223501</v>
      </c>
      <c r="E11" s="2">
        <v>6.6258222294258</v>
      </c>
      <c r="F11" s="2">
        <v>0.98675690476464</v>
      </c>
      <c r="G11" s="2">
        <v>17229945.166689</v>
      </c>
      <c r="H11" s="2">
        <v>4213385.1722032</v>
      </c>
      <c r="I11" s="2">
        <v>-0.0013987904354598</v>
      </c>
      <c r="J11" s="2">
        <v>-0.0012495540758141</v>
      </c>
      <c r="K11" s="2">
        <v>0.0036133940486544</v>
      </c>
      <c r="L11" s="2">
        <v>-0.028737084706403</v>
      </c>
      <c r="M11" s="2">
        <v>-0.028794379225829</v>
      </c>
      <c r="N11" s="2">
        <v>435.76596988371</v>
      </c>
      <c r="O11" s="2">
        <v>477.4616307017</v>
      </c>
    </row>
    <row r="12" spans="1:15">
      <c r="A12" s="2">
        <v>1.4066849390983</v>
      </c>
      <c r="B12" s="2">
        <v>0.0024380045632729</v>
      </c>
      <c r="C12" s="2">
        <v>90.309792543432</v>
      </c>
      <c r="D12" s="2">
        <v>0.004077867535772</v>
      </c>
      <c r="E12" s="2">
        <v>6.6296809090109</v>
      </c>
      <c r="F12" s="2">
        <v>0.9829328063903</v>
      </c>
      <c r="G12" s="2">
        <v>17706264.404697</v>
      </c>
      <c r="H12" s="2">
        <v>4295912.271327</v>
      </c>
      <c r="I12" s="2">
        <v>-0.0017085586600515</v>
      </c>
      <c r="J12" s="2">
        <v>-0.0015256222374474</v>
      </c>
      <c r="K12" s="2">
        <v>0.0042110059916151</v>
      </c>
      <c r="L12" s="2">
        <v>-0.038249276455436</v>
      </c>
      <c r="M12" s="2">
        <v>-0.038122888441742</v>
      </c>
      <c r="N12" s="2">
        <v>441.43489473249</v>
      </c>
      <c r="O12" s="2">
        <v>486.08911315471</v>
      </c>
    </row>
    <row r="13" spans="1:15">
      <c r="A13" s="2">
        <v>1.6066849390983</v>
      </c>
      <c r="B13" s="2">
        <v>0.0030459677434251</v>
      </c>
      <c r="C13" s="2">
        <v>90.309909332413</v>
      </c>
      <c r="D13" s="2">
        <v>0.0046938456327645</v>
      </c>
      <c r="E13" s="2">
        <v>6.6336471294922</v>
      </c>
      <c r="F13" s="2">
        <v>0.97908893069569</v>
      </c>
      <c r="G13" s="2">
        <v>18201025.776996</v>
      </c>
      <c r="H13" s="2">
        <v>4381582.1894374</v>
      </c>
      <c r="I13" s="2">
        <v>-0.0020206503085927</v>
      </c>
      <c r="J13" s="2">
        <v>-0.0018024493246602</v>
      </c>
      <c r="K13" s="2">
        <v>0.0048082544466491</v>
      </c>
      <c r="L13" s="2">
        <v>-0.045170470299419</v>
      </c>
      <c r="M13" s="2">
        <v>-0.045529776897193</v>
      </c>
      <c r="N13" s="2">
        <v>445.46339425728</v>
      </c>
      <c r="O13" s="2">
        <v>492.15184783776</v>
      </c>
    </row>
    <row r="14" spans="1:15">
      <c r="A14" s="2">
        <v>1.8066849390983</v>
      </c>
      <c r="B14" s="2">
        <v>0.003652514760355</v>
      </c>
      <c r="C14" s="2">
        <v>90.30953855</v>
      </c>
      <c r="D14" s="2">
        <v>0.0053100809473402</v>
      </c>
      <c r="E14" s="2">
        <v>6.6377136710749</v>
      </c>
      <c r="F14" s="2">
        <v>0.97522020385642</v>
      </c>
      <c r="G14" s="2">
        <v>18708885.169434</v>
      </c>
      <c r="H14" s="2">
        <v>4469466.0288319</v>
      </c>
      <c r="I14" s="2">
        <v>-0.0023344162626367</v>
      </c>
      <c r="J14" s="2">
        <v>-0.002079038392888</v>
      </c>
      <c r="K14" s="2">
        <v>0.0054051403169932</v>
      </c>
      <c r="L14" s="2">
        <v>-0.052173865069236</v>
      </c>
      <c r="M14" s="2">
        <v>-0.052938265453829</v>
      </c>
      <c r="N14" s="2">
        <v>448.62985095368</v>
      </c>
      <c r="O14" s="2">
        <v>496.79755349016</v>
      </c>
    </row>
    <row r="15" spans="1:15">
      <c r="A15" s="2">
        <v>2.0066849390983</v>
      </c>
      <c r="B15" s="2">
        <v>0.0042583889106961</v>
      </c>
      <c r="C15" s="2">
        <v>90.308862276471</v>
      </c>
      <c r="D15" s="2">
        <v>0.0059261659051028</v>
      </c>
      <c r="E15" s="2">
        <v>6.6418385211497</v>
      </c>
      <c r="F15" s="2">
        <v>0.97135661258561</v>
      </c>
      <c r="G15" s="2">
        <v>19227023.521529</v>
      </c>
      <c r="H15" s="2">
        <v>4559073.5954952</v>
      </c>
      <c r="I15" s="2">
        <v>-0.0026493376298689</v>
      </c>
      <c r="J15" s="2">
        <v>-0.0023551591704862</v>
      </c>
      <c r="K15" s="2">
        <v>0.0060016646878855</v>
      </c>
      <c r="L15" s="2">
        <v>-0.059515894854156</v>
      </c>
      <c r="M15" s="2">
        <v>-0.060449029985378</v>
      </c>
      <c r="N15" s="2">
        <v>451.28921791702</v>
      </c>
      <c r="O15" s="2">
        <v>500.6057014687</v>
      </c>
    </row>
    <row r="16" spans="1:15">
      <c r="A16" s="2">
        <v>2.2066849390983</v>
      </c>
      <c r="B16" s="2">
        <v>0.0048640424481382</v>
      </c>
      <c r="C16" s="2">
        <v>90.308015184602</v>
      </c>
      <c r="D16" s="2">
        <v>0.006541947531398</v>
      </c>
      <c r="E16" s="2">
        <v>6.6459852609123</v>
      </c>
      <c r="F16" s="2">
        <v>0.96749945388331</v>
      </c>
      <c r="G16" s="2">
        <v>19753825.274137</v>
      </c>
      <c r="H16" s="2">
        <v>4650123.997544</v>
      </c>
      <c r="I16" s="2">
        <v>-0.0029648188254603</v>
      </c>
      <c r="J16" s="2">
        <v>-0.0026310191239556</v>
      </c>
      <c r="K16" s="2">
        <v>0.006597828291569</v>
      </c>
      <c r="L16" s="2">
        <v>-0.06687589114788</v>
      </c>
      <c r="M16" s="2">
        <v>-0.06791940264109</v>
      </c>
      <c r="N16" s="2">
        <v>453.6253373398</v>
      </c>
      <c r="O16" s="2">
        <v>503.88754511504</v>
      </c>
    </row>
    <row r="17" spans="1:15">
      <c r="A17" s="2">
        <v>2.4066849390983</v>
      </c>
      <c r="B17" s="2">
        <v>0.0054696338717292</v>
      </c>
      <c r="C17" s="2">
        <v>90.307074343804</v>
      </c>
      <c r="D17" s="2">
        <v>0.0071574176036552</v>
      </c>
      <c r="E17" s="2">
        <v>6.6501368923287</v>
      </c>
      <c r="F17" s="2">
        <v>0.96365819039153</v>
      </c>
      <c r="G17" s="2">
        <v>20288296.396627</v>
      </c>
      <c r="H17" s="2">
        <v>4742444.4200726</v>
      </c>
      <c r="I17" s="2">
        <v>-0.0032804340355152</v>
      </c>
      <c r="J17" s="2">
        <v>-0.0029068277878716</v>
      </c>
      <c r="K17" s="2">
        <v>0.0071936315168949</v>
      </c>
      <c r="L17" s="2">
        <v>-0.073969713436962</v>
      </c>
      <c r="M17" s="2">
        <v>-0.075158057979259</v>
      </c>
      <c r="N17" s="2">
        <v>455.74129000753</v>
      </c>
      <c r="O17" s="2">
        <v>506.80531416413</v>
      </c>
    </row>
    <row r="18" spans="1:15">
      <c r="A18" s="2">
        <v>2.6066849390983</v>
      </c>
      <c r="B18" s="2">
        <v>0.0060752156587388</v>
      </c>
      <c r="C18" s="2">
        <v>90.306086996363</v>
      </c>
      <c r="D18" s="2">
        <v>0.0077726171976384</v>
      </c>
      <c r="E18" s="2">
        <v>6.6542955356715</v>
      </c>
      <c r="F18" s="2">
        <v>0.95985276114207</v>
      </c>
      <c r="G18" s="2">
        <v>20829717.041879</v>
      </c>
      <c r="H18" s="2">
        <v>4835909.6419362</v>
      </c>
      <c r="I18" s="2">
        <v>-0.0035959287962524</v>
      </c>
      <c r="J18" s="2">
        <v>-0.0031827031169156</v>
      </c>
      <c r="K18" s="2">
        <v>0.0077890747363498</v>
      </c>
      <c r="L18" s="2">
        <v>-0.080968518215497</v>
      </c>
      <c r="M18" s="2">
        <v>-0.08222761581831</v>
      </c>
      <c r="N18" s="2">
        <v>457.70359078504</v>
      </c>
      <c r="O18" s="2">
        <v>509.45770965185</v>
      </c>
    </row>
    <row r="19" spans="1:15">
      <c r="A19" s="2">
        <v>2.8066849390983</v>
      </c>
      <c r="B19" s="2">
        <v>0.0066808273910133</v>
      </c>
      <c r="C19" s="2">
        <v>90.305068181761</v>
      </c>
      <c r="D19" s="2">
        <v>0.0083875821046184</v>
      </c>
      <c r="E19" s="2">
        <v>6.6584729817445</v>
      </c>
      <c r="F19" s="2">
        <v>0.95608999121328</v>
      </c>
      <c r="G19" s="2">
        <v>21377530.251729</v>
      </c>
      <c r="H19" s="2">
        <v>4930422.6653861</v>
      </c>
      <c r="I19" s="2">
        <v>-0.0039111888683145</v>
      </c>
      <c r="J19" s="2">
        <v>-0.0034586746002444</v>
      </c>
      <c r="K19" s="2">
        <v>0.0083841583789024</v>
      </c>
      <c r="L19" s="2">
        <v>-0.087878842393625</v>
      </c>
      <c r="M19" s="2">
        <v>-0.089165154252515</v>
      </c>
      <c r="N19" s="2">
        <v>459.55441969047</v>
      </c>
      <c r="O19" s="2">
        <v>511.91228722332</v>
      </c>
    </row>
    <row r="20" spans="1:15">
      <c r="A20" s="2">
        <v>3.0066849390983</v>
      </c>
      <c r="B20" s="2">
        <v>0.0072865247910015</v>
      </c>
      <c r="C20" s="2">
        <v>90.304034468375</v>
      </c>
      <c r="D20" s="2">
        <v>0.0090023518710979</v>
      </c>
      <c r="E20" s="2">
        <v>6.662679558238</v>
      </c>
      <c r="F20" s="2">
        <v>0.95236874065507</v>
      </c>
      <c r="G20" s="2">
        <v>21931252.752459</v>
      </c>
      <c r="H20" s="2">
        <v>5025899.2296041</v>
      </c>
      <c r="I20" s="2">
        <v>-0.0042261711805418</v>
      </c>
      <c r="J20" s="2">
        <v>-0.003734720500617</v>
      </c>
      <c r="K20" s="2">
        <v>0.0089788828118244</v>
      </c>
      <c r="L20" s="2">
        <v>-0.094667457307207</v>
      </c>
      <c r="M20" s="2">
        <v>-0.095929743968492</v>
      </c>
      <c r="N20" s="2">
        <v>461.32646916087</v>
      </c>
      <c r="O20" s="2">
        <v>514.22756770049</v>
      </c>
    </row>
    <row r="21" spans="1:15">
      <c r="A21" s="2">
        <v>3.2066849390983</v>
      </c>
      <c r="B21" s="2">
        <v>0.0078923409997662</v>
      </c>
      <c r="C21" s="2">
        <v>90.302993872625</v>
      </c>
      <c r="D21" s="2">
        <v>0.0096169591992306</v>
      </c>
      <c r="E21" s="2">
        <v>6.6669210362837</v>
      </c>
      <c r="F21" s="2">
        <v>0.94868420632927</v>
      </c>
      <c r="G21" s="2">
        <v>22490526.856794</v>
      </c>
      <c r="H21" s="2">
        <v>5122276.8913094</v>
      </c>
      <c r="I21" s="2">
        <v>-0.0045408759724471</v>
      </c>
      <c r="J21" s="2">
        <v>-0.0040108023252029</v>
      </c>
      <c r="K21" s="2">
        <v>0.0095732484284241</v>
      </c>
      <c r="L21" s="2">
        <v>-0.10136755353331</v>
      </c>
      <c r="M21" s="2">
        <v>-0.10260476488304</v>
      </c>
      <c r="N21" s="2">
        <v>463.03987378786</v>
      </c>
      <c r="O21" s="2">
        <v>516.44271758501</v>
      </c>
    </row>
    <row r="22" spans="1:15">
      <c r="A22" s="2">
        <v>3.4066849390983</v>
      </c>
      <c r="B22" s="2">
        <v>0.0084982516335732</v>
      </c>
      <c r="C22" s="2">
        <v>90.30194982913</v>
      </c>
      <c r="D22" s="2">
        <v>0.0102314130968</v>
      </c>
      <c r="E22" s="2">
        <v>6.6712006077774</v>
      </c>
      <c r="F22" s="2">
        <v>0.94503368993988</v>
      </c>
      <c r="G22" s="2">
        <v>23055120.061471</v>
      </c>
      <c r="H22" s="2">
        <v>5219515.027227</v>
      </c>
      <c r="I22" s="2">
        <v>-0.0048553193711077</v>
      </c>
      <c r="J22" s="2">
        <v>-0.0042868821726672</v>
      </c>
      <c r="K22" s="2">
        <v>0.010167255750067</v>
      </c>
      <c r="L22" s="2">
        <v>-0.10804804535908</v>
      </c>
      <c r="M22" s="2">
        <v>-0.10926643219369</v>
      </c>
      <c r="N22" s="2">
        <v>464.70634594004</v>
      </c>
      <c r="O22" s="2">
        <v>518.57847135556</v>
      </c>
    </row>
    <row r="23" spans="1:15">
      <c r="A23" s="2">
        <v>3.6066849390983</v>
      </c>
      <c r="B23" s="2">
        <v>0.0091042090287376</v>
      </c>
      <c r="C23" s="2">
        <v>90.300903265582</v>
      </c>
      <c r="D23" s="2">
        <v>0.010845709290895</v>
      </c>
      <c r="E23" s="2">
        <v>6.6755183062671</v>
      </c>
      <c r="F23" s="2">
        <v>0.94141617120643</v>
      </c>
      <c r="G23" s="2">
        <v>23624869.695952</v>
      </c>
      <c r="H23" s="2">
        <v>5317585.1961457</v>
      </c>
      <c r="I23" s="2">
        <v>-0.0051695255856421</v>
      </c>
      <c r="J23" s="2">
        <v>-0.0045629235257388</v>
      </c>
      <c r="K23" s="2">
        <v>0.010760905358426</v>
      </c>
      <c r="L23" s="2">
        <v>-0.11472002037467</v>
      </c>
      <c r="M23" s="2">
        <v>-0.11591613621376</v>
      </c>
      <c r="N23" s="2">
        <v>466.33262734425</v>
      </c>
      <c r="O23" s="2">
        <v>520.64636665397</v>
      </c>
    </row>
    <row r="24" spans="1:15">
      <c r="A24" s="2">
        <v>3.8066849390983</v>
      </c>
      <c r="B24" s="2">
        <v>0.0097101539594651</v>
      </c>
      <c r="C24" s="2">
        <v>90.299853841951</v>
      </c>
      <c r="D24" s="2">
        <v>0.011459839261566</v>
      </c>
      <c r="E24" s="2">
        <v>6.6798741513403</v>
      </c>
      <c r="F24" s="2">
        <v>0.93782930755347</v>
      </c>
      <c r="G24" s="2">
        <v>24199632.54209</v>
      </c>
      <c r="H24" s="2">
        <v>5416462.4050001</v>
      </c>
      <c r="I24" s="2">
        <v>-0.0054835278035432</v>
      </c>
      <c r="J24" s="2">
        <v>-0.0048388781633544</v>
      </c>
      <c r="K24" s="2">
        <v>0.011354197825331</v>
      </c>
      <c r="L24" s="2">
        <v>-0.12130056651621</v>
      </c>
      <c r="M24" s="2">
        <v>-0.12243390818337</v>
      </c>
      <c r="N24" s="2">
        <v>467.92634088906</v>
      </c>
      <c r="O24" s="2">
        <v>522.65784762613</v>
      </c>
    </row>
    <row r="25" spans="1:15">
      <c r="A25" s="2">
        <v>4.0066849390983</v>
      </c>
      <c r="B25" s="2">
        <v>0.01031604848091</v>
      </c>
      <c r="C25" s="2">
        <v>90.298800336757</v>
      </c>
      <c r="D25" s="2">
        <v>0.012073793593102</v>
      </c>
      <c r="E25" s="2">
        <v>6.6842665339502</v>
      </c>
      <c r="F25" s="2">
        <v>0.93426902038164</v>
      </c>
      <c r="G25" s="2">
        <v>24779315.735758</v>
      </c>
      <c r="H25" s="2">
        <v>5516130.4241808</v>
      </c>
      <c r="I25" s="2">
        <v>-0.005797375546851</v>
      </c>
      <c r="J25" s="2">
        <v>-0.0051146932741525</v>
      </c>
      <c r="K25" s="2">
        <v>0.011947133711626</v>
      </c>
      <c r="L25" s="2">
        <v>-0.12787054181346</v>
      </c>
      <c r="M25" s="2">
        <v>-0.12893833108975</v>
      </c>
      <c r="N25" s="2">
        <v>469.48973764661</v>
      </c>
      <c r="O25" s="2">
        <v>524.61701367882</v>
      </c>
    </row>
    <row r="26" spans="1:15">
      <c r="A26" s="2">
        <v>4.2066849390983</v>
      </c>
      <c r="B26" s="2">
        <v>0.010921863490497</v>
      </c>
      <c r="C26" s="2">
        <v>90.297742221342</v>
      </c>
      <c r="D26" s="2">
        <v>0.012687564591916</v>
      </c>
      <c r="E26" s="2">
        <v>6.688691215005</v>
      </c>
      <c r="F26" s="2">
        <v>0.93073256348517</v>
      </c>
      <c r="G26" s="2">
        <v>25363833.32269</v>
      </c>
      <c r="H26" s="2">
        <v>5616574.2353396</v>
      </c>
      <c r="I26" s="2">
        <v>-0.0061110994593074</v>
      </c>
      <c r="J26" s="2">
        <v>-0.0053903349162446</v>
      </c>
      <c r="K26" s="2">
        <v>0.01253971356252</v>
      </c>
      <c r="L26" s="2">
        <v>-0.13440310661877</v>
      </c>
      <c r="M26" s="2">
        <v>-0.13537967839815</v>
      </c>
      <c r="N26" s="2">
        <v>471.02472946792</v>
      </c>
      <c r="O26" s="2">
        <v>526.52770002451</v>
      </c>
    </row>
    <row r="27" spans="1:15">
      <c r="A27" s="2">
        <v>4.4066849390983</v>
      </c>
      <c r="B27" s="2">
        <v>0.011527602238804</v>
      </c>
      <c r="C27" s="2">
        <v>90.296680355107</v>
      </c>
      <c r="D27" s="2">
        <v>0.013301163462852</v>
      </c>
      <c r="E27" s="2">
        <v>6.6931446960981</v>
      </c>
      <c r="F27" s="2">
        <v>0.9272190282974</v>
      </c>
      <c r="G27" s="2">
        <v>25953070.986722</v>
      </c>
      <c r="H27" s="2">
        <v>5717773.8982317</v>
      </c>
      <c r="I27" s="2">
        <v>-0.0064246920112461</v>
      </c>
      <c r="J27" s="2">
        <v>-0.0056658009121196</v>
      </c>
      <c r="K27" s="2">
        <v>0.013131937792307</v>
      </c>
      <c r="L27" s="2">
        <v>-0.14086873702848</v>
      </c>
      <c r="M27" s="2">
        <v>-0.14174449279386</v>
      </c>
      <c r="N27" s="2">
        <v>472.53612850743</v>
      </c>
      <c r="O27" s="2">
        <v>528.3994001603</v>
      </c>
    </row>
    <row r="28" spans="1:15">
      <c r="A28" s="2">
        <v>4.6066849390983</v>
      </c>
      <c r="B28" s="2">
        <v>0.012133284223768</v>
      </c>
      <c r="C28" s="2">
        <v>90.295614738186</v>
      </c>
      <c r="D28" s="2">
        <v>0.013914609403803</v>
      </c>
      <c r="E28" s="2">
        <v>6.6976238468987</v>
      </c>
      <c r="F28" s="2">
        <v>0.92372689767045</v>
      </c>
      <c r="G28" s="2">
        <v>26546917.558325</v>
      </c>
      <c r="H28" s="2">
        <v>5819710.0008955</v>
      </c>
      <c r="I28" s="2">
        <v>-0.0067381357888588</v>
      </c>
      <c r="J28" s="2">
        <v>-0.0059411041246788</v>
      </c>
      <c r="K28" s="2">
        <v>0.013723806720146</v>
      </c>
      <c r="L28" s="2">
        <v>-0.14731849486323</v>
      </c>
      <c r="M28" s="2">
        <v>-0.14811724918808</v>
      </c>
      <c r="N28" s="2">
        <v>474.02667893874</v>
      </c>
      <c r="O28" s="2">
        <v>530.2391243245</v>
      </c>
    </row>
    <row r="29" spans="1:15">
      <c r="A29" s="2">
        <v>4.8066849390983</v>
      </c>
      <c r="B29" s="2">
        <v>0.01273892891121</v>
      </c>
      <c r="C29" s="2">
        <v>90.294546780579</v>
      </c>
      <c r="D29" s="2">
        <v>0.014527921296873</v>
      </c>
      <c r="E29" s="2">
        <v>6.7021258076773</v>
      </c>
      <c r="F29" s="2">
        <v>0.9202548574715</v>
      </c>
      <c r="G29" s="2">
        <v>27145278.941101</v>
      </c>
      <c r="H29" s="2">
        <v>5922366.1157552</v>
      </c>
      <c r="I29" s="2">
        <v>-0.0070514205715246</v>
      </c>
      <c r="J29" s="2">
        <v>-0.0062162505550236</v>
      </c>
      <c r="K29" s="2">
        <v>0.014315320652577</v>
      </c>
      <c r="L29" s="2">
        <v>-0.15370597980685</v>
      </c>
      <c r="M29" s="2">
        <v>-0.15441844036971</v>
      </c>
      <c r="N29" s="2">
        <v>475.49850881922</v>
      </c>
      <c r="O29" s="2">
        <v>532.05172508774</v>
      </c>
    </row>
    <row r="30" spans="1:15">
      <c r="A30" s="2">
        <v>5.0066849390983</v>
      </c>
      <c r="B30" s="2">
        <v>0.013344542725479</v>
      </c>
      <c r="C30" s="2">
        <v>90.293477050372</v>
      </c>
      <c r="D30" s="2">
        <v>0.015141114121872</v>
      </c>
      <c r="E30" s="2">
        <v>6.7066486181698</v>
      </c>
      <c r="F30" s="2">
        <v>0.91680222216062</v>
      </c>
      <c r="G30" s="2">
        <v>27748066.0064</v>
      </c>
      <c r="H30" s="2">
        <v>6025726.7054262</v>
      </c>
      <c r="I30" s="2">
        <v>-0.0073645380514782</v>
      </c>
      <c r="J30" s="2">
        <v>-0.0064912432856656</v>
      </c>
      <c r="K30" s="2">
        <v>0.014906479920999</v>
      </c>
      <c r="L30" s="2">
        <v>-0.16011480253541</v>
      </c>
      <c r="M30" s="2">
        <v>-0.16079276923703</v>
      </c>
      <c r="N30" s="2">
        <v>476.95451668386</v>
      </c>
      <c r="O30" s="2">
        <v>533.8417158738</v>
      </c>
    </row>
    <row r="31" spans="1:15">
      <c r="A31" s="2">
        <v>5.2066849390983</v>
      </c>
      <c r="B31" s="2">
        <v>0.013950127613573</v>
      </c>
      <c r="C31" s="2">
        <v>90.292405775377</v>
      </c>
      <c r="D31" s="2">
        <v>0.015754199181404</v>
      </c>
      <c r="E31" s="2">
        <v>6.7111911137143</v>
      </c>
      <c r="F31" s="2">
        <v>0.91336730078389</v>
      </c>
      <c r="G31" s="2">
        <v>28355203.124546</v>
      </c>
      <c r="H31" s="2">
        <v>6129778.5781877</v>
      </c>
      <c r="I31" s="2">
        <v>-0.0076774879928354</v>
      </c>
      <c r="J31" s="2">
        <v>-0.0067660791467773</v>
      </c>
      <c r="K31" s="2">
        <v>0.015497284860741</v>
      </c>
      <c r="L31" s="2">
        <v>-0.16645572099461</v>
      </c>
      <c r="M31" s="2">
        <v>-0.16699913185995</v>
      </c>
      <c r="N31" s="2">
        <v>478.39624204418</v>
      </c>
      <c r="O31" s="2">
        <v>535.61116458349</v>
      </c>
    </row>
    <row r="32" spans="1:15">
      <c r="A32" s="2">
        <v>5.4066849390983</v>
      </c>
      <c r="B32" s="2">
        <v>0.014555693500376</v>
      </c>
      <c r="C32" s="2">
        <v>90.291333302068</v>
      </c>
      <c r="D32" s="2">
        <v>0.016367187078119</v>
      </c>
      <c r="E32" s="2">
        <v>6.7157511542271</v>
      </c>
      <c r="F32" s="2">
        <v>0.90994846475438</v>
      </c>
      <c r="G32" s="2">
        <v>28966631.551665</v>
      </c>
      <c r="H32" s="2">
        <v>6234511.4639522</v>
      </c>
      <c r="I32" s="2">
        <v>-0.0079902692115053</v>
      </c>
      <c r="J32" s="2">
        <v>-0.0070407613302609</v>
      </c>
      <c r="K32" s="2">
        <v>0.016087735804811</v>
      </c>
      <c r="L32" s="2">
        <v>-0.17277516735773</v>
      </c>
      <c r="M32" s="2">
        <v>-0.17323370774764</v>
      </c>
      <c r="N32" s="2">
        <v>479.82312931888</v>
      </c>
      <c r="O32" s="2">
        <v>537.35953222938</v>
      </c>
    </row>
    <row r="33" spans="1:15">
      <c r="A33" s="2">
        <v>5.6066849390983</v>
      </c>
      <c r="B33" s="2">
        <v>0.015161226195205</v>
      </c>
      <c r="C33" s="2">
        <v>90.290259700119</v>
      </c>
      <c r="D33" s="2">
        <v>0.016980082641317</v>
      </c>
      <c r="E33" s="2">
        <v>6.7203280101585</v>
      </c>
      <c r="F33" s="2">
        <v>0.90654426326941</v>
      </c>
      <c r="G33" s="2">
        <v>29582276.440319</v>
      </c>
      <c r="H33" s="2">
        <v>6339912.3510365</v>
      </c>
      <c r="I33" s="2">
        <v>-0.008302879340223</v>
      </c>
      <c r="J33" s="2">
        <v>-0.0073152863914131</v>
      </c>
      <c r="K33" s="2">
        <v>0.016677833112097</v>
      </c>
      <c r="L33" s="2">
        <v>-0.17908771490919</v>
      </c>
      <c r="M33" s="2">
        <v>-0.17944503600058</v>
      </c>
      <c r="N33" s="2">
        <v>481.23812229033</v>
      </c>
      <c r="O33" s="2">
        <v>539.08999845133</v>
      </c>
    </row>
    <row r="34" spans="1:15">
      <c r="A34" s="2">
        <v>5.8066849390983</v>
      </c>
      <c r="B34" s="2">
        <v>0.015766731756949</v>
      </c>
      <c r="C34" s="2">
        <v>90.289186059628</v>
      </c>
      <c r="D34" s="2">
        <v>0.017592893544078</v>
      </c>
      <c r="E34" s="2">
        <v>6.7249213287912</v>
      </c>
      <c r="F34" s="2">
        <v>0.90315381436332</v>
      </c>
      <c r="G34" s="2">
        <v>30202086.521141</v>
      </c>
      <c r="H34" s="2">
        <v>6445972.2885428</v>
      </c>
      <c r="I34" s="2">
        <v>-0.0086153168152841</v>
      </c>
      <c r="J34" s="2">
        <v>-0.0075896595246937</v>
      </c>
      <c r="K34" s="2">
        <v>0.01726757715783</v>
      </c>
      <c r="L34" s="2">
        <v>-0.18545438224202</v>
      </c>
      <c r="M34" s="2">
        <v>-0.1857065324263</v>
      </c>
      <c r="N34" s="2">
        <v>482.63989079683</v>
      </c>
      <c r="O34" s="2">
        <v>540.80141155819</v>
      </c>
    </row>
    <row r="35" spans="1:15">
      <c r="A35" s="2">
        <v>6.0066849390983</v>
      </c>
      <c r="B35" s="2">
        <v>0.016372202142945</v>
      </c>
      <c r="C35" s="2">
        <v>90.28811275168</v>
      </c>
      <c r="D35" s="2">
        <v>0.018205622657099</v>
      </c>
      <c r="E35" s="2">
        <v>6.7295307501552</v>
      </c>
      <c r="F35" s="2">
        <v>0.89977581240111</v>
      </c>
      <c r="G35" s="2">
        <v>30825995.923153</v>
      </c>
      <c r="H35" s="2">
        <v>6552679.8343404</v>
      </c>
      <c r="I35" s="2">
        <v>-0.0089275749250446</v>
      </c>
      <c r="J35" s="2">
        <v>-0.0078638830580004</v>
      </c>
      <c r="K35" s="2">
        <v>0.017856968327328</v>
      </c>
      <c r="L35" s="2">
        <v>-0.19178571898783</v>
      </c>
      <c r="M35" s="2">
        <v>-0.19194160745653</v>
      </c>
      <c r="N35" s="2">
        <v>484.03052915439</v>
      </c>
      <c r="O35" s="2">
        <v>542.49618967606</v>
      </c>
    </row>
    <row r="36" spans="1:15">
      <c r="A36" s="2">
        <v>6.2066849390983</v>
      </c>
      <c r="B36" s="2">
        <v>0.016977640499534</v>
      </c>
      <c r="C36" s="2">
        <v>90.287039979921</v>
      </c>
      <c r="D36" s="2">
        <v>0.018818274108563</v>
      </c>
      <c r="E36" s="2">
        <v>6.7341558998989</v>
      </c>
      <c r="F36" s="2">
        <v>0.89640930486612</v>
      </c>
      <c r="G36" s="2">
        <v>31453953.653454</v>
      </c>
      <c r="H36" s="2">
        <v>6660026.1141141</v>
      </c>
      <c r="I36" s="2">
        <v>-0.0092396505174409</v>
      </c>
      <c r="J36" s="2">
        <v>-0.008137962090642</v>
      </c>
      <c r="K36" s="2">
        <v>0.018446007015541</v>
      </c>
      <c r="L36" s="2">
        <v>-0.19812915127216</v>
      </c>
      <c r="M36" s="2">
        <v>-0.19818238701501</v>
      </c>
      <c r="N36" s="2">
        <v>485.4094380817</v>
      </c>
      <c r="O36" s="2">
        <v>544.17414302088</v>
      </c>
    </row>
    <row r="37" spans="1:15">
      <c r="A37" s="2">
        <v>6.4066849390983</v>
      </c>
      <c r="B37" s="2">
        <v>0.017583029261655</v>
      </c>
      <c r="C37" s="2">
        <v>90.285967956523</v>
      </c>
      <c r="D37" s="2">
        <v>0.019430847917888</v>
      </c>
      <c r="E37" s="2">
        <v>6.7387972601534</v>
      </c>
      <c r="F37" s="2">
        <v>0.89305366596766</v>
      </c>
      <c r="G37" s="2">
        <v>32085892.863023</v>
      </c>
      <c r="H37" s="2">
        <v>6767999.5605007</v>
      </c>
      <c r="I37" s="2">
        <v>-0.0095515350776908</v>
      </c>
      <c r="J37" s="2">
        <v>-0.0084118993985031</v>
      </c>
      <c r="K37" s="2">
        <v>0.019034693626502</v>
      </c>
      <c r="L37" s="2">
        <v>-0.20444211389701</v>
      </c>
      <c r="M37" s="2">
        <v>-0.20441638615718</v>
      </c>
      <c r="N37" s="2">
        <v>486.77951008031</v>
      </c>
      <c r="O37" s="2">
        <v>545.83859476242</v>
      </c>
    </row>
    <row r="38" spans="1:15">
      <c r="A38" s="2">
        <v>6.6066849390983</v>
      </c>
      <c r="B38" s="2">
        <v>0.018188368883303</v>
      </c>
      <c r="C38" s="2">
        <v>90.284897085276</v>
      </c>
      <c r="D38" s="2">
        <v>0.020043345334064</v>
      </c>
      <c r="E38" s="2">
        <v>6.7434543689672</v>
      </c>
      <c r="F38" s="2">
        <v>0.88970831568996</v>
      </c>
      <c r="G38" s="2">
        <v>32721767.968971</v>
      </c>
      <c r="H38" s="2">
        <v>6876592.2667471</v>
      </c>
      <c r="I38" s="2">
        <v>-0.0098632210463639</v>
      </c>
      <c r="J38" s="2">
        <v>-0.008685704483834</v>
      </c>
      <c r="K38" s="2">
        <v>0.019623028580416</v>
      </c>
      <c r="L38" s="2">
        <v>-0.21079976135624</v>
      </c>
      <c r="M38" s="2">
        <v>-0.21063866100581</v>
      </c>
      <c r="N38" s="2">
        <v>488.1401390004</v>
      </c>
      <c r="O38" s="2">
        <v>547.4891900196</v>
      </c>
    </row>
    <row r="39" spans="1:15">
      <c r="A39" s="2">
        <v>6.8066849390983</v>
      </c>
      <c r="B39" s="2">
        <v>0.018793661035038</v>
      </c>
      <c r="C39" s="2">
        <v>90.283828418376</v>
      </c>
      <c r="D39" s="2">
        <v>0.020655766913733</v>
      </c>
      <c r="E39" s="2">
        <v>6.7481281894413</v>
      </c>
      <c r="F39" s="2">
        <v>0.88637314994612</v>
      </c>
      <c r="G39" s="2">
        <v>33361538.660226</v>
      </c>
      <c r="H39" s="2">
        <v>6985797.2649514</v>
      </c>
      <c r="I39" s="2">
        <v>-0.010174697133954</v>
      </c>
      <c r="J39" s="2">
        <v>-0.0089593907265255</v>
      </c>
      <c r="K39" s="2">
        <v>0.020211012271625</v>
      </c>
      <c r="L39" s="2">
        <v>-0.21717052344358</v>
      </c>
      <c r="M39" s="2">
        <v>-0.21685112530294</v>
      </c>
      <c r="N39" s="2">
        <v>489.49045576112</v>
      </c>
      <c r="O39" s="2">
        <v>549.12502027257</v>
      </c>
    </row>
    <row r="40" spans="1:15">
      <c r="A40" s="2">
        <v>7.0066849390983</v>
      </c>
      <c r="B40" s="2">
        <v>0.019398890164018</v>
      </c>
      <c r="C40" s="2">
        <v>90.282761069818</v>
      </c>
      <c r="D40" s="2">
        <v>0.021268109263851</v>
      </c>
      <c r="E40" s="2">
        <v>6.7528193901132</v>
      </c>
      <c r="F40" s="2">
        <v>0.88304697407226</v>
      </c>
      <c r="G40" s="2">
        <v>34005153.551654</v>
      </c>
      <c r="H40" s="2">
        <v>7095605.6914308</v>
      </c>
      <c r="I40" s="2">
        <v>-0.010485949734592</v>
      </c>
      <c r="J40" s="2">
        <v>-0.0092329694285153</v>
      </c>
      <c r="K40" s="2">
        <v>0.020798645126565</v>
      </c>
      <c r="L40" s="2">
        <v>-0.22343751624978</v>
      </c>
      <c r="M40" s="2">
        <v>-0.22305823327303</v>
      </c>
      <c r="N40" s="2">
        <v>490.83169540311</v>
      </c>
      <c r="O40" s="2">
        <v>550.74741417704</v>
      </c>
    </row>
    <row r="41" spans="1:15">
      <c r="A41" s="2">
        <v>7.2066849390983</v>
      </c>
      <c r="B41" s="2">
        <v>0.020004048041204</v>
      </c>
      <c r="C41" s="2">
        <v>90.281696318115</v>
      </c>
      <c r="D41" s="2">
        <v>0.021880370166412</v>
      </c>
      <c r="E41" s="2">
        <v>6.7575298943001</v>
      </c>
      <c r="F41" s="2">
        <v>0.87972941216976</v>
      </c>
      <c r="G41" s="2">
        <v>34652567.81995</v>
      </c>
      <c r="H41" s="2">
        <v>7206009.8366849</v>
      </c>
      <c r="I41" s="2">
        <v>-0.010796968005634</v>
      </c>
      <c r="J41" s="2">
        <v>-0.0095064508061571</v>
      </c>
      <c r="K41" s="2">
        <v>0.02138592754969</v>
      </c>
      <c r="L41" s="2">
        <v>-0.22972201084797</v>
      </c>
      <c r="M41" s="2">
        <v>-0.2292501858272</v>
      </c>
      <c r="N41" s="2">
        <v>492.16444263791</v>
      </c>
      <c r="O41" s="2">
        <v>552.35697066664</v>
      </c>
    </row>
    <row r="42" spans="1:15">
      <c r="A42" s="2">
        <v>7.4066849390983</v>
      </c>
      <c r="B42" s="2">
        <v>0.020609133160753</v>
      </c>
      <c r="C42" s="2">
        <v>90.280634003015</v>
      </c>
      <c r="D42" s="2">
        <v>0.022492548789061</v>
      </c>
      <c r="E42" s="2">
        <v>6.7622606510088</v>
      </c>
      <c r="F42" s="2">
        <v>0.87641970194463</v>
      </c>
      <c r="G42" s="2">
        <v>35303740.498963</v>
      </c>
      <c r="H42" s="2">
        <v>7317002.6397241</v>
      </c>
      <c r="I42" s="2">
        <v>-0.01110774236555</v>
      </c>
      <c r="J42" s="2">
        <v>-0.0097798463117867</v>
      </c>
      <c r="K42" s="2">
        <v>0.021972859927254</v>
      </c>
      <c r="L42" s="2">
        <v>-0.23605869416375</v>
      </c>
      <c r="M42" s="2">
        <v>-0.23546716983272</v>
      </c>
      <c r="N42" s="2">
        <v>493.48811034379</v>
      </c>
      <c r="O42" s="2">
        <v>553.95340393303</v>
      </c>
    </row>
    <row r="43" spans="1:15">
      <c r="A43" s="2">
        <v>7.6066849390983</v>
      </c>
      <c r="B43" s="2">
        <v>0.021214140519213</v>
      </c>
      <c r="C43" s="2">
        <v>90.279574562278</v>
      </c>
      <c r="D43" s="2">
        <v>0.023104644363101</v>
      </c>
      <c r="E43" s="2">
        <v>6.7670117735866</v>
      </c>
      <c r="F43" s="2">
        <v>0.87311686088908</v>
      </c>
      <c r="G43" s="2">
        <v>35958621.444775</v>
      </c>
      <c r="H43" s="2">
        <v>7428575.4720728</v>
      </c>
      <c r="I43" s="2">
        <v>-0.011418266625227</v>
      </c>
      <c r="J43" s="2">
        <v>-0.010053159064046</v>
      </c>
      <c r="K43" s="2">
        <v>0.022559442657238</v>
      </c>
      <c r="L43" s="2">
        <v>-0.24231409327378</v>
      </c>
      <c r="M43" s="2">
        <v>-0.2416250813255</v>
      </c>
      <c r="N43" s="2">
        <v>494.80407163256</v>
      </c>
      <c r="O43" s="2">
        <v>555.53840285221</v>
      </c>
    </row>
    <row r="44" spans="1:15">
      <c r="A44" s="2">
        <v>7.8066849390983</v>
      </c>
      <c r="B44" s="2">
        <v>0.021819078718612</v>
      </c>
      <c r="C44" s="2">
        <v>90.278518613767</v>
      </c>
      <c r="D44" s="2">
        <v>0.023716660727151</v>
      </c>
      <c r="E44" s="2">
        <v>6.771782786338</v>
      </c>
      <c r="F44" s="2">
        <v>0.869820114425</v>
      </c>
      <c r="G44" s="2">
        <v>36617169.056798</v>
      </c>
      <c r="H44" s="2">
        <v>7540721.1518867</v>
      </c>
      <c r="I44" s="2">
        <v>-0.011728540264505</v>
      </c>
      <c r="J44" s="2">
        <v>-0.01032639220324</v>
      </c>
      <c r="K44" s="2">
        <v>0.023145676131276</v>
      </c>
      <c r="L44" s="2">
        <v>-0.24859416638681</v>
      </c>
      <c r="M44" s="2">
        <v>-0.24781039509926</v>
      </c>
      <c r="N44" s="2">
        <v>496.11147863119</v>
      </c>
      <c r="O44" s="2">
        <v>557.11157437376</v>
      </c>
    </row>
    <row r="45" spans="1:15">
      <c r="A45" s="2">
        <v>8.0066849390983</v>
      </c>
      <c r="B45" s="2">
        <v>0.022423947092899</v>
      </c>
      <c r="C45" s="2">
        <v>90.277465946061</v>
      </c>
      <c r="D45" s="2">
        <v>0.024328600930013</v>
      </c>
      <c r="E45" s="2">
        <v>6.7765734128167</v>
      </c>
      <c r="F45" s="2">
        <v>0.86652987093364</v>
      </c>
      <c r="G45" s="2">
        <v>37279331.99884</v>
      </c>
      <c r="H45" s="2">
        <v>7653430.8452113</v>
      </c>
      <c r="I45" s="2">
        <v>-0.012038561663431</v>
      </c>
      <c r="J45" s="2">
        <v>-0.010599545279542</v>
      </c>
      <c r="K45" s="2">
        <v>0.023731560733594</v>
      </c>
      <c r="L45" s="2">
        <v>-0.25485606633119</v>
      </c>
      <c r="M45" s="2">
        <v>-0.2539767384949</v>
      </c>
      <c r="N45" s="2">
        <v>497.4114050142</v>
      </c>
      <c r="O45" s="2">
        <v>558.67450114178</v>
      </c>
    </row>
    <row r="46" spans="1:15">
      <c r="A46" s="2">
        <v>8.2066849390983</v>
      </c>
      <c r="B46" s="2">
        <v>0.02302874631852</v>
      </c>
      <c r="C46" s="2">
        <v>90.276416915274</v>
      </c>
      <c r="D46" s="2">
        <v>0.024940467714988</v>
      </c>
      <c r="E46" s="2">
        <v>6.7813817539628</v>
      </c>
      <c r="F46" s="2">
        <v>0.8632451688233</v>
      </c>
      <c r="G46" s="2">
        <v>37945057.123961</v>
      </c>
      <c r="H46" s="2">
        <v>7766695.3987489</v>
      </c>
      <c r="I46" s="2">
        <v>-0.012348330526851</v>
      </c>
      <c r="J46" s="2">
        <v>-0.010872615685896</v>
      </c>
      <c r="K46" s="2">
        <v>0.024317096851805</v>
      </c>
      <c r="L46" s="2">
        <v>-0.26113516423913</v>
      </c>
      <c r="M46" s="2">
        <v>-0.26018236090952</v>
      </c>
      <c r="N46" s="2">
        <v>498.70543355697</v>
      </c>
      <c r="O46" s="2">
        <v>560.22915860588</v>
      </c>
    </row>
    <row r="47" spans="1:15">
      <c r="A47" s="2">
        <v>8.4066849390983</v>
      </c>
      <c r="B47" s="2">
        <v>0.023633492667162</v>
      </c>
      <c r="C47" s="2">
        <v>90.275370995883</v>
      </c>
      <c r="D47" s="2">
        <v>0.02555226653559</v>
      </c>
      <c r="E47" s="2">
        <v>6.7862072938009</v>
      </c>
      <c r="F47" s="2">
        <v>0.85996724127289</v>
      </c>
      <c r="G47" s="2">
        <v>38614315.494809</v>
      </c>
      <c r="H47" s="2">
        <v>7880509.8246037</v>
      </c>
      <c r="I47" s="2">
        <v>-0.012657853147103</v>
      </c>
      <c r="J47" s="2">
        <v>-0.01114560234344</v>
      </c>
      <c r="K47" s="2">
        <v>0.024902284856337</v>
      </c>
      <c r="L47" s="2">
        <v>-0.26736629882495</v>
      </c>
      <c r="M47" s="2">
        <v>-0.26629678577286</v>
      </c>
      <c r="N47" s="2">
        <v>499.99111884777</v>
      </c>
      <c r="O47" s="2">
        <v>561.77317563089</v>
      </c>
    </row>
    <row r="48" spans="1:15">
      <c r="A48" s="2">
        <v>8.6066849390983</v>
      </c>
      <c r="B48" s="2">
        <v>0.024238181698359</v>
      </c>
      <c r="C48" s="2">
        <v>90.274328219869</v>
      </c>
      <c r="D48" s="2">
        <v>0.026164000888312</v>
      </c>
      <c r="E48" s="2">
        <v>6.791049420423</v>
      </c>
      <c r="F48" s="2">
        <v>0.85669633729984</v>
      </c>
      <c r="G48" s="2">
        <v>39287055.405452</v>
      </c>
      <c r="H48" s="2">
        <v>7994865.2533735</v>
      </c>
      <c r="I48" s="2">
        <v>-0.012967131105925</v>
      </c>
      <c r="J48" s="2">
        <v>-0.01141850100343</v>
      </c>
      <c r="K48" s="2">
        <v>0.025487125178674</v>
      </c>
      <c r="L48" s="2">
        <v>-0.27361327832289</v>
      </c>
      <c r="M48" s="2">
        <v>-0.27244907470181</v>
      </c>
      <c r="N48" s="2">
        <v>501.27010771853</v>
      </c>
      <c r="O48" s="2">
        <v>563.30852108389</v>
      </c>
    </row>
    <row r="49" spans="1:15">
      <c r="A49" s="2">
        <v>8.8066849390982</v>
      </c>
      <c r="B49" s="2">
        <v>0.024842820321941</v>
      </c>
      <c r="C49" s="2">
        <v>90.273289053458</v>
      </c>
      <c r="D49" s="2">
        <v>0.026775674344226</v>
      </c>
      <c r="E49" s="2">
        <v>6.7959069401364</v>
      </c>
      <c r="F49" s="2">
        <v>0.85343252333188</v>
      </c>
      <c r="G49" s="2">
        <v>39963237.430949</v>
      </c>
      <c r="H49" s="2">
        <v>8109754.9117845</v>
      </c>
      <c r="I49" s="2">
        <v>-0.013276163703313</v>
      </c>
      <c r="J49" s="2">
        <v>-0.011691313486602</v>
      </c>
      <c r="K49" s="2">
        <v>0.026071618199623</v>
      </c>
      <c r="L49" s="2">
        <v>-0.2798545158462</v>
      </c>
      <c r="M49" s="2">
        <v>-0.27858075731647</v>
      </c>
      <c r="N49" s="2">
        <v>502.54198898414</v>
      </c>
      <c r="O49" s="2">
        <v>564.83487697695</v>
      </c>
    </row>
    <row r="50" spans="1:15">
      <c r="A50" s="2">
        <v>9.0066849390982</v>
      </c>
      <c r="B50" s="2">
        <v>0.025447410267095</v>
      </c>
      <c r="C50" s="2">
        <v>90.272253235248</v>
      </c>
      <c r="D50" s="2">
        <v>0.027387289828568</v>
      </c>
      <c r="E50" s="2">
        <v>6.8007791824223</v>
      </c>
      <c r="F50" s="2">
        <v>0.85017607552007</v>
      </c>
      <c r="G50" s="2">
        <v>40642819.252096</v>
      </c>
      <c r="H50" s="2">
        <v>8225171.5432473</v>
      </c>
      <c r="I50" s="2">
        <v>-0.013584950997685</v>
      </c>
      <c r="J50" s="2">
        <v>-0.011964039310282</v>
      </c>
      <c r="K50" s="2">
        <v>0.02665576432498</v>
      </c>
      <c r="L50" s="2">
        <v>-0.28610434813529</v>
      </c>
      <c r="M50" s="2">
        <v>-0.28474989958811</v>
      </c>
      <c r="N50" s="2">
        <v>503.80720744882</v>
      </c>
      <c r="O50" s="2">
        <v>566.35285409271</v>
      </c>
    </row>
    <row r="51" spans="1:15">
      <c r="A51" s="2">
        <v>9.2066849390982</v>
      </c>
      <c r="B51" s="2">
        <v>0.026051943847352</v>
      </c>
      <c r="C51" s="2">
        <v>90.271220660939</v>
      </c>
      <c r="D51" s="2">
        <v>0.027998848866122</v>
      </c>
      <c r="E51" s="2">
        <v>6.8056650230241</v>
      </c>
      <c r="F51" s="2">
        <v>0.84692722293297</v>
      </c>
      <c r="G51" s="2">
        <v>41325751.210236</v>
      </c>
      <c r="H51" s="2">
        <v>8341106.6429023</v>
      </c>
      <c r="I51" s="2">
        <v>-0.013893492967009</v>
      </c>
      <c r="J51" s="2">
        <v>-0.012236675982659</v>
      </c>
      <c r="K51" s="2">
        <v>0.027239563967433</v>
      </c>
      <c r="L51" s="2">
        <v>-0.29234135295726</v>
      </c>
      <c r="M51" s="2">
        <v>-0.29088563383942</v>
      </c>
      <c r="N51" s="2">
        <v>505.06712696635</v>
      </c>
      <c r="O51" s="2">
        <v>567.86388002403</v>
      </c>
    </row>
    <row r="52" spans="1:15">
      <c r="A52" s="2">
        <v>9.4066849390982</v>
      </c>
      <c r="B52" s="2">
        <v>0.026656438853556</v>
      </c>
      <c r="C52" s="2">
        <v>90.270191319097</v>
      </c>
      <c r="D52" s="2">
        <v>0.028610356623382</v>
      </c>
      <c r="E52" s="2">
        <v>6.8105636492389</v>
      </c>
      <c r="F52" s="2">
        <v>0.84368598773784</v>
      </c>
      <c r="G52" s="2">
        <v>42012007.645964</v>
      </c>
      <c r="H52" s="2">
        <v>8457555.8296029</v>
      </c>
      <c r="I52" s="2">
        <v>-0.014201792959704</v>
      </c>
      <c r="J52" s="2">
        <v>-0.012509224657976</v>
      </c>
      <c r="K52" s="2">
        <v>0.027823017529516</v>
      </c>
      <c r="L52" s="2">
        <v>-0.29857644641007</v>
      </c>
      <c r="M52" s="2">
        <v>-0.29702121697173</v>
      </c>
      <c r="N52" s="2">
        <v>506.31977144712</v>
      </c>
      <c r="O52" s="2">
        <v>569.36587244606</v>
      </c>
    </row>
    <row r="53" spans="1:15">
      <c r="A53" s="2">
        <v>9.6066849390982</v>
      </c>
      <c r="B53" s="2">
        <v>0.027260892405785</v>
      </c>
      <c r="C53" s="2">
        <v>90.269165683554</v>
      </c>
      <c r="D53" s="2">
        <v>0.029221815852986</v>
      </c>
      <c r="E53" s="2">
        <v>6.8154739961031</v>
      </c>
      <c r="F53" s="2">
        <v>0.84045276215153</v>
      </c>
      <c r="G53" s="2">
        <v>42701540.88048</v>
      </c>
      <c r="H53" s="2">
        <v>8574510.9680804</v>
      </c>
      <c r="I53" s="2">
        <v>-0.014509851182434</v>
      </c>
      <c r="J53" s="2">
        <v>-0.012781681889155</v>
      </c>
      <c r="K53" s="2">
        <v>0.028406125428291</v>
      </c>
      <c r="L53" s="2">
        <v>-0.30482339964132</v>
      </c>
      <c r="M53" s="2">
        <v>-0.30317111142146</v>
      </c>
      <c r="N53" s="2">
        <v>507.56684871436</v>
      </c>
      <c r="O53" s="2">
        <v>570.86077430811</v>
      </c>
    </row>
    <row r="54" spans="1:15">
      <c r="A54" s="2">
        <v>9.8066849390982</v>
      </c>
      <c r="B54" s="2">
        <v>0.027865305701937</v>
      </c>
      <c r="C54" s="2">
        <v>90.268143518477</v>
      </c>
      <c r="D54" s="2">
        <v>0.029833230446774</v>
      </c>
      <c r="E54" s="2">
        <v>6.8203959662351</v>
      </c>
      <c r="F54" s="2">
        <v>0.83722775246033</v>
      </c>
      <c r="G54" s="2">
        <v>43394312.192984</v>
      </c>
      <c r="H54" s="2">
        <v>8691965.4315121</v>
      </c>
      <c r="I54" s="2">
        <v>-0.014817668581234</v>
      </c>
      <c r="J54" s="2">
        <v>-0.013054048330148</v>
      </c>
      <c r="K54" s="2">
        <v>0.028988888051318</v>
      </c>
      <c r="L54" s="2">
        <v>-0.31107856705111</v>
      </c>
      <c r="M54" s="2">
        <v>-0.30929700447587</v>
      </c>
      <c r="N54" s="2">
        <v>508.80786680325</v>
      </c>
      <c r="O54" s="2">
        <v>572.34822932086</v>
      </c>
    </row>
    <row r="55" spans="1:15">
      <c r="A55" s="2">
        <v>10.006684939098</v>
      </c>
      <c r="B55" s="2">
        <v>0.028469686605989</v>
      </c>
      <c r="C55" s="2">
        <v>90.267124519318</v>
      </c>
      <c r="D55" s="2">
        <v>0.03044460325051</v>
      </c>
      <c r="E55" s="2">
        <v>6.8253286693853</v>
      </c>
      <c r="F55" s="2">
        <v>0.83401110134527</v>
      </c>
      <c r="G55" s="2">
        <v>44090287.60195</v>
      </c>
      <c r="H55" s="2">
        <v>8809913.418106</v>
      </c>
      <c r="I55" s="2">
        <v>-0.015125246263985</v>
      </c>
      <c r="J55" s="2">
        <v>-0.013326323955484</v>
      </c>
      <c r="K55" s="2">
        <v>0.029571305781187</v>
      </c>
      <c r="L55" s="2">
        <v>-0.31729779508876</v>
      </c>
      <c r="M55" s="2">
        <v>-0.31545110921615</v>
      </c>
      <c r="N55" s="2">
        <v>510.04245486509</v>
      </c>
      <c r="O55" s="2">
        <v>573.82779536178</v>
      </c>
    </row>
    <row r="56" spans="1:15">
      <c r="A56" s="2">
        <v>10.206684939098</v>
      </c>
      <c r="B56" s="2">
        <v>0.029074030437044</v>
      </c>
      <c r="C56" s="2">
        <v>90.266108745833</v>
      </c>
      <c r="D56" s="2">
        <v>0.031055936552266</v>
      </c>
      <c r="E56" s="2">
        <v>6.1271465533345</v>
      </c>
      <c r="F56" s="2">
        <v>0.83080322113019</v>
      </c>
      <c r="G56" s="2">
        <v>44789417.632646</v>
      </c>
      <c r="H56" s="2">
        <v>8928346.5188066</v>
      </c>
      <c r="I56" s="2">
        <v>-0.015432586585422</v>
      </c>
      <c r="J56" s="2">
        <v>-0.013598502456523</v>
      </c>
      <c r="K56" s="2">
        <v>0.030153379026377</v>
      </c>
      <c r="L56" s="2">
        <v>-0.32355243605952</v>
      </c>
      <c r="M56" s="2">
        <v>-0.3216091155714</v>
      </c>
      <c r="N56" s="2">
        <v>511.27264126072</v>
      </c>
      <c r="O56" s="2">
        <v>575.30176931313</v>
      </c>
    </row>
    <row r="57" spans="1:15">
      <c r="A57" s="2">
        <v>10.406684939098</v>
      </c>
      <c r="B57" s="2">
        <v>0.029678344008133</v>
      </c>
      <c r="C57" s="2">
        <v>90.265095969016</v>
      </c>
      <c r="D57" s="2">
        <v>0.031667233839506</v>
      </c>
      <c r="E57" s="2">
        <v>6.1320986415415</v>
      </c>
      <c r="F57" s="2">
        <v>0.82760425755692</v>
      </c>
      <c r="G57" s="2">
        <v>45491672.365055</v>
      </c>
      <c r="H57" s="2">
        <v>9047259.6396321</v>
      </c>
      <c r="I57" s="2">
        <v>-0.015739689780015</v>
      </c>
      <c r="J57" s="2">
        <v>-0.013870586248236</v>
      </c>
      <c r="K57" s="2">
        <v>0.030735108171427</v>
      </c>
      <c r="L57" s="2">
        <v>-0.32977693809343</v>
      </c>
      <c r="M57" s="2">
        <v>-0.32771755175761</v>
      </c>
      <c r="N57" s="2">
        <v>512.4972941146</v>
      </c>
      <c r="O57" s="2">
        <v>576.76889622022</v>
      </c>
    </row>
    <row r="58" spans="1:15">
      <c r="A58" s="2">
        <v>10.606684939098</v>
      </c>
      <c r="B58" s="2">
        <v>0.030282635198588</v>
      </c>
      <c r="C58" s="2">
        <v>90.264086502546</v>
      </c>
      <c r="D58" s="2">
        <v>0.032278498618859</v>
      </c>
      <c r="E58" s="2">
        <v>6.1370590715016</v>
      </c>
      <c r="F58" s="2">
        <v>0.82441417262052</v>
      </c>
      <c r="G58" s="2">
        <v>46197021.567266</v>
      </c>
      <c r="H58" s="2">
        <v>9166647.6313475</v>
      </c>
      <c r="I58" s="2">
        <v>-0.0160465591851</v>
      </c>
      <c r="J58" s="2">
        <v>-0.014142575252906</v>
      </c>
      <c r="K58" s="2">
        <v>0.031316493634649</v>
      </c>
      <c r="L58" s="2">
        <v>-0.33605434950747</v>
      </c>
      <c r="M58" s="2">
        <v>-0.33391577206681</v>
      </c>
      <c r="N58" s="2">
        <v>513.71534359221</v>
      </c>
      <c r="O58" s="2">
        <v>578.2282043461</v>
      </c>
    </row>
    <row r="59" spans="1:15">
      <c r="A59" s="2">
        <v>10.806684939098</v>
      </c>
      <c r="B59" s="2">
        <v>0.030886897636507</v>
      </c>
      <c r="C59" s="2">
        <v>90.263079895687</v>
      </c>
      <c r="D59" s="2">
        <v>0.032889732176586</v>
      </c>
      <c r="E59" s="2">
        <v>6.14202705863</v>
      </c>
      <c r="F59" s="2">
        <v>0.82123325697542</v>
      </c>
      <c r="G59" s="2">
        <v>46905418.89164</v>
      </c>
      <c r="H59" s="2">
        <v>9286502.6350441</v>
      </c>
      <c r="I59" s="2">
        <v>-0.016353194504736</v>
      </c>
      <c r="J59" s="2">
        <v>-0.014414465337036</v>
      </c>
      <c r="K59" s="2">
        <v>0.031897535808981</v>
      </c>
      <c r="L59" s="2">
        <v>-0.34230235662741</v>
      </c>
      <c r="M59" s="2">
        <v>-0.34006802048318</v>
      </c>
      <c r="N59" s="2">
        <v>514.92877352707</v>
      </c>
      <c r="O59" s="2">
        <v>579.68162974542</v>
      </c>
    </row>
    <row r="60" spans="1:15">
      <c r="A60" s="2">
        <v>11.006684939098</v>
      </c>
      <c r="B60" s="2">
        <v>0.031491134027329</v>
      </c>
      <c r="C60" s="2">
        <v>90.262075950878</v>
      </c>
      <c r="D60" s="2">
        <v>0.033500937425418</v>
      </c>
      <c r="E60" s="2">
        <v>5.4438772275472</v>
      </c>
      <c r="F60" s="2">
        <v>0.81806140032749</v>
      </c>
      <c r="G60" s="2">
        <v>47616831.10536</v>
      </c>
      <c r="H60" s="2">
        <v>9406819.0045964</v>
      </c>
      <c r="I60" s="2">
        <v>-0.016659600109258</v>
      </c>
      <c r="J60" s="2">
        <v>-0.0146862541711</v>
      </c>
      <c r="K60" s="2">
        <v>0.032478235070696</v>
      </c>
      <c r="L60" s="2">
        <v>-0.34856490457108</v>
      </c>
      <c r="M60" s="2">
        <v>-0.34623608374613</v>
      </c>
      <c r="N60" s="2">
        <v>516.13699698915</v>
      </c>
      <c r="O60" s="2">
        <v>581.12864935386</v>
      </c>
    </row>
    <row r="61" spans="1:15">
      <c r="A61" s="2">
        <v>11.206684939098</v>
      </c>
      <c r="B61" s="2">
        <v>0.03209534581916</v>
      </c>
      <c r="C61" s="2">
        <v>90.261074916354</v>
      </c>
      <c r="D61" s="2">
        <v>0.034112116409254</v>
      </c>
      <c r="E61" s="2">
        <v>5.448859236936</v>
      </c>
      <c r="F61" s="2">
        <v>0.81489934764284</v>
      </c>
      <c r="G61" s="2">
        <v>48331218.906635</v>
      </c>
      <c r="H61" s="2">
        <v>9527590.084916</v>
      </c>
      <c r="I61" s="2">
        <v>-0.016965777799869</v>
      </c>
      <c r="J61" s="2">
        <v>-0.014957938824986</v>
      </c>
      <c r="K61" s="2">
        <v>0.033058591833028</v>
      </c>
      <c r="L61" s="2">
        <v>-0.3548717823779</v>
      </c>
      <c r="M61" s="2">
        <v>-0.35247122035795</v>
      </c>
      <c r="N61" s="2">
        <v>517.34075623879</v>
      </c>
      <c r="O61" s="2">
        <v>582.57033637052</v>
      </c>
    </row>
    <row r="62" spans="1:15">
      <c r="A62" s="2">
        <v>11.406684939098</v>
      </c>
      <c r="B62" s="2">
        <v>0.032699547533226</v>
      </c>
      <c r="C62" s="2">
        <v>90.260076963435</v>
      </c>
      <c r="D62" s="2">
        <v>0.034723273169151</v>
      </c>
      <c r="E62" s="2">
        <v>5.4538479714996</v>
      </c>
      <c r="F62" s="2">
        <v>0.81174718663714</v>
      </c>
      <c r="G62" s="2">
        <v>49048564.993923</v>
      </c>
      <c r="H62" s="2">
        <v>9648812.9823488</v>
      </c>
      <c r="I62" s="2">
        <v>-0.017271732687266</v>
      </c>
      <c r="J62" s="2">
        <v>-0.01522951845908</v>
      </c>
      <c r="K62" s="2">
        <v>0.033638606493855</v>
      </c>
      <c r="L62" s="2">
        <v>-0.36110368903195</v>
      </c>
      <c r="M62" s="2">
        <v>-0.35857706914766</v>
      </c>
      <c r="N62" s="2">
        <v>518.53790103955</v>
      </c>
      <c r="O62" s="2">
        <v>584.00404668254</v>
      </c>
    </row>
    <row r="63" spans="1:15">
      <c r="A63" s="2">
        <v>11.606684939098</v>
      </c>
      <c r="B63" s="2">
        <v>0.033303725237743</v>
      </c>
      <c r="C63" s="2">
        <v>90.259081608685</v>
      </c>
      <c r="D63" s="2">
        <v>0.035334408508969</v>
      </c>
      <c r="E63" s="2">
        <v>5.4588422971141</v>
      </c>
      <c r="F63" s="2">
        <v>0.80860463831644</v>
      </c>
      <c r="G63" s="2">
        <v>49768818.039521</v>
      </c>
      <c r="H63" s="2">
        <v>9770478.9922423</v>
      </c>
      <c r="I63" s="2">
        <v>-0.017577465211387</v>
      </c>
      <c r="J63" s="2">
        <v>-0.015500988654784</v>
      </c>
      <c r="K63" s="2">
        <v>0.034218279428666</v>
      </c>
      <c r="L63" s="2">
        <v>-0.3673758945288</v>
      </c>
      <c r="M63" s="2">
        <v>-0.36476141874957</v>
      </c>
      <c r="N63" s="2">
        <v>519.73088327342</v>
      </c>
      <c r="O63" s="2">
        <v>585.43258319393</v>
      </c>
    </row>
    <row r="64" spans="1:15">
      <c r="A64" s="2">
        <v>11.806684939098</v>
      </c>
      <c r="B64" s="2">
        <v>0.033907896907612</v>
      </c>
      <c r="C64" s="2">
        <v>90.258088632956</v>
      </c>
      <c r="D64" s="2">
        <v>0.035945525767351</v>
      </c>
      <c r="E64" s="2">
        <v>5.463841573501</v>
      </c>
      <c r="F64" s="2">
        <v>0.80547169055234</v>
      </c>
      <c r="G64" s="2">
        <v>50491960.560759</v>
      </c>
      <c r="H64" s="2">
        <v>9892585.1880269</v>
      </c>
      <c r="I64" s="2">
        <v>-0.017882979602821</v>
      </c>
      <c r="J64" s="2">
        <v>-0.015772349375938</v>
      </c>
      <c r="K64" s="2">
        <v>0.034797611040085</v>
      </c>
      <c r="L64" s="2">
        <v>-0.37366992502779</v>
      </c>
      <c r="M64" s="2">
        <v>-0.37094367592933</v>
      </c>
      <c r="N64" s="2">
        <v>520.91769368485</v>
      </c>
      <c r="O64" s="2">
        <v>586.85385544472</v>
      </c>
    </row>
    <row r="65" spans="1:15">
      <c r="A65" s="2">
        <v>12.006684939098</v>
      </c>
      <c r="B65" s="2">
        <v>0.034512055268485</v>
      </c>
      <c r="C65" s="2">
        <v>90.257098042034</v>
      </c>
      <c r="D65" s="2">
        <v>0.036556626461492</v>
      </c>
      <c r="E65" s="2">
        <v>5.4688457005991</v>
      </c>
      <c r="F65" s="2">
        <v>0.80234857669404</v>
      </c>
      <c r="G65" s="2">
        <v>51217948.681793</v>
      </c>
      <c r="H65" s="2">
        <v>10015124.152056</v>
      </c>
      <c r="I65" s="2">
        <v>-0.018188275041155</v>
      </c>
      <c r="J65" s="2">
        <v>-0.01604359857837</v>
      </c>
      <c r="K65" s="2">
        <v>0.035376601712734</v>
      </c>
      <c r="L65" s="2">
        <v>-0.37997276986176</v>
      </c>
      <c r="M65" s="2">
        <v>-0.37714858296403</v>
      </c>
      <c r="N65" s="2">
        <v>522.09990092874</v>
      </c>
      <c r="O65" s="2">
        <v>588.26952323303</v>
      </c>
    </row>
    <row r="66" spans="1:15">
      <c r="A66" s="2">
        <v>12.206684939098</v>
      </c>
      <c r="B66" s="2">
        <v>0.035116204419529</v>
      </c>
      <c r="C66" s="2">
        <v>90.256109451873</v>
      </c>
      <c r="D66" s="2">
        <v>0.037167712833594</v>
      </c>
      <c r="E66" s="2">
        <v>5.473854291939</v>
      </c>
      <c r="F66" s="2">
        <v>0.79923531356339</v>
      </c>
      <c r="G66" s="2">
        <v>51946751.643211</v>
      </c>
      <c r="H66" s="2">
        <v>10138090.688094</v>
      </c>
      <c r="I66" s="2">
        <v>-0.018493353983112</v>
      </c>
      <c r="J66" s="2">
        <v>-0.01631473517668</v>
      </c>
      <c r="K66" s="2">
        <v>0.035955251849136</v>
      </c>
      <c r="L66" s="2">
        <v>-0.38627278964711</v>
      </c>
      <c r="M66" s="2">
        <v>-0.38334476197382</v>
      </c>
      <c r="N66" s="2">
        <v>523.27703503769</v>
      </c>
      <c r="O66" s="2">
        <v>589.67917752451</v>
      </c>
    </row>
    <row r="67" spans="1:15">
      <c r="A67" s="2">
        <v>12.406684939098</v>
      </c>
      <c r="B67" s="2">
        <v>0.035720343395901</v>
      </c>
      <c r="C67" s="2">
        <v>90.25512290555</v>
      </c>
      <c r="D67" s="2">
        <v>0.037778786993788</v>
      </c>
      <c r="E67" s="2">
        <v>5.4788667491011</v>
      </c>
      <c r="F67" s="2">
        <v>0.7961320045424</v>
      </c>
      <c r="G67" s="2">
        <v>52678333.614183</v>
      </c>
      <c r="H67" s="2">
        <v>10261478.769768</v>
      </c>
      <c r="I67" s="2">
        <v>-0.018798219010306</v>
      </c>
      <c r="J67" s="2">
        <v>-0.016585755866723</v>
      </c>
      <c r="K67" s="2">
        <v>0.036533561834672</v>
      </c>
      <c r="L67" s="2">
        <v>-0.39261512901948</v>
      </c>
      <c r="M67" s="2">
        <v>-0.38962809476632</v>
      </c>
      <c r="N67" s="2">
        <v>524.44975367408</v>
      </c>
      <c r="O67" s="2">
        <v>591.08363807986</v>
      </c>
    </row>
    <row r="68" spans="1:15">
      <c r="A68" s="2">
        <v>12.606684939098</v>
      </c>
      <c r="B68" s="2">
        <v>0.036324475035896</v>
      </c>
      <c r="C68" s="2">
        <v>90.254138054359</v>
      </c>
      <c r="D68" s="2">
        <v>0.038389850224945</v>
      </c>
      <c r="E68" s="2">
        <v>5.4838824484594</v>
      </c>
      <c r="F68" s="2">
        <v>0.7930382541945</v>
      </c>
      <c r="G68" s="2">
        <v>53412662.593757</v>
      </c>
      <c r="H68" s="2">
        <v>10385283.011018</v>
      </c>
      <c r="I68" s="2">
        <v>-0.019102871918853</v>
      </c>
      <c r="J68" s="2">
        <v>-0.016856658192966</v>
      </c>
      <c r="K68" s="2">
        <v>0.037111532087789</v>
      </c>
      <c r="L68" s="2">
        <v>-0.39891359281684</v>
      </c>
      <c r="M68" s="2">
        <v>-0.39578021672177</v>
      </c>
      <c r="N68" s="2">
        <v>525.6182214943</v>
      </c>
      <c r="O68" s="2">
        <v>592.48297780004</v>
      </c>
    </row>
    <row r="69" spans="1:15">
      <c r="A69" s="2">
        <v>12.806684939098</v>
      </c>
      <c r="B69" s="2">
        <v>0.036928602596929</v>
      </c>
      <c r="C69" s="2">
        <v>90.253154860911</v>
      </c>
      <c r="D69" s="2">
        <v>0.03900090573157</v>
      </c>
      <c r="E69" s="2">
        <v>5.4889015436781</v>
      </c>
      <c r="F69" s="2">
        <v>0.78995425497147</v>
      </c>
      <c r="G69" s="2">
        <v>54149708.857227</v>
      </c>
      <c r="H69" s="2">
        <v>10509498.400171</v>
      </c>
      <c r="I69" s="2">
        <v>-0.019407314290988</v>
      </c>
      <c r="J69" s="2">
        <v>-0.017127443320149</v>
      </c>
      <c r="K69" s="2">
        <v>0.03768916296861</v>
      </c>
      <c r="L69" s="2">
        <v>-0.40525043233344</v>
      </c>
      <c r="M69" s="2">
        <v>-0.40200986010416</v>
      </c>
      <c r="N69" s="2">
        <v>526.781678695</v>
      </c>
      <c r="O69" s="2">
        <v>593.87654924175</v>
      </c>
    </row>
    <row r="70" spans="1:15">
      <c r="A70" s="2">
        <v>13.006684939098</v>
      </c>
      <c r="B70" s="2">
        <v>0.037532728598185</v>
      </c>
      <c r="C70" s="2">
        <v>90.252173411346</v>
      </c>
      <c r="D70" s="2">
        <v>0.039611955003878</v>
      </c>
      <c r="E70" s="2">
        <v>5.4939232857048</v>
      </c>
      <c r="F70" s="2">
        <v>0.78688004204175</v>
      </c>
      <c r="G70" s="2">
        <v>54889443.345064</v>
      </c>
      <c r="H70" s="2">
        <v>10634120.075292</v>
      </c>
      <c r="I70" s="2">
        <v>-0.019711545932761</v>
      </c>
      <c r="J70" s="2">
        <v>-0.017398111430233</v>
      </c>
      <c r="K70" s="2">
        <v>0.038266454892558</v>
      </c>
      <c r="L70" s="2">
        <v>-0.41163720123054</v>
      </c>
      <c r="M70" s="2">
        <v>-0.40829888213584</v>
      </c>
      <c r="N70" s="2">
        <v>527.94028623545</v>
      </c>
      <c r="O70" s="2">
        <v>595.26457997894</v>
      </c>
    </row>
    <row r="71" spans="1:15">
      <c r="A71" s="2">
        <v>13.206684939098</v>
      </c>
      <c r="B71" s="2">
        <v>0.038136850268074</v>
      </c>
      <c r="C71" s="2">
        <v>90.251193658832</v>
      </c>
      <c r="D71" s="2">
        <v>0.04022299951878</v>
      </c>
      <c r="E71" s="2">
        <v>5.4989468784871</v>
      </c>
      <c r="F71" s="2">
        <v>0.78381576053815</v>
      </c>
      <c r="G71" s="2">
        <v>55631828.964909</v>
      </c>
      <c r="H71" s="2">
        <v>10759141.808396</v>
      </c>
      <c r="I71" s="2">
        <v>-0.020015567140665</v>
      </c>
      <c r="J71" s="2">
        <v>-0.017668659836793</v>
      </c>
      <c r="K71" s="2">
        <v>0.038843408253162</v>
      </c>
      <c r="L71" s="2">
        <v>-0.41795734452354</v>
      </c>
      <c r="M71" s="2">
        <v>-0.41449272649715</v>
      </c>
      <c r="N71" s="2">
        <v>529.09505331444</v>
      </c>
      <c r="O71" s="2">
        <v>596.64796206144</v>
      </c>
    </row>
    <row r="72" spans="1:15">
      <c r="A72" s="2">
        <v>13.406684939098</v>
      </c>
      <c r="B72" s="2">
        <v>0.038740971691282</v>
      </c>
      <c r="C72" s="2">
        <v>90.25021485506</v>
      </c>
      <c r="D72" s="2">
        <v>0.040834040970136</v>
      </c>
      <c r="E72" s="2">
        <v>4.0977226574183</v>
      </c>
      <c r="F72" s="2">
        <v>0.78076150192156</v>
      </c>
      <c r="G72" s="2">
        <v>56376836.593019</v>
      </c>
      <c r="H72" s="2">
        <v>10884558.700826</v>
      </c>
      <c r="I72" s="2">
        <v>-0.020319380072074</v>
      </c>
      <c r="J72" s="2">
        <v>-0.017939088660387</v>
      </c>
      <c r="K72" s="2">
        <v>0.03942002345717</v>
      </c>
      <c r="L72" s="2">
        <v>-0.42433035881609</v>
      </c>
      <c r="M72" s="2">
        <v>-0.42075576561089</v>
      </c>
      <c r="N72" s="2">
        <v>530.24542494299</v>
      </c>
      <c r="O72" s="2">
        <v>598.02644886219</v>
      </c>
    </row>
    <row r="73" spans="1:15">
      <c r="A73" s="2">
        <v>13.606684939098</v>
      </c>
      <c r="B73" s="2">
        <v>0.039345095088559</v>
      </c>
      <c r="C73" s="2">
        <v>90.249236827269</v>
      </c>
      <c r="D73" s="2">
        <v>0.041445081077088</v>
      </c>
      <c r="E73" s="2">
        <v>4.102750061747</v>
      </c>
      <c r="F73" s="2">
        <v>0.77771715994349</v>
      </c>
      <c r="G73" s="2">
        <v>57124439.422322</v>
      </c>
      <c r="H73" s="2">
        <v>11010366.281976</v>
      </c>
      <c r="I73" s="2">
        <v>-0.020622985907434</v>
      </c>
      <c r="J73" s="2">
        <v>-0.018209397492723</v>
      </c>
      <c r="K73" s="2">
        <v>0.039996300896813</v>
      </c>
      <c r="L73" s="2">
        <v>-0.43070970259687</v>
      </c>
      <c r="M73" s="2">
        <v>-0.42702120856547</v>
      </c>
      <c r="N73" s="2">
        <v>531.3911189391</v>
      </c>
      <c r="O73" s="2">
        <v>599.39969604581</v>
      </c>
    </row>
    <row r="74" spans="1:15">
      <c r="A74" s="2">
        <v>13.806684939098</v>
      </c>
      <c r="B74" s="2">
        <v>0.039949220647767</v>
      </c>
      <c r="C74" s="2">
        <v>90.248260008225</v>
      </c>
      <c r="D74" s="2">
        <v>0.042056121139318</v>
      </c>
      <c r="E74" s="2">
        <v>4.1077784481267</v>
      </c>
      <c r="F74" s="2">
        <v>0.77468260119571</v>
      </c>
      <c r="G74" s="2">
        <v>57874602.643725</v>
      </c>
      <c r="H74" s="2">
        <v>11136558.730562</v>
      </c>
      <c r="I74" s="2">
        <v>-0.020926384139702</v>
      </c>
      <c r="J74" s="2">
        <v>-0.018479585413455</v>
      </c>
      <c r="K74" s="2">
        <v>0.040572240941047</v>
      </c>
      <c r="L74" s="2">
        <v>-0.43711480298064</v>
      </c>
      <c r="M74" s="2">
        <v>-0.43330566786946</v>
      </c>
      <c r="N74" s="2">
        <v>532.53296929047</v>
      </c>
      <c r="O74" s="2">
        <v>600.76855187577</v>
      </c>
    </row>
    <row r="75" spans="1:15">
      <c r="A75" s="2">
        <v>14.006684939098</v>
      </c>
      <c r="B75" s="2">
        <v>0.040553354724327</v>
      </c>
      <c r="C75" s="2">
        <v>90.247284248676</v>
      </c>
      <c r="D75" s="2">
        <v>0.042667163682478</v>
      </c>
      <c r="E75" s="2">
        <v>4.1128074918997</v>
      </c>
      <c r="F75" s="2">
        <v>0.771657495816</v>
      </c>
      <c r="G75" s="2">
        <v>58627305.696175</v>
      </c>
      <c r="H75" s="2">
        <v>11263132.621111</v>
      </c>
      <c r="I75" s="2">
        <v>-0.021229578318716</v>
      </c>
      <c r="J75" s="2">
        <v>-0.01874965200091</v>
      </c>
      <c r="K75" s="2">
        <v>0.041147844021608</v>
      </c>
      <c r="L75" s="2">
        <v>-0.44351394475752</v>
      </c>
      <c r="M75" s="2">
        <v>-0.43959317465706</v>
      </c>
      <c r="N75" s="2">
        <v>533.669686615</v>
      </c>
      <c r="O75" s="2">
        <v>602.13166575299</v>
      </c>
    </row>
    <row r="76" spans="1:15">
      <c r="A76" s="2">
        <v>14.206684939098</v>
      </c>
      <c r="B76" s="2">
        <v>0.041157491722137</v>
      </c>
      <c r="C76" s="2">
        <v>90.246308884101</v>
      </c>
      <c r="D76" s="2">
        <v>0.043278209508152</v>
      </c>
      <c r="E76" s="2">
        <v>4.1178369085614</v>
      </c>
      <c r="F76" s="2">
        <v>0.76864198426929</v>
      </c>
      <c r="G76" s="2">
        <v>59382511.645215</v>
      </c>
      <c r="H76" s="2">
        <v>11390081.764729</v>
      </c>
      <c r="I76" s="2">
        <v>-0.021532568447487</v>
      </c>
      <c r="J76" s="2">
        <v>-0.019019594914427</v>
      </c>
      <c r="K76" s="2">
        <v>0.041723110537923</v>
      </c>
      <c r="L76" s="2">
        <v>-0.44993251510412</v>
      </c>
      <c r="M76" s="2">
        <v>-0.44589544168461</v>
      </c>
      <c r="N76" s="2">
        <v>534.80259986994</v>
      </c>
      <c r="O76" s="2">
        <v>603.4905182918</v>
      </c>
    </row>
    <row r="77" spans="1:15">
      <c r="A77" s="2">
        <v>14.406684939098</v>
      </c>
      <c r="B77" s="2">
        <v>0.041761634984192</v>
      </c>
      <c r="C77" s="2">
        <v>90.24533406202</v>
      </c>
      <c r="D77" s="2">
        <v>0.043889259651455</v>
      </c>
      <c r="E77" s="2">
        <v>4.1228671338709</v>
      </c>
      <c r="F77" s="2">
        <v>0.76563668066491</v>
      </c>
      <c r="G77" s="2">
        <v>60140191.988206</v>
      </c>
      <c r="H77" s="2">
        <v>11517401.429214</v>
      </c>
      <c r="I77" s="2">
        <v>-0.021835354970954</v>
      </c>
      <c r="J77" s="2">
        <v>-0.019289413651475</v>
      </c>
      <c r="K77" s="2">
        <v>0.042298040843342</v>
      </c>
      <c r="L77" s="2">
        <v>-0.45636851637837</v>
      </c>
      <c r="M77" s="2">
        <v>-0.45220894944793</v>
      </c>
      <c r="N77" s="2">
        <v>535.93185373366</v>
      </c>
      <c r="O77" s="2">
        <v>604.84520396778</v>
      </c>
    </row>
    <row r="78" spans="1:15">
      <c r="A78" s="2">
        <v>14.606684939098</v>
      </c>
      <c r="B78" s="2">
        <v>0.042365789088545</v>
      </c>
      <c r="C78" s="2">
        <v>90.244359882085</v>
      </c>
      <c r="D78" s="2">
        <v>0.044500316350645</v>
      </c>
      <c r="E78" s="2">
        <v>4.1278966675847</v>
      </c>
      <c r="F78" s="2">
        <v>0.76264070193898</v>
      </c>
      <c r="G78" s="2">
        <v>60900322.734981</v>
      </c>
      <c r="H78" s="2">
        <v>11645087.602049</v>
      </c>
      <c r="I78" s="2">
        <v>-0.022137939607833</v>
      </c>
      <c r="J78" s="2">
        <v>-0.019559109410962</v>
      </c>
      <c r="K78" s="2">
        <v>0.04287263538144</v>
      </c>
      <c r="L78" s="2">
        <v>-0.46284877279958</v>
      </c>
      <c r="M78" s="2">
        <v>-0.45858752984859</v>
      </c>
      <c r="N78" s="2">
        <v>537.05640888972</v>
      </c>
      <c r="O78" s="2">
        <v>606.19471610775</v>
      </c>
    </row>
    <row r="79" spans="1:15">
      <c r="A79" s="2">
        <v>14.806684939098</v>
      </c>
      <c r="B79" s="2">
        <v>0.042969953169528</v>
      </c>
      <c r="C79" s="2">
        <v>90.243386085844</v>
      </c>
      <c r="D79" s="2">
        <v>0.045111380616639</v>
      </c>
      <c r="E79" s="2">
        <v>4.1329260012958</v>
      </c>
      <c r="F79" s="2">
        <v>0.75965410928341</v>
      </c>
      <c r="G79" s="2">
        <v>61662872.038656</v>
      </c>
      <c r="H79" s="2">
        <v>11773134.966159</v>
      </c>
      <c r="I79" s="2">
        <v>-0.02244032305772</v>
      </c>
      <c r="J79" s="2">
        <v>-0.019828679874275</v>
      </c>
      <c r="K79" s="2">
        <v>0.043446894523212</v>
      </c>
      <c r="L79" s="2">
        <v>-0.46926882684129</v>
      </c>
      <c r="M79" s="2">
        <v>-0.46487648159899</v>
      </c>
      <c r="N79" s="2">
        <v>538.17691744453</v>
      </c>
      <c r="O79" s="2">
        <v>607.539705716</v>
      </c>
    </row>
    <row r="80" spans="1:15">
      <c r="A80" s="2">
        <v>15.006684939098</v>
      </c>
      <c r="B80" s="2">
        <v>0.043574127012306</v>
      </c>
      <c r="C80" s="2">
        <v>90.242412456633</v>
      </c>
      <c r="D80" s="2">
        <v>0.045722455049335</v>
      </c>
      <c r="E80" s="2">
        <v>4.1379553408072</v>
      </c>
      <c r="F80" s="2">
        <v>0.75667705567811</v>
      </c>
      <c r="G80" s="2">
        <v>62427807.064571</v>
      </c>
      <c r="H80" s="2">
        <v>11901538.031377</v>
      </c>
      <c r="I80" s="2">
        <v>-0.022742507133768</v>
      </c>
      <c r="J80" s="2">
        <v>-0.020098123746906</v>
      </c>
      <c r="K80" s="2">
        <v>0.044020818638787</v>
      </c>
      <c r="L80" s="2">
        <v>-0.47575820040107</v>
      </c>
      <c r="M80" s="2">
        <v>-0.47122445942229</v>
      </c>
      <c r="N80" s="2">
        <v>539.29362577882</v>
      </c>
      <c r="O80" s="2">
        <v>608.88054569852</v>
      </c>
    </row>
    <row r="81" spans="1:15">
      <c r="A81" s="2">
        <v>15.206684939098</v>
      </c>
      <c r="B81" s="2">
        <v>0.044178314792473</v>
      </c>
      <c r="C81" s="2">
        <v>90.241439063985</v>
      </c>
      <c r="D81" s="2">
        <v>0.046333540286594</v>
      </c>
      <c r="E81" s="2">
        <v>4.1429842072217</v>
      </c>
      <c r="F81" s="2">
        <v>0.75370923243493</v>
      </c>
      <c r="G81" s="2">
        <v>63195106.903924</v>
      </c>
      <c r="H81" s="2">
        <v>12030293.351039</v>
      </c>
      <c r="I81" s="2">
        <v>-0.023044492995695</v>
      </c>
      <c r="J81" s="2">
        <v>-0.020367440928102</v>
      </c>
      <c r="K81" s="2">
        <v>0.044594408165798</v>
      </c>
      <c r="L81" s="2">
        <v>-0.48225919180655</v>
      </c>
      <c r="M81" s="2">
        <v>-0.47759122323871</v>
      </c>
      <c r="N81" s="2">
        <v>540.40611129647</v>
      </c>
      <c r="O81" s="2">
        <v>610.21667569359</v>
      </c>
    </row>
    <row r="82" spans="1:15">
      <c r="A82" s="2">
        <v>15.406684939098</v>
      </c>
      <c r="B82" s="2">
        <v>0.044782520221655</v>
      </c>
      <c r="C82" s="2">
        <v>90.240465593453</v>
      </c>
      <c r="D82" s="2">
        <v>0.046944637885626</v>
      </c>
      <c r="E82" s="2">
        <v>4.1480123816259</v>
      </c>
      <c r="F82" s="2">
        <v>0.75075055892883</v>
      </c>
      <c r="G82" s="2">
        <v>63964747.043815</v>
      </c>
      <c r="H82" s="2">
        <v>12159396.852521</v>
      </c>
      <c r="I82" s="2">
        <v>-0.02334628225227</v>
      </c>
      <c r="J82" s="2">
        <v>-0.020636631245661</v>
      </c>
      <c r="K82" s="2">
        <v>0.045167663485157</v>
      </c>
      <c r="L82" s="2">
        <v>-0.48875937889217</v>
      </c>
      <c r="M82" s="2">
        <v>-0.48396528120742</v>
      </c>
      <c r="N82" s="2">
        <v>541.5138754207</v>
      </c>
      <c r="O82" s="2">
        <v>611.54772556738</v>
      </c>
    </row>
    <row r="83" spans="1:15">
      <c r="A83" s="2">
        <v>15.606684939098</v>
      </c>
      <c r="B83" s="2">
        <v>0.045386740231726</v>
      </c>
      <c r="C83" s="2">
        <v>90.239492113678</v>
      </c>
      <c r="D83" s="2">
        <v>0.047555748728493</v>
      </c>
      <c r="E83" s="2">
        <v>4.1530399974526</v>
      </c>
      <c r="F83" s="2">
        <v>0.74780108398843</v>
      </c>
      <c r="G83" s="2">
        <v>64736697.526075</v>
      </c>
      <c r="H83" s="2">
        <v>12288843.569748</v>
      </c>
      <c r="I83" s="2">
        <v>-0.023647874108463</v>
      </c>
      <c r="J83" s="2">
        <v>-0.020905694499425</v>
      </c>
      <c r="K83" s="2">
        <v>0.045740584982046</v>
      </c>
      <c r="L83" s="2">
        <v>-0.49528153351398</v>
      </c>
      <c r="M83" s="2">
        <v>-0.49035625977081</v>
      </c>
      <c r="N83" s="2">
        <v>542.61759319915</v>
      </c>
      <c r="O83" s="2">
        <v>612.8743209788</v>
      </c>
    </row>
    <row r="84" spans="1:15">
      <c r="A84" s="2">
        <v>15.806684939098</v>
      </c>
      <c r="B84" s="2">
        <v>0.04599097159258</v>
      </c>
      <c r="C84" s="2">
        <v>90.238518532895</v>
      </c>
      <c r="D84" s="2">
        <v>0.0481668739997</v>
      </c>
      <c r="E84" s="2">
        <v>4.158066610879</v>
      </c>
      <c r="F84" s="2">
        <v>0.74486071616666</v>
      </c>
      <c r="G84" s="2">
        <v>65510922.353536</v>
      </c>
      <c r="H84" s="2">
        <v>12418627.483903</v>
      </c>
      <c r="I84" s="2">
        <v>-0.023949268977203</v>
      </c>
      <c r="J84" s="2">
        <v>-0.021174628393313</v>
      </c>
      <c r="K84" s="2">
        <v>0.046313173058636</v>
      </c>
      <c r="L84" s="2">
        <v>-0.50181943753596</v>
      </c>
      <c r="M84" s="2">
        <v>-0.49676101617989</v>
      </c>
      <c r="N84" s="2">
        <v>543.71832847756</v>
      </c>
      <c r="O84" s="2">
        <v>614.19763219311</v>
      </c>
    </row>
    <row r="85" spans="1:15">
      <c r="A85" s="2">
        <v>16.006684939098</v>
      </c>
      <c r="B85" s="2">
        <v>0.046595221852292</v>
      </c>
      <c r="C85" s="2">
        <v>90.237545141899</v>
      </c>
      <c r="D85" s="2">
        <v>0.04877801552706</v>
      </c>
      <c r="E85" s="2">
        <v>4.1630923790484</v>
      </c>
      <c r="F85" s="2">
        <v>0.74192942524201</v>
      </c>
      <c r="G85" s="2">
        <v>66287405.347241</v>
      </c>
      <c r="H85" s="2">
        <v>12548745.957313</v>
      </c>
      <c r="I85" s="2">
        <v>-0.024250467819613</v>
      </c>
      <c r="J85" s="2">
        <v>-0.021443434997086</v>
      </c>
      <c r="K85" s="2">
        <v>0.046885428090408</v>
      </c>
      <c r="L85" s="2">
        <v>-0.50835349152105</v>
      </c>
      <c r="M85" s="2">
        <v>-0.50315750531754</v>
      </c>
      <c r="N85" s="2">
        <v>544.81479291894</v>
      </c>
      <c r="O85" s="2">
        <v>615.51631828408</v>
      </c>
    </row>
    <row r="86" spans="1:15">
      <c r="A86" s="2">
        <v>16.206684939098</v>
      </c>
      <c r="B86" s="2">
        <v>0.047199486286319</v>
      </c>
      <c r="C86" s="2">
        <v>90.236572007267</v>
      </c>
      <c r="D86" s="2">
        <v>0.04938917417231</v>
      </c>
      <c r="E86" s="2">
        <v>4.1681172682023</v>
      </c>
      <c r="F86" s="2">
        <v>0.73900689401972</v>
      </c>
      <c r="G86" s="2">
        <v>67066110.618652</v>
      </c>
      <c r="H86" s="2">
        <v>12679193.006485</v>
      </c>
      <c r="I86" s="2">
        <v>-0.024551470398407</v>
      </c>
      <c r="J86" s="2">
        <v>-0.02171211255054</v>
      </c>
      <c r="K86" s="2">
        <v>0.047457350480789</v>
      </c>
      <c r="L86" s="2">
        <v>-0.51494082853445</v>
      </c>
      <c r="M86" s="2">
        <v>-0.50961543177188</v>
      </c>
      <c r="N86" s="2">
        <v>545.90824418119</v>
      </c>
      <c r="O86" s="2">
        <v>616.83175166095</v>
      </c>
    </row>
    <row r="87" spans="1:15">
      <c r="A87" s="2">
        <v>16.406684939098</v>
      </c>
      <c r="B87" s="2">
        <v>0.047803774498942</v>
      </c>
      <c r="C87" s="2">
        <v>90.235598582955</v>
      </c>
      <c r="D87" s="2">
        <v>0.050000351285931</v>
      </c>
      <c r="E87" s="2">
        <v>4.1731409318663</v>
      </c>
      <c r="F87" s="2">
        <v>0.73609333593244</v>
      </c>
      <c r="G87" s="2">
        <v>67847023.564842</v>
      </c>
      <c r="H87" s="2">
        <v>12809966.252302</v>
      </c>
      <c r="I87" s="2">
        <v>-0.024852278476191</v>
      </c>
      <c r="J87" s="2">
        <v>-0.02198066261826</v>
      </c>
      <c r="K87" s="2">
        <v>0.048028940607838</v>
      </c>
      <c r="L87" s="2">
        <v>-0.52152791914658</v>
      </c>
      <c r="M87" s="2">
        <v>-0.51606296763087</v>
      </c>
      <c r="N87" s="2">
        <v>546.99716770271</v>
      </c>
      <c r="O87" s="2">
        <v>618.14229463869</v>
      </c>
    </row>
    <row r="88" spans="1:15">
      <c r="A88" s="2">
        <v>16.606684939098</v>
      </c>
      <c r="B88" s="2">
        <v>0.04840808127687</v>
      </c>
      <c r="C88" s="2">
        <v>90.234624819197</v>
      </c>
      <c r="D88" s="2">
        <v>0.050611548509753</v>
      </c>
      <c r="E88" s="2">
        <v>4.1781635306305</v>
      </c>
      <c r="F88" s="2">
        <v>0.73318872857135</v>
      </c>
      <c r="G88" s="2">
        <v>68630113.525883</v>
      </c>
      <c r="H88" s="2">
        <v>12941060.614805</v>
      </c>
      <c r="I88" s="2">
        <v>-0.025152892697163</v>
      </c>
      <c r="J88" s="2">
        <v>-0.02224908332548</v>
      </c>
      <c r="K88" s="2">
        <v>0.048600198844026</v>
      </c>
      <c r="L88" s="2">
        <v>-0.52812047214332</v>
      </c>
      <c r="M88" s="2">
        <v>-0.52252600347836</v>
      </c>
      <c r="N88" s="2">
        <v>548.08237742523</v>
      </c>
      <c r="O88" s="2">
        <v>619.44880667026</v>
      </c>
    </row>
    <row r="89" spans="1:15">
      <c r="A89" s="2">
        <v>16.806684939098</v>
      </c>
      <c r="B89" s="2">
        <v>0.0490124085648</v>
      </c>
      <c r="C89" s="2">
        <v>90.233651208115</v>
      </c>
      <c r="D89" s="2">
        <v>0.051222766551284</v>
      </c>
      <c r="E89" s="2">
        <v>4.1831843661248</v>
      </c>
      <c r="F89" s="2">
        <v>0.73029318551484</v>
      </c>
      <c r="G89" s="2">
        <v>69415353.439541</v>
      </c>
      <c r="H89" s="2">
        <v>13072471.625951</v>
      </c>
      <c r="I89" s="2">
        <v>-0.025453312502187</v>
      </c>
      <c r="J89" s="2">
        <v>-0.022517375487316</v>
      </c>
      <c r="K89" s="2">
        <v>0.049171125602861</v>
      </c>
      <c r="L89" s="2">
        <v>-0.5347870963549</v>
      </c>
      <c r="M89" s="2">
        <v>-0.52907709031802</v>
      </c>
      <c r="N89" s="2">
        <v>549.16406670868</v>
      </c>
      <c r="O89" s="2">
        <v>620.75167983547</v>
      </c>
    </row>
    <row r="90" spans="1:15">
      <c r="A90" s="2">
        <v>17</v>
      </c>
      <c r="B90" s="2">
        <v>0.049596428245198</v>
      </c>
      <c r="C90" s="2">
        <v>90.232714634292</v>
      </c>
      <c r="D90" s="2">
        <v>0.051813562154545</v>
      </c>
      <c r="E90" s="2">
        <v>4.1880351929293</v>
      </c>
      <c r="F90" s="2">
        <v>0.72750280946143</v>
      </c>
      <c r="G90" s="2">
        <v>70176203.521646</v>
      </c>
      <c r="H90" s="2">
        <v>13199759.830119</v>
      </c>
      <c r="I90" s="2">
        <v>-0.025743482250157</v>
      </c>
      <c r="J90" s="2">
        <v>-0.022776554577827</v>
      </c>
      <c r="K90" s="2">
        <v>0.049722654704441</v>
      </c>
      <c r="L90" s="2">
        <v>-0.54073891807011</v>
      </c>
      <c r="M90" s="2">
        <v>-0.53453651622069</v>
      </c>
      <c r="N90" s="2">
        <v>550.22790629942</v>
      </c>
      <c r="O90" s="2">
        <v>622.03054308928</v>
      </c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1"/>
  <sheetViews>
    <sheetView topLeftCell="A70" workbookViewId="0">
      <selection activeCell="A1" sqref="A1:O90"/>
    </sheetView>
  </sheetViews>
  <sheetFormatPr defaultColWidth="8.81481481481481" defaultRowHeight="15"/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2">
        <v>0.0025830812468784</v>
      </c>
      <c r="B3" s="3">
        <v>6.3529717571166e-32</v>
      </c>
      <c r="C3" s="2">
        <v>90.287235980473</v>
      </c>
      <c r="D3" s="3">
        <v>6.9507154737445e-6</v>
      </c>
      <c r="E3" s="2">
        <v>6.6107828794075</v>
      </c>
      <c r="F3" s="2">
        <v>0.99204025442274</v>
      </c>
      <c r="G3" s="2">
        <v>16000000</v>
      </c>
      <c r="H3" s="2">
        <v>4000000</v>
      </c>
      <c r="I3" s="3">
        <v>-2.0903777359458e-6</v>
      </c>
      <c r="J3" s="3">
        <v>-1.8871850945693e-6</v>
      </c>
      <c r="K3" s="3">
        <v>7.7492131975427e-6</v>
      </c>
      <c r="L3" s="3">
        <v>-1.2893104650828e-7</v>
      </c>
      <c r="M3" s="3">
        <v>-1.2997269707264e-7</v>
      </c>
      <c r="N3" s="2">
        <v>1.6857299647675</v>
      </c>
      <c r="O3" s="2">
        <v>1.7836762394114</v>
      </c>
    </row>
    <row r="4" spans="1:15">
      <c r="A4" s="2">
        <v>0.018444056862426</v>
      </c>
      <c r="B4" s="3">
        <v>2.2159457893483e-28</v>
      </c>
      <c r="C4" s="2">
        <v>90.287535171227</v>
      </c>
      <c r="D4" s="3">
        <v>4.9632148559239e-5</v>
      </c>
      <c r="E4" s="2">
        <v>6.6107928629549</v>
      </c>
      <c r="F4" s="2">
        <v>0.99209553577674</v>
      </c>
      <c r="G4" s="2">
        <v>16000000</v>
      </c>
      <c r="H4" s="2">
        <v>4000000</v>
      </c>
      <c r="I4" s="3">
        <v>-1.4928172089119e-5</v>
      </c>
      <c r="J4" s="3">
        <v>-1.3477118014059e-5</v>
      </c>
      <c r="K4" s="3">
        <v>5.5330613417084e-5</v>
      </c>
      <c r="L4" s="3">
        <v>-6.569618112335e-6</v>
      </c>
      <c r="M4" s="3">
        <v>-6.6232902134003e-6</v>
      </c>
      <c r="N4" s="2">
        <v>12.039856479517</v>
      </c>
      <c r="O4" s="2">
        <v>12.739168007944</v>
      </c>
    </row>
    <row r="5" spans="1:15">
      <c r="A5" s="2">
        <v>0.1</v>
      </c>
      <c r="B5" s="3">
        <v>8.4926769441773e-21</v>
      </c>
      <c r="C5" s="2">
        <v>90.289115955694</v>
      </c>
      <c r="D5" s="2">
        <v>0.00026914765846424</v>
      </c>
      <c r="E5" s="2">
        <v>6.6108435237686</v>
      </c>
      <c r="F5" s="2">
        <v>0.99237953845064</v>
      </c>
      <c r="G5" s="2">
        <v>16000000</v>
      </c>
      <c r="H5" s="2">
        <v>4000000</v>
      </c>
      <c r="I5" s="3">
        <v>-8.1007149322656e-5</v>
      </c>
      <c r="J5" s="3">
        <v>-7.3133692909745e-5</v>
      </c>
      <c r="K5" s="2">
        <v>0.00029995423295683</v>
      </c>
      <c r="L5" s="2">
        <v>-0.00019157505492826</v>
      </c>
      <c r="M5" s="2">
        <v>-0.00019331920168012</v>
      </c>
      <c r="N5" s="2">
        <v>65.37729623366</v>
      </c>
      <c r="O5" s="2">
        <v>69.167234974958</v>
      </c>
    </row>
    <row r="6" spans="1:15">
      <c r="A6" s="2">
        <v>0.20668493909835</v>
      </c>
      <c r="B6" s="3">
        <v>2.5691089753217e-15</v>
      </c>
      <c r="C6" s="2">
        <v>90.291300174629</v>
      </c>
      <c r="D6" s="2">
        <v>0.00055641919938679</v>
      </c>
      <c r="E6" s="2">
        <v>6.610908328587</v>
      </c>
      <c r="F6" s="2">
        <v>0.99275044576169</v>
      </c>
      <c r="G6" s="2">
        <v>16000000.000001</v>
      </c>
      <c r="H6" s="2">
        <v>4000000.0000003</v>
      </c>
      <c r="I6" s="2">
        <v>-0.00016759588701503</v>
      </c>
      <c r="J6" s="2">
        <v>-0.00015130804913656</v>
      </c>
      <c r="K6" s="2">
        <v>0.00061985935028957</v>
      </c>
      <c r="L6" s="2">
        <v>-0.00082200365013134</v>
      </c>
      <c r="M6" s="2">
        <v>-0.00082932704759846</v>
      </c>
      <c r="N6" s="2">
        <v>135.36768115488</v>
      </c>
      <c r="O6" s="2">
        <v>143.1966015578</v>
      </c>
    </row>
    <row r="7" spans="1:15">
      <c r="A7" s="2">
        <v>0.40668493909835</v>
      </c>
      <c r="B7" s="3">
        <v>4.7855984504065e-9</v>
      </c>
      <c r="C7" s="2">
        <v>90.295814069771</v>
      </c>
      <c r="D7" s="2">
        <v>0.0010953632150802</v>
      </c>
      <c r="E7" s="2">
        <v>6.6110245399083</v>
      </c>
      <c r="F7" s="2">
        <v>0.99344377141424</v>
      </c>
      <c r="G7" s="2">
        <v>16000002.636664</v>
      </c>
      <c r="H7" s="2">
        <v>4000000.4581795</v>
      </c>
      <c r="I7" s="2">
        <v>-0.00033047043157313</v>
      </c>
      <c r="J7" s="2">
        <v>-0.0002983593537294</v>
      </c>
      <c r="K7" s="2">
        <v>0.0012192983457375</v>
      </c>
      <c r="L7" s="2">
        <v>-0.0031827887917922</v>
      </c>
      <c r="M7" s="2">
        <v>-0.003212601242829</v>
      </c>
      <c r="N7" s="2">
        <v>267.3561830442</v>
      </c>
      <c r="O7" s="2">
        <v>282.74504505097</v>
      </c>
    </row>
    <row r="8" spans="1:15">
      <c r="A8" s="2">
        <v>0.60668493909835</v>
      </c>
      <c r="B8" s="3">
        <v>4.4777911639497e-5</v>
      </c>
      <c r="C8" s="2">
        <v>90.300593255522</v>
      </c>
      <c r="D8" s="2">
        <v>0.0016405548850712</v>
      </c>
      <c r="E8" s="2">
        <v>6.6116279126001</v>
      </c>
      <c r="F8" s="2">
        <v>0.99395267044534</v>
      </c>
      <c r="G8" s="2">
        <v>16025105.889067</v>
      </c>
      <c r="H8" s="2">
        <v>4004361.8913881</v>
      </c>
      <c r="I8" s="2">
        <v>-0.00050516427472309</v>
      </c>
      <c r="J8" s="2">
        <v>-0.00045356314073717</v>
      </c>
      <c r="K8" s="2">
        <v>0.0018183717751711</v>
      </c>
      <c r="L8" s="2">
        <v>-0.0083267308572635</v>
      </c>
      <c r="M8" s="2">
        <v>-0.0081292103252173</v>
      </c>
      <c r="N8" s="2">
        <v>391.72116562997</v>
      </c>
      <c r="O8" s="2">
        <v>414.74902190793</v>
      </c>
    </row>
    <row r="9" spans="1:15">
      <c r="A9" s="2">
        <v>0.80668493909835</v>
      </c>
      <c r="B9" s="2">
        <v>0.00047527555403273</v>
      </c>
      <c r="C9" s="2">
        <v>90.303364987825</v>
      </c>
      <c r="D9" s="2">
        <v>0.0022257407743393</v>
      </c>
      <c r="E9" s="2">
        <v>6.6166320519496</v>
      </c>
      <c r="F9" s="2">
        <v>0.99303939608793</v>
      </c>
      <c r="G9" s="2">
        <v>16282384.948003</v>
      </c>
      <c r="H9" s="2">
        <v>4049036.7738151</v>
      </c>
      <c r="I9" s="2">
        <v>-0.00076337509255397</v>
      </c>
      <c r="J9" s="2">
        <v>-0.00068096403864189</v>
      </c>
      <c r="K9" s="2">
        <v>0.0024170797487463</v>
      </c>
      <c r="L9" s="2">
        <v>-0.01818279171817</v>
      </c>
      <c r="M9" s="2">
        <v>-0.017517614767358</v>
      </c>
      <c r="N9" s="2">
        <v>444.74595894966</v>
      </c>
      <c r="O9" s="2">
        <v>475.25169566346</v>
      </c>
    </row>
    <row r="10" spans="1:15">
      <c r="A10" s="2">
        <v>1.0066849390983</v>
      </c>
      <c r="B10" s="2">
        <v>0.0010745588220001</v>
      </c>
      <c r="C10" s="2">
        <v>90.307224848607</v>
      </c>
      <c r="D10" s="2">
        <v>0.0028279150974733</v>
      </c>
      <c r="E10" s="2">
        <v>6.6211324159</v>
      </c>
      <c r="F10" s="2">
        <v>0.99115659215418</v>
      </c>
      <c r="G10" s="2">
        <v>16670797.626545</v>
      </c>
      <c r="H10" s="2">
        <v>4116427.1624674</v>
      </c>
      <c r="I10" s="2">
        <v>-0.0010579561639891</v>
      </c>
      <c r="J10" s="2">
        <v>-0.00094405658240286</v>
      </c>
      <c r="K10" s="2">
        <v>0.0030154243768715</v>
      </c>
      <c r="L10" s="2">
        <v>-0.018396345960855</v>
      </c>
      <c r="M10" s="2">
        <v>-0.017498803503173</v>
      </c>
      <c r="N10" s="2">
        <v>464.05567468626</v>
      </c>
      <c r="O10" s="2">
        <v>501.22992764803</v>
      </c>
    </row>
    <row r="11" spans="1:15">
      <c r="A11" s="2">
        <v>1.2066849390983</v>
      </c>
      <c r="B11" s="2">
        <v>0.0016904447079382</v>
      </c>
      <c r="C11" s="2">
        <v>90.309833040538</v>
      </c>
      <c r="D11" s="2">
        <v>0.0034378503547264</v>
      </c>
      <c r="E11" s="2">
        <v>6.6248045782511</v>
      </c>
      <c r="F11" s="2">
        <v>0.98798385744154</v>
      </c>
      <c r="G11" s="2">
        <v>17105031.238655</v>
      </c>
      <c r="H11" s="2">
        <v>4191710.1113201</v>
      </c>
      <c r="I11" s="2">
        <v>-0.0013623001316937</v>
      </c>
      <c r="J11" s="2">
        <v>-0.0012146910356088</v>
      </c>
      <c r="K11" s="2">
        <v>0.0036134036272257</v>
      </c>
      <c r="L11" s="2">
        <v>-0.028710312076858</v>
      </c>
      <c r="M11" s="2">
        <v>-0.028543875336852</v>
      </c>
      <c r="N11" s="2">
        <v>475.12063257063</v>
      </c>
      <c r="O11" s="2">
        <v>517.6974146557</v>
      </c>
    </row>
    <row r="12" spans="1:15">
      <c r="A12" s="2">
        <v>1.4066849390983</v>
      </c>
      <c r="B12" s="2">
        <v>0.0023037531744211</v>
      </c>
      <c r="C12" s="2">
        <v>90.310989999152</v>
      </c>
      <c r="D12" s="2">
        <v>0.0040517603119245</v>
      </c>
      <c r="E12" s="2">
        <v>6.628565360503</v>
      </c>
      <c r="F12" s="2">
        <v>0.98418135290615</v>
      </c>
      <c r="G12" s="2">
        <v>17567843.10879</v>
      </c>
      <c r="H12" s="2">
        <v>4271893.6002791</v>
      </c>
      <c r="I12" s="2">
        <v>-0.00167067566346</v>
      </c>
      <c r="J12" s="2">
        <v>-0.0014889992832836</v>
      </c>
      <c r="K12" s="2">
        <v>0.0042110174690532</v>
      </c>
      <c r="L12" s="2">
        <v>-0.037859124856267</v>
      </c>
      <c r="M12" s="2">
        <v>-0.037958372053634</v>
      </c>
      <c r="N12" s="2">
        <v>482.37815695461</v>
      </c>
      <c r="O12" s="2">
        <v>528.99882289582</v>
      </c>
    </row>
    <row r="13" spans="1:15">
      <c r="A13" s="2">
        <v>1.6066849390983</v>
      </c>
      <c r="B13" s="2">
        <v>0.0029132473982443</v>
      </c>
      <c r="C13" s="2">
        <v>90.31123276866</v>
      </c>
      <c r="D13" s="2">
        <v>0.0046673878330693</v>
      </c>
      <c r="E13" s="2">
        <v>6.6324426160389</v>
      </c>
      <c r="F13" s="2">
        <v>0.98031105228434</v>
      </c>
      <c r="G13" s="2">
        <v>18052042.224018</v>
      </c>
      <c r="H13" s="2">
        <v>4355729.7183496</v>
      </c>
      <c r="I13" s="2">
        <v>-0.0019815745879729</v>
      </c>
      <c r="J13" s="2">
        <v>-0.0017650850156274</v>
      </c>
      <c r="K13" s="2">
        <v>0.0048082673717713</v>
      </c>
      <c r="L13" s="2">
        <v>-0.047531335114783</v>
      </c>
      <c r="M13" s="2">
        <v>-0.047359288079273</v>
      </c>
      <c r="N13" s="2">
        <v>487.4021012454</v>
      </c>
      <c r="O13" s="2">
        <v>536.85851210624</v>
      </c>
    </row>
    <row r="14" spans="1:15">
      <c r="A14" s="2">
        <v>1.8066849390983</v>
      </c>
      <c r="B14" s="2">
        <v>0.003520650015916</v>
      </c>
      <c r="C14" s="2">
        <v>90.310931487192</v>
      </c>
      <c r="D14" s="2">
        <v>0.0052836059757686</v>
      </c>
      <c r="E14" s="2">
        <v>6.6364385073771</v>
      </c>
      <c r="F14" s="2">
        <v>0.97641319212196</v>
      </c>
      <c r="G14" s="2">
        <v>18551040.383979</v>
      </c>
      <c r="H14" s="2">
        <v>4442073.4378409</v>
      </c>
      <c r="I14" s="2">
        <v>-0.0022942686499406</v>
      </c>
      <c r="J14" s="2">
        <v>-0.0020414186789756</v>
      </c>
      <c r="K14" s="2">
        <v>0.0054051542620367</v>
      </c>
      <c r="L14" s="2">
        <v>-0.055367775766173</v>
      </c>
      <c r="M14" s="2">
        <v>-0.055809930126976</v>
      </c>
      <c r="N14" s="2">
        <v>491.2597479237</v>
      </c>
      <c r="O14" s="2">
        <v>542.7810347522</v>
      </c>
    </row>
    <row r="15" spans="1:15">
      <c r="A15" s="2">
        <v>2.0066849390983</v>
      </c>
      <c r="B15" s="2">
        <v>0.0041268549287312</v>
      </c>
      <c r="C15" s="2">
        <v>90.310284407377</v>
      </c>
      <c r="D15" s="2">
        <v>0.0058998904923242</v>
      </c>
      <c r="E15" s="2">
        <v>6.640515670116</v>
      </c>
      <c r="F15" s="2">
        <v>0.9725071223542</v>
      </c>
      <c r="G15" s="2">
        <v>19061306.387303</v>
      </c>
      <c r="H15" s="2">
        <v>4530310.7541228</v>
      </c>
      <c r="I15" s="2">
        <v>-0.0026083924135464</v>
      </c>
      <c r="J15" s="2">
        <v>-0.0023173432091624</v>
      </c>
      <c r="K15" s="2">
        <v>0.0060016792201698</v>
      </c>
      <c r="L15" s="2">
        <v>-0.063404588047123</v>
      </c>
      <c r="M15" s="2">
        <v>-0.064340945670104</v>
      </c>
      <c r="N15" s="2">
        <v>494.44421143642</v>
      </c>
      <c r="O15" s="2">
        <v>547.54269473551</v>
      </c>
    </row>
    <row r="16" spans="1:15">
      <c r="A16" s="2">
        <v>2.2066849390983</v>
      </c>
      <c r="B16" s="2">
        <v>0.0047325535475237</v>
      </c>
      <c r="C16" s="2">
        <v>90.309426320184</v>
      </c>
      <c r="D16" s="2">
        <v>0.0065159808863519</v>
      </c>
      <c r="E16" s="2">
        <v>6.6446275297135</v>
      </c>
      <c r="F16" s="2">
        <v>0.96861291145089</v>
      </c>
      <c r="G16" s="2">
        <v>19580779.056428</v>
      </c>
      <c r="H16" s="2">
        <v>4620083.1948125</v>
      </c>
      <c r="I16" s="2">
        <v>-0.0029234302810579</v>
      </c>
      <c r="J16" s="2">
        <v>-0.0025928492883138</v>
      </c>
      <c r="K16" s="2">
        <v>0.0065978433335467</v>
      </c>
      <c r="L16" s="2">
        <v>-0.071699700847522</v>
      </c>
      <c r="M16" s="2">
        <v>-0.07279272937771</v>
      </c>
      <c r="N16" s="2">
        <v>497.20730052944</v>
      </c>
      <c r="O16" s="2">
        <v>551.5826143286</v>
      </c>
    </row>
    <row r="17" spans="1:15">
      <c r="A17" s="2">
        <v>2.4066849390983</v>
      </c>
      <c r="B17" s="2">
        <v>0.0053380960465654</v>
      </c>
      <c r="C17" s="2">
        <v>90.308462229267</v>
      </c>
      <c r="D17" s="2">
        <v>0.0071317877875345</v>
      </c>
      <c r="E17" s="2">
        <v>6.6487490031388</v>
      </c>
      <c r="F17" s="2">
        <v>0.96472166423682</v>
      </c>
      <c r="G17" s="2">
        <v>20108220.785067</v>
      </c>
      <c r="H17" s="2">
        <v>4711175.6018132</v>
      </c>
      <c r="I17" s="2">
        <v>-0.0032388562089564</v>
      </c>
      <c r="J17" s="2">
        <v>-0.0028681730701166</v>
      </c>
      <c r="K17" s="2">
        <v>0.0071936471089896</v>
      </c>
      <c r="L17" s="2">
        <v>-0.079653120073743</v>
      </c>
      <c r="M17" s="2">
        <v>-0.080901883307075</v>
      </c>
      <c r="N17" s="2">
        <v>499.68820601761</v>
      </c>
      <c r="O17" s="2">
        <v>555.1431957994</v>
      </c>
    </row>
    <row r="18" spans="1:15">
      <c r="A18" s="2">
        <v>2.6066849390983</v>
      </c>
      <c r="B18" s="2">
        <v>0.0059435799105224</v>
      </c>
      <c r="C18" s="2">
        <v>90.307439768688</v>
      </c>
      <c r="D18" s="2">
        <v>0.0077473228449412</v>
      </c>
      <c r="E18" s="2">
        <v>6.6528731446526</v>
      </c>
      <c r="F18" s="2">
        <v>0.96084898582586</v>
      </c>
      <c r="G18" s="2">
        <v>20642826.657617</v>
      </c>
      <c r="H18" s="2">
        <v>4803448.0419951</v>
      </c>
      <c r="I18" s="2">
        <v>-0.0035543255298353</v>
      </c>
      <c r="J18" s="2">
        <v>-0.0031434902348365</v>
      </c>
      <c r="K18" s="2">
        <v>0.0077890908366452</v>
      </c>
      <c r="L18" s="2">
        <v>-0.087548756340086</v>
      </c>
      <c r="M18" s="2">
        <v>-0.088973952108294</v>
      </c>
      <c r="N18" s="2">
        <v>501.970059424</v>
      </c>
      <c r="O18" s="2">
        <v>558.35728293737</v>
      </c>
    </row>
    <row r="19" spans="1:15">
      <c r="A19" s="2">
        <v>2.8066849390983</v>
      </c>
      <c r="B19" s="2">
        <v>0.0065490124118733</v>
      </c>
      <c r="C19" s="2">
        <v>90.306385211148</v>
      </c>
      <c r="D19" s="2">
        <v>0.0083626174171253</v>
      </c>
      <c r="E19" s="2">
        <v>6.6570047200062</v>
      </c>
      <c r="F19" s="2">
        <v>0.95701863801591</v>
      </c>
      <c r="G19" s="2">
        <v>21184012.486657</v>
      </c>
      <c r="H19" s="2">
        <v>4896798.9305527</v>
      </c>
      <c r="I19" s="2">
        <v>-0.0038696233061605</v>
      </c>
      <c r="J19" s="2">
        <v>-0.0034189051927666</v>
      </c>
      <c r="K19" s="2">
        <v>0.0083841749126536</v>
      </c>
      <c r="L19" s="2">
        <v>-0.095246379346974</v>
      </c>
      <c r="M19" s="2">
        <v>-0.096806683324215</v>
      </c>
      <c r="N19" s="2">
        <v>504.10714075436</v>
      </c>
      <c r="O19" s="2">
        <v>561.3052143704</v>
      </c>
    </row>
    <row r="20" spans="1:15">
      <c r="A20" s="2">
        <v>3.0066849390983</v>
      </c>
      <c r="B20" s="2">
        <v>0.0071543816752202</v>
      </c>
      <c r="C20" s="2">
        <v>90.305313858082</v>
      </c>
      <c r="D20" s="2">
        <v>0.008977688822494</v>
      </c>
      <c r="E20" s="2">
        <v>6.6611545124033</v>
      </c>
      <c r="F20" s="2">
        <v>0.9532386767712</v>
      </c>
      <c r="G20" s="2">
        <v>21731315.856493</v>
      </c>
      <c r="H20" s="2">
        <v>4991147.7955768</v>
      </c>
      <c r="I20" s="2">
        <v>-0.0041846482242157</v>
      </c>
      <c r="J20" s="2">
        <v>-0.0036944455056462</v>
      </c>
      <c r="K20" s="2">
        <v>0.0089788997749096</v>
      </c>
      <c r="L20" s="2">
        <v>-0.10295239905794</v>
      </c>
      <c r="M20" s="2">
        <v>-0.10456527105857</v>
      </c>
      <c r="N20" s="2">
        <v>506.1368473028</v>
      </c>
      <c r="O20" s="2">
        <v>564.04551748027</v>
      </c>
    </row>
    <row r="21" spans="1:15">
      <c r="A21" s="2">
        <v>3.2066849390983</v>
      </c>
      <c r="B21" s="2">
        <v>0.0077597477461141</v>
      </c>
      <c r="C21" s="2">
        <v>90.304235272504</v>
      </c>
      <c r="D21" s="2">
        <v>0.0095925688689522</v>
      </c>
      <c r="E21" s="2">
        <v>6.6653319527382</v>
      </c>
      <c r="F21" s="2">
        <v>0.94950663746588</v>
      </c>
      <c r="G21" s="2">
        <v>22284308.078194</v>
      </c>
      <c r="H21" s="2">
        <v>5086419.9301004</v>
      </c>
      <c r="I21" s="2">
        <v>-0.0044993633898921</v>
      </c>
      <c r="J21" s="2">
        <v>-0.0039700916910946</v>
      </c>
      <c r="K21" s="2">
        <v>0.0095732657928908</v>
      </c>
      <c r="L21" s="2">
        <v>-0.11047369310576</v>
      </c>
      <c r="M21" s="2">
        <v>-0.11211213389344</v>
      </c>
      <c r="N21" s="2">
        <v>508.08783498275</v>
      </c>
      <c r="O21" s="2">
        <v>566.6336877466</v>
      </c>
    </row>
    <row r="22" spans="1:15">
      <c r="A22" s="2">
        <v>3.4066849390983</v>
      </c>
      <c r="B22" s="2">
        <v>0.0083651780308347</v>
      </c>
      <c r="C22" s="2">
        <v>90.303155878652</v>
      </c>
      <c r="D22" s="2">
        <v>0.010207293167674</v>
      </c>
      <c r="E22" s="2">
        <v>6.6695445269493</v>
      </c>
      <c r="F22" s="2">
        <v>0.94581555216857</v>
      </c>
      <c r="G22" s="2">
        <v>22842645.773002</v>
      </c>
      <c r="H22" s="2">
        <v>5182555.4325723</v>
      </c>
      <c r="I22" s="2">
        <v>-0.0048137723039229</v>
      </c>
      <c r="J22" s="2">
        <v>-0.0042458036703888</v>
      </c>
      <c r="K22" s="2">
        <v>0.010167273337054</v>
      </c>
      <c r="L22" s="2">
        <v>-0.11793820225641</v>
      </c>
      <c r="M22" s="2">
        <v>-0.11956628120256</v>
      </c>
      <c r="N22" s="2">
        <v>509.97962819942</v>
      </c>
      <c r="O22" s="2">
        <v>569.1121056253</v>
      </c>
    </row>
    <row r="23" spans="1:15">
      <c r="A23" s="2">
        <v>3.6066849390983</v>
      </c>
      <c r="B23" s="2">
        <v>0.0089706798018465</v>
      </c>
      <c r="C23" s="2">
        <v>90.302077852021</v>
      </c>
      <c r="D23" s="2">
        <v>0.010821877925248</v>
      </c>
      <c r="E23" s="2">
        <v>6.6737947857295</v>
      </c>
      <c r="F23" s="2">
        <v>0.94216126589828</v>
      </c>
      <c r="G23" s="2">
        <v>23406098.851655</v>
      </c>
      <c r="H23" s="2">
        <v>5279514.136818</v>
      </c>
      <c r="I23" s="2">
        <v>-0.005127893997975</v>
      </c>
      <c r="J23" s="2">
        <v>-0.0045215402798096</v>
      </c>
      <c r="K23" s="2">
        <v>0.010760922879318</v>
      </c>
      <c r="L23" s="2">
        <v>-0.12535638401636</v>
      </c>
      <c r="M23" s="2">
        <v>-0.12694585000498</v>
      </c>
      <c r="N23" s="2">
        <v>511.82400728268</v>
      </c>
      <c r="O23" s="2">
        <v>571.50456693221</v>
      </c>
    </row>
    <row r="24" spans="1:15">
      <c r="A24" s="2">
        <v>3.8066849390983</v>
      </c>
      <c r="B24" s="2">
        <v>0.0095762201241702</v>
      </c>
      <c r="C24" s="2">
        <v>90.301000618124</v>
      </c>
      <c r="D24" s="2">
        <v>0.011436320022314</v>
      </c>
      <c r="E24" s="2">
        <v>6.6780837775232</v>
      </c>
      <c r="F24" s="2">
        <v>0.93854199187095</v>
      </c>
      <c r="G24" s="2">
        <v>23974513.707293</v>
      </c>
      <c r="H24" s="2">
        <v>5377269.2174706</v>
      </c>
      <c r="I24" s="2">
        <v>-0.0054417495047689</v>
      </c>
      <c r="J24" s="2">
        <v>-0.0047972683956403</v>
      </c>
      <c r="K24" s="2">
        <v>0.011354215008005</v>
      </c>
      <c r="L24" s="2">
        <v>-0.13277911920025</v>
      </c>
      <c r="M24" s="2">
        <v>-0.13438221403098</v>
      </c>
      <c r="N24" s="2">
        <v>513.6276967642</v>
      </c>
      <c r="O24" s="2">
        <v>573.82350907065</v>
      </c>
    </row>
    <row r="25" spans="1:15">
      <c r="A25" s="2">
        <v>4.0066849390983</v>
      </c>
      <c r="B25" s="2">
        <v>0.010181760779867</v>
      </c>
      <c r="C25" s="2">
        <v>90.299923779072</v>
      </c>
      <c r="D25" s="2">
        <v>0.012050615108858</v>
      </c>
      <c r="E25" s="2">
        <v>6.6824110198317</v>
      </c>
      <c r="F25" s="2">
        <v>0.93495665621061</v>
      </c>
      <c r="G25" s="2">
        <v>24547759.904541</v>
      </c>
      <c r="H25" s="2">
        <v>5475797.9171548</v>
      </c>
      <c r="I25" s="2">
        <v>-0.0057553672202012</v>
      </c>
      <c r="J25" s="2">
        <v>-0.0050729491687376</v>
      </c>
      <c r="K25" s="2">
        <v>0.011947150317307</v>
      </c>
      <c r="L25" s="2">
        <v>-0.14018433817278</v>
      </c>
      <c r="M25" s="2">
        <v>-0.14172962463173</v>
      </c>
      <c r="N25" s="2">
        <v>515.39621698899</v>
      </c>
      <c r="O25" s="2">
        <v>576.07913822707</v>
      </c>
    </row>
    <row r="26" spans="1:15">
      <c r="A26" s="2">
        <v>4.2066849390983</v>
      </c>
      <c r="B26" s="2">
        <v>0.010787263950996</v>
      </c>
      <c r="C26" s="2">
        <v>90.298849033682</v>
      </c>
      <c r="D26" s="2">
        <v>0.012664755145674</v>
      </c>
      <c r="E26" s="2">
        <v>6.6867762806272</v>
      </c>
      <c r="F26" s="2">
        <v>0.93140179723839</v>
      </c>
      <c r="G26" s="2">
        <v>25125733.322806</v>
      </c>
      <c r="H26" s="2">
        <v>5575082.0945718</v>
      </c>
      <c r="I26" s="2">
        <v>-0.0060687935172943</v>
      </c>
      <c r="J26" s="2">
        <v>-0.005348529440801</v>
      </c>
      <c r="K26" s="2">
        <v>0.012539729367719</v>
      </c>
      <c r="L26" s="2">
        <v>-0.14757529574796</v>
      </c>
      <c r="M26" s="2">
        <v>-0.14904416754525</v>
      </c>
      <c r="N26" s="2">
        <v>517.13343510711</v>
      </c>
      <c r="O26" s="2">
        <v>578.27870931529</v>
      </c>
    </row>
    <row r="27" spans="1:15">
      <c r="A27" s="2">
        <v>4.4066849390983</v>
      </c>
      <c r="B27" s="2">
        <v>0.011392685598827</v>
      </c>
      <c r="C27" s="2">
        <v>90.297768922593</v>
      </c>
      <c r="D27" s="2">
        <v>0.01327872501108</v>
      </c>
      <c r="E27" s="2">
        <v>6.6911768867943</v>
      </c>
      <c r="F27" s="2">
        <v>0.92787415885638</v>
      </c>
      <c r="G27" s="2">
        <v>25708360.825889</v>
      </c>
      <c r="H27" s="2">
        <v>5675109.0246364</v>
      </c>
      <c r="I27" s="2">
        <v>-0.0063820813303899</v>
      </c>
      <c r="J27" s="2">
        <v>-0.0056239516055015</v>
      </c>
      <c r="K27" s="2">
        <v>0.013131952773451</v>
      </c>
      <c r="L27" s="2">
        <v>-0.15488945115158</v>
      </c>
      <c r="M27" s="2">
        <v>-0.1563128966667</v>
      </c>
      <c r="N27" s="2">
        <v>518.84181120458</v>
      </c>
      <c r="O27" s="2">
        <v>580.42554193993</v>
      </c>
    </row>
    <row r="28" spans="1:15">
      <c r="A28" s="2">
        <v>4.6066849390983</v>
      </c>
      <c r="B28" s="2">
        <v>0.011998012218224</v>
      </c>
      <c r="C28" s="2">
        <v>90.296684861933</v>
      </c>
      <c r="D28" s="2">
        <v>0.013892522538876</v>
      </c>
      <c r="E28" s="2">
        <v>6.6956088273167</v>
      </c>
      <c r="F28" s="2">
        <v>0.92437219587703</v>
      </c>
      <c r="G28" s="2">
        <v>26295554.905275</v>
      </c>
      <c r="H28" s="2">
        <v>5775863.4734402</v>
      </c>
      <c r="I28" s="2">
        <v>-0.0066952468285483</v>
      </c>
      <c r="J28" s="2">
        <v>-0.0058991940023202</v>
      </c>
      <c r="K28" s="2">
        <v>0.013723821048184</v>
      </c>
      <c r="L28" s="2">
        <v>-0.16218723669256</v>
      </c>
      <c r="M28" s="2">
        <v>-0.16349808252628</v>
      </c>
      <c r="N28" s="2">
        <v>520.52424198548</v>
      </c>
      <c r="O28" s="2">
        <v>582.52564698648</v>
      </c>
    </row>
    <row r="29" spans="1:15">
      <c r="A29" s="2">
        <v>4.8066849390983</v>
      </c>
      <c r="B29" s="2">
        <v>0.012603259233163</v>
      </c>
      <c r="C29" s="2">
        <v>90.29559716872</v>
      </c>
      <c r="D29" s="2">
        <v>0.014506160818553</v>
      </c>
      <c r="E29" s="2">
        <v>6.7000684353234</v>
      </c>
      <c r="F29" s="2">
        <v>0.9208943517179</v>
      </c>
      <c r="G29" s="2">
        <v>26887215.929751</v>
      </c>
      <c r="H29" s="2">
        <v>5877328.0877833</v>
      </c>
      <c r="I29" s="2">
        <v>-0.0070082759903577</v>
      </c>
      <c r="J29" s="2">
        <v>-0.0061742669253412</v>
      </c>
      <c r="K29" s="2">
        <v>0.014315334572385</v>
      </c>
      <c r="L29" s="2">
        <v>-0.16937304940152</v>
      </c>
      <c r="M29" s="2">
        <v>-0.17061103500285</v>
      </c>
      <c r="N29" s="2">
        <v>522.18284780413</v>
      </c>
      <c r="O29" s="2">
        <v>584.58587246726</v>
      </c>
    </row>
    <row r="30" spans="1:15">
      <c r="A30" s="2">
        <v>5.0066849390983</v>
      </c>
      <c r="B30" s="2">
        <v>0.013208440612604</v>
      </c>
      <c r="C30" s="2">
        <v>90.294506451638</v>
      </c>
      <c r="D30" s="2">
        <v>0.015119655725821</v>
      </c>
      <c r="E30" s="2">
        <v>6.7045526083232</v>
      </c>
      <c r="F30" s="2">
        <v>0.91743863487934</v>
      </c>
      <c r="G30" s="2">
        <v>27483237.792107</v>
      </c>
      <c r="H30" s="2">
        <v>5979484.4134222</v>
      </c>
      <c r="I30" s="2">
        <v>-0.0073211514566784</v>
      </c>
      <c r="J30" s="2">
        <v>-0.0064491798450104</v>
      </c>
      <c r="K30" s="2">
        <v>0.014906493670478</v>
      </c>
      <c r="L30" s="2">
        <v>-0.17655033521806</v>
      </c>
      <c r="M30" s="2">
        <v>-0.17771241049981</v>
      </c>
      <c r="N30" s="2">
        <v>523.82185650341</v>
      </c>
      <c r="O30" s="2">
        <v>586.61461113484</v>
      </c>
    </row>
    <row r="31" spans="1:15">
      <c r="A31" s="2">
        <v>5.2066849390983</v>
      </c>
      <c r="B31" s="2">
        <v>0.013813581879689</v>
      </c>
      <c r="C31" s="2">
        <v>90.293412975968</v>
      </c>
      <c r="D31" s="2">
        <v>0.015733025246271</v>
      </c>
      <c r="E31" s="2">
        <v>6.7090582464144</v>
      </c>
      <c r="F31" s="2">
        <v>0.91400310856303</v>
      </c>
      <c r="G31" s="2">
        <v>28083540.064349</v>
      </c>
      <c r="H31" s="2">
        <v>6082318.4319051</v>
      </c>
      <c r="I31" s="2">
        <v>-0.0076338647647804</v>
      </c>
      <c r="J31" s="2">
        <v>-0.0067239405382745</v>
      </c>
      <c r="K31" s="2">
        <v>0.015497298656579</v>
      </c>
      <c r="L31" s="2">
        <v>-0.18366980750512</v>
      </c>
      <c r="M31" s="2">
        <v>-0.18473942041686</v>
      </c>
      <c r="N31" s="2">
        <v>525.44173403945</v>
      </c>
      <c r="O31" s="2">
        <v>588.61476499562</v>
      </c>
    </row>
    <row r="32" spans="1:15">
      <c r="A32" s="2">
        <v>5.4066849390983</v>
      </c>
      <c r="B32" s="2">
        <v>0.014418689555102</v>
      </c>
      <c r="C32" s="2">
        <v>90.292317229065</v>
      </c>
      <c r="D32" s="2">
        <v>0.016346283705816</v>
      </c>
      <c r="E32" s="2">
        <v>6.7135835738562</v>
      </c>
      <c r="F32" s="2">
        <v>0.91058617264692</v>
      </c>
      <c r="G32" s="2">
        <v>28688037.140956</v>
      </c>
      <c r="H32" s="2">
        <v>6185815.2646835</v>
      </c>
      <c r="I32" s="2">
        <v>-0.0079464102061106</v>
      </c>
      <c r="J32" s="2">
        <v>-0.0069985491015037</v>
      </c>
      <c r="K32" s="2">
        <v>0.016087749853938</v>
      </c>
      <c r="L32" s="2">
        <v>-0.19080480978759</v>
      </c>
      <c r="M32" s="2">
        <v>-0.19177359820219</v>
      </c>
      <c r="N32" s="2">
        <v>527.04553837002</v>
      </c>
      <c r="O32" s="2">
        <v>590.59112257271</v>
      </c>
    </row>
    <row r="33" spans="1:15">
      <c r="A33" s="2">
        <v>5.6066849390983</v>
      </c>
      <c r="B33" s="2">
        <v>0.015023774172892</v>
      </c>
      <c r="C33" s="2">
        <v>90.291219500788</v>
      </c>
      <c r="D33" s="2">
        <v>0.016959443500191</v>
      </c>
      <c r="E33" s="2">
        <v>6.7181261568552</v>
      </c>
      <c r="F33" s="2">
        <v>0.90718625589885</v>
      </c>
      <c r="G33" s="2">
        <v>29296659.392491</v>
      </c>
      <c r="H33" s="2">
        <v>6289962.789882</v>
      </c>
      <c r="I33" s="2">
        <v>-0.008258785791574</v>
      </c>
      <c r="J33" s="2">
        <v>-0.0072730060345176</v>
      </c>
      <c r="K33" s="2">
        <v>0.016677847582373</v>
      </c>
      <c r="L33" s="2">
        <v>-0.19790707447859</v>
      </c>
      <c r="M33" s="2">
        <v>-0.19875320842876</v>
      </c>
      <c r="N33" s="2">
        <v>528.63405250436</v>
      </c>
      <c r="O33" s="2">
        <v>592.5452413744</v>
      </c>
    </row>
    <row r="34" spans="1:15">
      <c r="A34" s="2">
        <v>5.8066849390983</v>
      </c>
      <c r="B34" s="2">
        <v>0.015628834031566</v>
      </c>
      <c r="C34" s="2">
        <v>90.290119860893</v>
      </c>
      <c r="D34" s="2">
        <v>0.017572513269118</v>
      </c>
      <c r="E34" s="2">
        <v>6.7226846216162</v>
      </c>
      <c r="F34" s="2">
        <v>0.90380151835452</v>
      </c>
      <c r="G34" s="2">
        <v>29909339.420928</v>
      </c>
      <c r="H34" s="2">
        <v>6394749.2969079</v>
      </c>
      <c r="I34" s="2">
        <v>-0.0085709924744969</v>
      </c>
      <c r="J34" s="2">
        <v>-0.0075473083910054</v>
      </c>
      <c r="K34" s="2">
        <v>0.017267592191118</v>
      </c>
      <c r="L34" s="2">
        <v>-0.20498235109657</v>
      </c>
      <c r="M34" s="2">
        <v>-0.2057637149935</v>
      </c>
      <c r="N34" s="2">
        <v>530.20857106255</v>
      </c>
      <c r="O34" s="2">
        <v>594.47876287679</v>
      </c>
    </row>
    <row r="35" spans="1:15">
      <c r="A35" s="2">
        <v>6.0066849390983</v>
      </c>
      <c r="B35" s="2">
        <v>0.016233872617717</v>
      </c>
      <c r="C35" s="2">
        <v>90.289018580051</v>
      </c>
      <c r="D35" s="2">
        <v>0.018185501809289</v>
      </c>
      <c r="E35" s="2">
        <v>6.7272575725001</v>
      </c>
      <c r="F35" s="2">
        <v>0.90043062126307</v>
      </c>
      <c r="G35" s="2">
        <v>30526015.327517</v>
      </c>
      <c r="H35" s="2">
        <v>6500164.0320632</v>
      </c>
      <c r="I35" s="2">
        <v>-0.0088830331046065</v>
      </c>
      <c r="J35" s="2">
        <v>-0.0078214517986075</v>
      </c>
      <c r="K35" s="2">
        <v>0.017856984023635</v>
      </c>
      <c r="L35" s="2">
        <v>-0.21208848323048</v>
      </c>
      <c r="M35" s="2">
        <v>-0.21276420341753</v>
      </c>
      <c r="N35" s="2">
        <v>531.76996199964</v>
      </c>
      <c r="O35" s="2">
        <v>596.39270547594</v>
      </c>
    </row>
    <row r="36" spans="1:15">
      <c r="A36" s="2">
        <v>6.2066849390983</v>
      </c>
      <c r="B36" s="2">
        <v>0.016838881602148</v>
      </c>
      <c r="C36" s="2">
        <v>90.28791788701</v>
      </c>
      <c r="D36" s="2">
        <v>0.0187984131074</v>
      </c>
      <c r="E36" s="2">
        <v>6.7318441151732</v>
      </c>
      <c r="F36" s="2">
        <v>0.89707202763138</v>
      </c>
      <c r="G36" s="2">
        <v>31146621.907618</v>
      </c>
      <c r="H36" s="2">
        <v>6606195.6909222</v>
      </c>
      <c r="I36" s="2">
        <v>-0.0091949048079887</v>
      </c>
      <c r="J36" s="2">
        <v>-0.0080954361272147</v>
      </c>
      <c r="K36" s="2">
        <v>0.01844602345017</v>
      </c>
      <c r="L36" s="2">
        <v>-0.21917811670716</v>
      </c>
      <c r="M36" s="2">
        <v>-0.2197593341691</v>
      </c>
      <c r="N36" s="2">
        <v>533.3198755283</v>
      </c>
      <c r="O36" s="2">
        <v>598.28901501807</v>
      </c>
    </row>
    <row r="37" spans="1:15">
      <c r="A37" s="2">
        <v>6.4066849390983</v>
      </c>
      <c r="B37" s="2">
        <v>0.017443871294431</v>
      </c>
      <c r="C37" s="2">
        <v>90.286815495445</v>
      </c>
      <c r="D37" s="2">
        <v>0.019411253983872</v>
      </c>
      <c r="E37" s="2">
        <v>6.7364441620621</v>
      </c>
      <c r="F37" s="2">
        <v>0.89372447025637</v>
      </c>
      <c r="G37" s="2">
        <v>31771111.072005</v>
      </c>
      <c r="H37" s="2">
        <v>6712835.9216889</v>
      </c>
      <c r="I37" s="2">
        <v>-0.0095066068904136</v>
      </c>
      <c r="J37" s="2">
        <v>-0.0083692653325942</v>
      </c>
      <c r="K37" s="2">
        <v>0.019034710850588</v>
      </c>
      <c r="L37" s="2">
        <v>-0.22627591152251</v>
      </c>
      <c r="M37" s="2">
        <v>-0.22674424805575</v>
      </c>
      <c r="N37" s="2">
        <v>534.85700950137</v>
      </c>
      <c r="O37" s="2">
        <v>600.16686585897</v>
      </c>
    </row>
    <row r="38" spans="1:15">
      <c r="A38" s="2">
        <v>6.6066849390983</v>
      </c>
      <c r="B38" s="2">
        <v>0.018048832382842</v>
      </c>
      <c r="C38" s="2">
        <v>90.285712369767</v>
      </c>
      <c r="D38" s="2">
        <v>0.020024026362223</v>
      </c>
      <c r="E38" s="2">
        <v>6.7410575690413</v>
      </c>
      <c r="F38" s="2">
        <v>0.89038698095346</v>
      </c>
      <c r="G38" s="2">
        <v>32399420.661822</v>
      </c>
      <c r="H38" s="2">
        <v>6820073.985643</v>
      </c>
      <c r="I38" s="2">
        <v>-0.0098181324872651</v>
      </c>
      <c r="J38" s="2">
        <v>-0.0086429428082228</v>
      </c>
      <c r="K38" s="2">
        <v>0.019623046605647</v>
      </c>
      <c r="L38" s="2">
        <v>-0.23336900664449</v>
      </c>
      <c r="M38" s="2">
        <v>-0.23372212731811</v>
      </c>
      <c r="N38" s="2">
        <v>536.38324395879</v>
      </c>
      <c r="O38" s="2">
        <v>602.02868162935</v>
      </c>
    </row>
    <row r="39" spans="1:15">
      <c r="A39" s="2">
        <v>6.8066849390983</v>
      </c>
      <c r="B39" s="2">
        <v>0.018653771902251</v>
      </c>
      <c r="C39" s="2">
        <v>90.284609689127</v>
      </c>
      <c r="D39" s="2">
        <v>0.020636735064251</v>
      </c>
      <c r="E39" s="2">
        <v>6.7456836836756</v>
      </c>
      <c r="F39" s="2">
        <v>0.88705907307278</v>
      </c>
      <c r="G39" s="2">
        <v>33031503.47678</v>
      </c>
      <c r="H39" s="2">
        <v>6927901.7186428</v>
      </c>
      <c r="I39" s="2">
        <v>-0.01012947967808</v>
      </c>
      <c r="J39" s="2">
        <v>-0.0089164719907653</v>
      </c>
      <c r="K39" s="2">
        <v>0.020211031125039</v>
      </c>
      <c r="L39" s="2">
        <v>-0.24047458570518</v>
      </c>
      <c r="M39" s="2">
        <v>-0.24070995853881</v>
      </c>
      <c r="N39" s="2">
        <v>537.89808520486</v>
      </c>
      <c r="O39" s="2">
        <v>603.87450089021</v>
      </c>
    </row>
    <row r="40" spans="1:15">
      <c r="A40" s="2">
        <v>7.0066849390983</v>
      </c>
      <c r="B40" s="2">
        <v>0.01925867857716</v>
      </c>
      <c r="C40" s="2">
        <v>90.283507651858</v>
      </c>
      <c r="D40" s="2">
        <v>0.021249381246531</v>
      </c>
      <c r="E40" s="2">
        <v>6.7503224655518</v>
      </c>
      <c r="F40" s="2">
        <v>0.88373995135024</v>
      </c>
      <c r="G40" s="2">
        <v>33667302.014829</v>
      </c>
      <c r="H40" s="2">
        <v>7036309.2050843</v>
      </c>
      <c r="I40" s="2">
        <v>-0.010440642368208</v>
      </c>
      <c r="J40" s="2">
        <v>-0.0091898564195902</v>
      </c>
      <c r="K40" s="2">
        <v>0.020798664802066</v>
      </c>
      <c r="L40" s="2">
        <v>-0.247583968974</v>
      </c>
      <c r="M40" s="2">
        <v>-0.24770631403215</v>
      </c>
      <c r="N40" s="2">
        <v>539.40303379175</v>
      </c>
      <c r="O40" s="2">
        <v>605.70612246804</v>
      </c>
    </row>
    <row r="41" spans="1:15">
      <c r="A41" s="2">
        <v>7.2066849390983</v>
      </c>
      <c r="B41" s="2">
        <v>0.019863551871588</v>
      </c>
      <c r="C41" s="2">
        <v>90.282407114038</v>
      </c>
      <c r="D41" s="2">
        <v>0.021861966102889</v>
      </c>
      <c r="E41" s="2">
        <v>6.7549741318089</v>
      </c>
      <c r="F41" s="2">
        <v>0.88042995093892</v>
      </c>
      <c r="G41" s="2">
        <v>34306767.141975</v>
      </c>
      <c r="H41" s="2">
        <v>7145287.9895009</v>
      </c>
      <c r="I41" s="2">
        <v>-0.010751613365377</v>
      </c>
      <c r="J41" s="2">
        <v>-0.0094631019942841</v>
      </c>
      <c r="K41" s="2">
        <v>0.021385948063093</v>
      </c>
      <c r="L41" s="2">
        <v>-0.25467418362196</v>
      </c>
      <c r="M41" s="2">
        <v>-0.25468757756133</v>
      </c>
      <c r="N41" s="2">
        <v>540.89878975062</v>
      </c>
      <c r="O41" s="2">
        <v>607.52443750928</v>
      </c>
    </row>
    <row r="42" spans="1:15">
      <c r="A42" s="2">
        <v>7.4066849390983</v>
      </c>
      <c r="B42" s="2">
        <v>0.020468391079971</v>
      </c>
      <c r="C42" s="2">
        <v>90.28130797011</v>
      </c>
      <c r="D42" s="2">
        <v>0.022474489276962</v>
      </c>
      <c r="E42" s="2">
        <v>6.7596397888792</v>
      </c>
      <c r="F42" s="2">
        <v>0.87712890893968</v>
      </c>
      <c r="G42" s="2">
        <v>34949857.227897</v>
      </c>
      <c r="H42" s="2">
        <v>7254830.9185291</v>
      </c>
      <c r="I42" s="2">
        <v>-0.011062385977343</v>
      </c>
      <c r="J42" s="2">
        <v>-0.0097362173577709</v>
      </c>
      <c r="K42" s="2">
        <v>0.021972881318831</v>
      </c>
      <c r="L42" s="2">
        <v>-0.26181514993868</v>
      </c>
      <c r="M42" s="2">
        <v>-0.26168490834827</v>
      </c>
      <c r="N42" s="2">
        <v>542.38477558725</v>
      </c>
      <c r="O42" s="2">
        <v>609.32896719085</v>
      </c>
    </row>
    <row r="43" spans="1:15">
      <c r="A43" s="2">
        <v>7.6066849390983</v>
      </c>
      <c r="B43" s="2">
        <v>0.02107318986796</v>
      </c>
      <c r="C43" s="2">
        <v>90.280210264168</v>
      </c>
      <c r="D43" s="2">
        <v>0.023086949511877</v>
      </c>
      <c r="E43" s="2">
        <v>6.7643195552533</v>
      </c>
      <c r="F43" s="2">
        <v>0.87383627743749</v>
      </c>
      <c r="G43" s="2">
        <v>35596531.462569</v>
      </c>
      <c r="H43" s="2">
        <v>7364930.9972721</v>
      </c>
      <c r="I43" s="2">
        <v>-0.011372951607838</v>
      </c>
      <c r="J43" s="2">
        <v>-0.010009211664969</v>
      </c>
      <c r="K43" s="2">
        <v>0.022559464972752</v>
      </c>
      <c r="L43" s="2">
        <v>-0.2689504368502</v>
      </c>
      <c r="M43" s="2">
        <v>-0.26869258287723</v>
      </c>
      <c r="N43" s="2">
        <v>543.86087625734</v>
      </c>
      <c r="O43" s="2">
        <v>611.11962357508</v>
      </c>
    </row>
    <row r="44" spans="1:15">
      <c r="A44" s="2">
        <v>7.8066849390983</v>
      </c>
      <c r="B44" s="2">
        <v>0.021677934989777</v>
      </c>
      <c r="C44" s="2">
        <v>90.279114276992</v>
      </c>
      <c r="D44" s="2">
        <v>0.023699343529253</v>
      </c>
      <c r="E44" s="2">
        <v>6.7690144888127</v>
      </c>
      <c r="F44" s="2">
        <v>0.87055146394233</v>
      </c>
      <c r="G44" s="2">
        <v>36246742.150525</v>
      </c>
      <c r="H44" s="2">
        <v>7475580.068622</v>
      </c>
      <c r="I44" s="2">
        <v>-0.011683298637821</v>
      </c>
      <c r="J44" s="2">
        <v>-0.010282093838383</v>
      </c>
      <c r="K44" s="2">
        <v>0.023145699437467</v>
      </c>
      <c r="L44" s="2">
        <v>-0.27608916683622</v>
      </c>
      <c r="M44" s="2">
        <v>-0.27570697838017</v>
      </c>
      <c r="N44" s="2">
        <v>545.32857223348</v>
      </c>
      <c r="O44" s="2">
        <v>612.89782203865</v>
      </c>
    </row>
    <row r="45" spans="1:15">
      <c r="A45" s="2">
        <v>8.0066849390983</v>
      </c>
      <c r="B45" s="2">
        <v>0.022282621806444</v>
      </c>
      <c r="C45" s="2">
        <v>90.278020092409</v>
      </c>
      <c r="D45" s="2">
        <v>0.024311668814933</v>
      </c>
      <c r="E45" s="2">
        <v>6.7737260868722</v>
      </c>
      <c r="F45" s="2">
        <v>0.86727341558486</v>
      </c>
      <c r="G45" s="2">
        <v>36900454.467996</v>
      </c>
      <c r="H45" s="2">
        <v>7586772.1915101</v>
      </c>
      <c r="I45" s="2">
        <v>-0.011993415005007</v>
      </c>
      <c r="J45" s="2">
        <v>-0.010554877607763</v>
      </c>
      <c r="K45" s="2">
        <v>0.023731585124135</v>
      </c>
      <c r="L45" s="2">
        <v>-0.28318061913403</v>
      </c>
      <c r="M45" s="2">
        <v>-0.28267379900189</v>
      </c>
      <c r="N45" s="2">
        <v>546.78716834757</v>
      </c>
      <c r="O45" s="2">
        <v>614.66270062915</v>
      </c>
    </row>
    <row r="46" spans="1:15">
      <c r="A46" s="2">
        <v>8.2066849390983</v>
      </c>
      <c r="B46" s="2">
        <v>0.022887243480516</v>
      </c>
      <c r="C46" s="2">
        <v>90.276928255969</v>
      </c>
      <c r="D46" s="2">
        <v>0.024923923213868</v>
      </c>
      <c r="E46" s="2">
        <v>6.77845582247</v>
      </c>
      <c r="F46" s="2">
        <v>0.86400168415171</v>
      </c>
      <c r="G46" s="2">
        <v>37557626.420616</v>
      </c>
      <c r="H46" s="2">
        <v>7698500.1969775</v>
      </c>
      <c r="I46" s="2">
        <v>-0.012303290555215</v>
      </c>
      <c r="J46" s="2">
        <v>-0.010827573068034</v>
      </c>
      <c r="K46" s="2">
        <v>0.024317122435189</v>
      </c>
      <c r="L46" s="2">
        <v>-0.29028028697005</v>
      </c>
      <c r="M46" s="2">
        <v>-0.28965080265129</v>
      </c>
      <c r="N46" s="2">
        <v>548.23702214336</v>
      </c>
      <c r="O46" s="2">
        <v>616.41490755609</v>
      </c>
    </row>
    <row r="47" spans="1:15">
      <c r="A47" s="2">
        <v>8.4066849390983</v>
      </c>
      <c r="B47" s="2">
        <v>0.023491802940014</v>
      </c>
      <c r="C47" s="2">
        <v>90.275839361637</v>
      </c>
      <c r="D47" s="2">
        <v>0.025536107522549</v>
      </c>
      <c r="E47" s="2">
        <v>6.7832040905045</v>
      </c>
      <c r="F47" s="2">
        <v>0.86073532280834</v>
      </c>
      <c r="G47" s="2">
        <v>38218217.97339</v>
      </c>
      <c r="H47" s="2">
        <v>7810757.2469668</v>
      </c>
      <c r="I47" s="2">
        <v>-0.012612919837521</v>
      </c>
      <c r="J47" s="2">
        <v>-0.011100185676198</v>
      </c>
      <c r="K47" s="2">
        <v>0.024902311751302</v>
      </c>
      <c r="L47" s="2">
        <v>-0.29738063108153</v>
      </c>
      <c r="M47" s="2">
        <v>-0.29664160651907</v>
      </c>
      <c r="N47" s="2">
        <v>549.67823459378</v>
      </c>
      <c r="O47" s="2">
        <v>618.15479829216</v>
      </c>
    </row>
    <row r="48" spans="1:15">
      <c r="A48" s="2">
        <v>8.6066849390983</v>
      </c>
      <c r="B48" s="2">
        <v>0.024096296832529</v>
      </c>
      <c r="C48" s="2">
        <v>90.274752915009</v>
      </c>
      <c r="D48" s="2">
        <v>0.026148222795251</v>
      </c>
      <c r="E48" s="2">
        <v>6.7879705665306</v>
      </c>
      <c r="F48" s="2">
        <v>0.85747379987638</v>
      </c>
      <c r="G48" s="2">
        <v>38882177.896045</v>
      </c>
      <c r="H48" s="2">
        <v>7923534.5731423</v>
      </c>
      <c r="I48" s="2">
        <v>-0.012922298814008</v>
      </c>
      <c r="J48" s="2">
        <v>-0.011372716814369</v>
      </c>
      <c r="K48" s="2">
        <v>0.02548715345452</v>
      </c>
      <c r="L48" s="2">
        <v>-0.30448194971173</v>
      </c>
      <c r="M48" s="2">
        <v>-0.30362136005816</v>
      </c>
      <c r="N48" s="2">
        <v>551.11223394269</v>
      </c>
      <c r="O48" s="2">
        <v>619.88439409165</v>
      </c>
    </row>
    <row r="49" spans="1:15">
      <c r="A49" s="2">
        <v>8.8066849390982</v>
      </c>
      <c r="B49" s="2">
        <v>0.024700738711897</v>
      </c>
      <c r="C49" s="2">
        <v>90.27366984622</v>
      </c>
      <c r="D49" s="2">
        <v>0.026760273700796</v>
      </c>
      <c r="E49" s="2">
        <v>6.7927545186149</v>
      </c>
      <c r="F49" s="2">
        <v>0.85421670824812</v>
      </c>
      <c r="G49" s="2">
        <v>39549471.893408</v>
      </c>
      <c r="H49" s="2">
        <v>8036826.2932758</v>
      </c>
      <c r="I49" s="2">
        <v>-0.013231431933321</v>
      </c>
      <c r="J49" s="2">
        <v>-0.011645165388453</v>
      </c>
      <c r="K49" s="2">
        <v>0.026071647922424</v>
      </c>
      <c r="L49" s="2">
        <v>-0.31152325056158</v>
      </c>
      <c r="M49" s="2">
        <v>-0.31056063925014</v>
      </c>
      <c r="N49" s="2">
        <v>552.53750295341</v>
      </c>
      <c r="O49" s="2">
        <v>621.60237544584</v>
      </c>
    </row>
    <row r="50" spans="1:15">
      <c r="A50" s="2">
        <v>9.0066849390982</v>
      </c>
      <c r="B50" s="2">
        <v>0.025305125803998</v>
      </c>
      <c r="C50" s="2">
        <v>90.272590415712</v>
      </c>
      <c r="D50" s="2">
        <v>0.027372263333523</v>
      </c>
      <c r="E50" s="2">
        <v>6.797555796505</v>
      </c>
      <c r="F50" s="2">
        <v>0.85096421311718</v>
      </c>
      <c r="G50" s="2">
        <v>40220045.86032</v>
      </c>
      <c r="H50" s="2">
        <v>8150623.1595939</v>
      </c>
      <c r="I50" s="2">
        <v>-0.013540318122364</v>
      </c>
      <c r="J50" s="2">
        <v>-0.011917528944706</v>
      </c>
      <c r="K50" s="2">
        <v>0.026655795534695</v>
      </c>
      <c r="L50" s="2">
        <v>-0.31860528163326</v>
      </c>
      <c r="M50" s="2">
        <v>-0.31754686761582</v>
      </c>
      <c r="N50" s="2">
        <v>553.95608105671</v>
      </c>
      <c r="O50" s="2">
        <v>623.31138908631</v>
      </c>
    </row>
    <row r="51" spans="1:15">
      <c r="A51" s="2">
        <v>9.2066849390982</v>
      </c>
      <c r="B51" s="2">
        <v>0.025909465137524</v>
      </c>
      <c r="C51" s="2">
        <v>90.271513761786</v>
      </c>
      <c r="D51" s="2">
        <v>0.02798419592914</v>
      </c>
      <c r="E51" s="2">
        <v>6.8023728703354</v>
      </c>
      <c r="F51" s="2">
        <v>0.84771665517035</v>
      </c>
      <c r="G51" s="2">
        <v>40893864.314772</v>
      </c>
      <c r="H51" s="2">
        <v>8264919.1097256</v>
      </c>
      <c r="I51" s="2">
        <v>-0.013848964205169</v>
      </c>
      <c r="J51" s="2">
        <v>-0.012189802940991</v>
      </c>
      <c r="K51" s="2">
        <v>0.027239596692731</v>
      </c>
      <c r="L51" s="2">
        <v>-0.32568180792423</v>
      </c>
      <c r="M51" s="2">
        <v>-0.32449691926262</v>
      </c>
      <c r="N51" s="2">
        <v>555.36697515213</v>
      </c>
      <c r="O51" s="2">
        <v>625.01051282197</v>
      </c>
    </row>
    <row r="52" spans="1:15">
      <c r="A52" s="2">
        <v>9.4066849390982</v>
      </c>
      <c r="B52" s="2">
        <v>0.026513757291266</v>
      </c>
      <c r="C52" s="2">
        <v>90.270440344287</v>
      </c>
      <c r="D52" s="2">
        <v>0.028596073577612</v>
      </c>
      <c r="E52" s="2">
        <v>6.8072047954063</v>
      </c>
      <c r="F52" s="2">
        <v>0.84447417683149</v>
      </c>
      <c r="G52" s="2">
        <v>41570881.431847</v>
      </c>
      <c r="H52" s="2">
        <v>8379706.3303876</v>
      </c>
      <c r="I52" s="2">
        <v>-0.014157367869041</v>
      </c>
      <c r="J52" s="2">
        <v>-0.012461987601272</v>
      </c>
      <c r="K52" s="2">
        <v>0.027823051787991</v>
      </c>
      <c r="L52" s="2">
        <v>-0.33274648478949</v>
      </c>
      <c r="M52" s="2">
        <v>-0.331463702268</v>
      </c>
      <c r="N52" s="2">
        <v>556.77136759498</v>
      </c>
      <c r="O52" s="2">
        <v>626.70119082349</v>
      </c>
    </row>
    <row r="53" spans="1:15">
      <c r="A53" s="2">
        <v>9.6066849390982</v>
      </c>
      <c r="B53" s="2">
        <v>0.027118006686218</v>
      </c>
      <c r="C53" s="2">
        <v>90.269369760944</v>
      </c>
      <c r="D53" s="2">
        <v>0.02920789976179</v>
      </c>
      <c r="E53" s="2">
        <v>6.8120509601017</v>
      </c>
      <c r="F53" s="2">
        <v>0.84123660822416</v>
      </c>
      <c r="G53" s="2">
        <v>42251060.103381</v>
      </c>
      <c r="H53" s="2">
        <v>8494978.4785818</v>
      </c>
      <c r="I53" s="2">
        <v>-0.014465531393611</v>
      </c>
      <c r="J53" s="2">
        <v>-0.012734082749563</v>
      </c>
      <c r="K53" s="2">
        <v>0.028406161223717</v>
      </c>
      <c r="L53" s="2">
        <v>-0.33983753700781</v>
      </c>
      <c r="M53" s="2">
        <v>-0.33844750647225</v>
      </c>
      <c r="N53" s="2">
        <v>558.16856544981</v>
      </c>
      <c r="O53" s="2">
        <v>628.38290563457</v>
      </c>
    </row>
    <row r="54" spans="1:15">
      <c r="A54" s="2">
        <v>9.8066849390982</v>
      </c>
      <c r="B54" s="2">
        <v>0.027722217122495</v>
      </c>
      <c r="C54" s="2">
        <v>90.268302722408</v>
      </c>
      <c r="D54" s="2">
        <v>0.029819677981292</v>
      </c>
      <c r="E54" s="2">
        <v>6.8169100032175</v>
      </c>
      <c r="F54" s="2">
        <v>0.83800446882769</v>
      </c>
      <c r="G54" s="2">
        <v>42934362.873594</v>
      </c>
      <c r="H54" s="2">
        <v>8610729.2060183</v>
      </c>
      <c r="I54" s="2">
        <v>-0.014773456683821</v>
      </c>
      <c r="J54" s="2">
        <v>-0.013006085887445</v>
      </c>
      <c r="K54" s="2">
        <v>0.02898892542274</v>
      </c>
      <c r="L54" s="2">
        <v>-0.34692730719667</v>
      </c>
      <c r="M54" s="2">
        <v>-0.34542688628474</v>
      </c>
      <c r="N54" s="2">
        <v>559.55892073073</v>
      </c>
      <c r="O54" s="2">
        <v>630.05611781027</v>
      </c>
    </row>
    <row r="55" spans="1:15">
      <c r="A55" s="2">
        <v>10.006684939098</v>
      </c>
      <c r="B55" s="2">
        <v>0.028326393057927</v>
      </c>
      <c r="C55" s="2">
        <v>90.267238774687</v>
      </c>
      <c r="D55" s="2">
        <v>0.030431411567063</v>
      </c>
      <c r="E55" s="2">
        <v>6.8217819365435</v>
      </c>
      <c r="F55" s="2">
        <v>0.83477821061386</v>
      </c>
      <c r="G55" s="2">
        <v>43620754.238964</v>
      </c>
      <c r="H55" s="2">
        <v>8726952.477574</v>
      </c>
      <c r="I55" s="2">
        <v>-0.015081145691473</v>
      </c>
      <c r="J55" s="2">
        <v>-0.013277996601316</v>
      </c>
      <c r="K55" s="2">
        <v>0.029571344778357</v>
      </c>
      <c r="L55" s="2">
        <v>-0.3540024835123</v>
      </c>
      <c r="M55" s="2">
        <v>-0.35239547949433</v>
      </c>
      <c r="N55" s="2">
        <v>560.94190571681</v>
      </c>
      <c r="O55" s="2">
        <v>631.72025509225</v>
      </c>
    </row>
    <row r="56" spans="1:15">
      <c r="A56" s="2">
        <v>10.206684939098</v>
      </c>
      <c r="B56" s="2">
        <v>0.028930531622122</v>
      </c>
      <c r="C56" s="2">
        <v>90.266178427412</v>
      </c>
      <c r="D56" s="2">
        <v>0.031043102355125</v>
      </c>
      <c r="E56" s="2">
        <v>6.1235409996514</v>
      </c>
      <c r="F56" s="2">
        <v>0.83155780152759</v>
      </c>
      <c r="G56" s="2">
        <v>44310189.573538</v>
      </c>
      <c r="H56" s="2">
        <v>8843640.7190834</v>
      </c>
      <c r="I56" s="2">
        <v>-0.015388597395875</v>
      </c>
      <c r="J56" s="2">
        <v>-0.013549813271417</v>
      </c>
      <c r="K56" s="2">
        <v>0.030153419699572</v>
      </c>
      <c r="L56" s="2">
        <v>-0.3610923287743</v>
      </c>
      <c r="M56" s="2">
        <v>-0.3593715983523</v>
      </c>
      <c r="N56" s="2">
        <v>562.31899927176</v>
      </c>
      <c r="O56" s="2">
        <v>633.37695973148</v>
      </c>
    </row>
    <row r="57" spans="1:15">
      <c r="A57" s="2">
        <v>10.406684939098</v>
      </c>
      <c r="B57" s="2">
        <v>0.029534639206719</v>
      </c>
      <c r="C57" s="2">
        <v>90.265121546827</v>
      </c>
      <c r="D57" s="2">
        <v>0.031654753479261</v>
      </c>
      <c r="E57" s="2">
        <v>6.1284362178158</v>
      </c>
      <c r="F57" s="2">
        <v>0.82834328272438</v>
      </c>
      <c r="G57" s="2">
        <v>45002636.503248</v>
      </c>
      <c r="H57" s="2">
        <v>8960788.4217741</v>
      </c>
      <c r="I57" s="2">
        <v>-0.01569581476358</v>
      </c>
      <c r="J57" s="2">
        <v>-0.01382153545287</v>
      </c>
      <c r="K57" s="2">
        <v>0.030735150595323</v>
      </c>
      <c r="L57" s="2">
        <v>-0.36817039886182</v>
      </c>
      <c r="M57" s="2">
        <v>-0.36633935555033</v>
      </c>
      <c r="N57" s="2">
        <v>563.68918836769</v>
      </c>
      <c r="O57" s="2">
        <v>635.02524773682</v>
      </c>
    </row>
    <row r="58" spans="1:15">
      <c r="A58" s="2">
        <v>10.606684939098</v>
      </c>
      <c r="B58" s="2">
        <v>0.030138716002617</v>
      </c>
      <c r="C58" s="2">
        <v>90.264068024172</v>
      </c>
      <c r="D58" s="2">
        <v>0.032266367310302</v>
      </c>
      <c r="E58" s="2">
        <v>6.133342451079</v>
      </c>
      <c r="F58" s="2">
        <v>0.82513477104773</v>
      </c>
      <c r="G58" s="2">
        <v>45698054.058655</v>
      </c>
      <c r="H58" s="2">
        <v>9078388.649831</v>
      </c>
      <c r="I58" s="2">
        <v>-0.016002796865375</v>
      </c>
      <c r="J58" s="2">
        <v>-0.014093162444969</v>
      </c>
      <c r="K58" s="2">
        <v>0.031316537869613</v>
      </c>
      <c r="L58" s="2">
        <v>-0.37524687542662</v>
      </c>
      <c r="M58" s="2">
        <v>-0.37331215513959</v>
      </c>
      <c r="N58" s="2">
        <v>565.05343433811</v>
      </c>
      <c r="O58" s="2">
        <v>636.66620328331</v>
      </c>
    </row>
    <row r="59" spans="1:15">
      <c r="A59" s="2">
        <v>10.806684939098</v>
      </c>
      <c r="B59" s="2">
        <v>0.030742766139192</v>
      </c>
      <c r="C59" s="2">
        <v>90.263017504841</v>
      </c>
      <c r="D59" s="2">
        <v>0.032877947136492</v>
      </c>
      <c r="E59" s="2">
        <v>6.1382589378831</v>
      </c>
      <c r="F59" s="2">
        <v>0.82193289435346</v>
      </c>
      <c r="G59" s="2">
        <v>46396408.230255</v>
      </c>
      <c r="H59" s="2">
        <v>9196435.6633197</v>
      </c>
      <c r="I59" s="2">
        <v>-0.016309544394632</v>
      </c>
      <c r="J59" s="2">
        <v>-0.014364694623005</v>
      </c>
      <c r="K59" s="2">
        <v>0.031897581906014</v>
      </c>
      <c r="L59" s="2">
        <v>-0.38235929956182</v>
      </c>
      <c r="M59" s="2">
        <v>-0.38031736382671</v>
      </c>
      <c r="N59" s="2">
        <v>566.41146792597</v>
      </c>
      <c r="O59" s="2">
        <v>638.29970616951</v>
      </c>
    </row>
    <row r="60" spans="1:15">
      <c r="A60" s="2">
        <v>11.006684939098</v>
      </c>
      <c r="B60" s="2">
        <v>0.031346793452527</v>
      </c>
      <c r="C60" s="2">
        <v>90.261970258606</v>
      </c>
      <c r="D60" s="2">
        <v>0.03348949564397</v>
      </c>
      <c r="E60" s="2">
        <v>5.4400601634903</v>
      </c>
      <c r="F60" s="2">
        <v>0.81873781720617</v>
      </c>
      <c r="G60" s="2">
        <v>47097665.590018</v>
      </c>
      <c r="H60" s="2">
        <v>9314923.7993535</v>
      </c>
      <c r="I60" s="2">
        <v>-0.016616060002548</v>
      </c>
      <c r="J60" s="2">
        <v>-0.01463613030033</v>
      </c>
      <c r="K60" s="2">
        <v>0.032478283109879</v>
      </c>
      <c r="L60" s="2">
        <v>-0.38945944868641</v>
      </c>
      <c r="M60" s="2">
        <v>-0.38730816111738</v>
      </c>
      <c r="N60" s="2">
        <v>567.76295012257</v>
      </c>
      <c r="O60" s="2">
        <v>639.92532559026</v>
      </c>
    </row>
    <row r="61" spans="1:15">
      <c r="A61" s="2">
        <v>11.206684939098</v>
      </c>
      <c r="B61" s="2">
        <v>0.031950798136084</v>
      </c>
      <c r="C61" s="2">
        <v>90.260926164217</v>
      </c>
      <c r="D61" s="2">
        <v>0.034101015786368</v>
      </c>
      <c r="E61" s="2">
        <v>5.4449958095027</v>
      </c>
      <c r="F61" s="2">
        <v>0.81554962109471</v>
      </c>
      <c r="G61" s="2">
        <v>47801788.615721</v>
      </c>
      <c r="H61" s="2">
        <v>9433846.7262309</v>
      </c>
      <c r="I61" s="2">
        <v>-0.016922346362756</v>
      </c>
      <c r="J61" s="2">
        <v>-0.014907466338881</v>
      </c>
      <c r="K61" s="2">
        <v>0.03305864188284</v>
      </c>
      <c r="L61" s="2">
        <v>-0.39659102548812</v>
      </c>
      <c r="M61" s="2">
        <v>-0.39431983545425</v>
      </c>
      <c r="N61" s="2">
        <v>569.1083831007</v>
      </c>
      <c r="O61" s="2">
        <v>641.54363101029</v>
      </c>
    </row>
    <row r="62" spans="1:15">
      <c r="A62" s="2">
        <v>11.406684939098</v>
      </c>
      <c r="B62" s="2">
        <v>0.032554782634717</v>
      </c>
      <c r="C62" s="2">
        <v>90.259885290419</v>
      </c>
      <c r="D62" s="2">
        <v>0.034712509755856</v>
      </c>
      <c r="E62" s="2">
        <v>5.4499402008712</v>
      </c>
      <c r="F62" s="2">
        <v>0.81236850772964</v>
      </c>
      <c r="G62" s="2">
        <v>48508741.43968</v>
      </c>
      <c r="H62" s="2">
        <v>9553198.391744</v>
      </c>
      <c r="I62" s="2">
        <v>-0.017228402539528</v>
      </c>
      <c r="J62" s="2">
        <v>-0.015178703235645</v>
      </c>
      <c r="K62" s="2">
        <v>0.033638658605139</v>
      </c>
      <c r="L62" s="2">
        <v>-0.40368144655924</v>
      </c>
      <c r="M62" s="2">
        <v>-0.40130178317722</v>
      </c>
      <c r="N62" s="2">
        <v>570.44801383216</v>
      </c>
      <c r="O62" s="2">
        <v>643.15489143774</v>
      </c>
    </row>
    <row r="63" spans="1:15">
      <c r="A63" s="2">
        <v>11.606684939098</v>
      </c>
      <c r="B63" s="2">
        <v>0.03315874860654</v>
      </c>
      <c r="C63" s="2">
        <v>90.258847317642</v>
      </c>
      <c r="D63" s="2">
        <v>0.035323979662468</v>
      </c>
      <c r="E63" s="2">
        <v>5.4548928774238</v>
      </c>
      <c r="F63" s="2">
        <v>0.80919462696693</v>
      </c>
      <c r="G63" s="2">
        <v>49218489.372383</v>
      </c>
      <c r="H63" s="2">
        <v>9672972.9586438</v>
      </c>
      <c r="I63" s="2">
        <v>-0.017534229900358</v>
      </c>
      <c r="J63" s="2">
        <v>-0.015449839873284</v>
      </c>
      <c r="K63" s="2">
        <v>0.034218333671895</v>
      </c>
      <c r="L63" s="2">
        <v>-0.41080771420526</v>
      </c>
      <c r="M63" s="2">
        <v>-0.40831913773191</v>
      </c>
      <c r="N63" s="2">
        <v>571.78206504096</v>
      </c>
      <c r="O63" s="2">
        <v>644.75948586457</v>
      </c>
    </row>
    <row r="64" spans="1:15">
      <c r="A64" s="2">
        <v>11.806684939098</v>
      </c>
      <c r="B64" s="2">
        <v>0.03376270012403</v>
      </c>
      <c r="C64" s="2">
        <v>90.257812471229</v>
      </c>
      <c r="D64" s="2">
        <v>0.035935428127087</v>
      </c>
      <c r="E64" s="2">
        <v>5.4598532305524</v>
      </c>
      <c r="F64" s="2">
        <v>0.80602837541352</v>
      </c>
      <c r="G64" s="2">
        <v>49931003.282994</v>
      </c>
      <c r="H64" s="2">
        <v>9793165.5387296</v>
      </c>
      <c r="I64" s="2">
        <v>-0.017839832955236</v>
      </c>
      <c r="J64" s="2">
        <v>-0.015720872903252</v>
      </c>
      <c r="K64" s="2">
        <v>0.034797667487016</v>
      </c>
      <c r="L64" s="2">
        <v>-0.41791858873543</v>
      </c>
      <c r="M64" s="2">
        <v>-0.41531533328148</v>
      </c>
      <c r="N64" s="2">
        <v>573.11005765556</v>
      </c>
      <c r="O64" s="2">
        <v>646.35682884373</v>
      </c>
    </row>
    <row r="65" spans="1:15">
      <c r="A65" s="2">
        <v>12.006684939098</v>
      </c>
      <c r="B65" s="2">
        <v>0.034366627916094</v>
      </c>
      <c r="C65" s="2">
        <v>90.256780199684</v>
      </c>
      <c r="D65" s="2">
        <v>0.036546855611917</v>
      </c>
      <c r="E65" s="2">
        <v>5.4648205890313</v>
      </c>
      <c r="F65" s="2">
        <v>0.80286937085484</v>
      </c>
      <c r="G65" s="2">
        <v>50646234.697967</v>
      </c>
      <c r="H65" s="2">
        <v>9913767.977733</v>
      </c>
      <c r="I65" s="2">
        <v>-0.018145210408201</v>
      </c>
      <c r="J65" s="2">
        <v>-0.015991799102488</v>
      </c>
      <c r="K65" s="2">
        <v>0.035376660453683</v>
      </c>
      <c r="L65" s="2">
        <v>-0.4250713864475</v>
      </c>
      <c r="M65" s="2">
        <v>-0.42235922747547</v>
      </c>
      <c r="N65" s="2">
        <v>574.43446789451</v>
      </c>
      <c r="O65" s="2">
        <v>647.94958898193</v>
      </c>
    </row>
    <row r="66" spans="1:15">
      <c r="A66" s="2">
        <v>12.206684939098</v>
      </c>
      <c r="B66" s="2">
        <v>0.034970550825237</v>
      </c>
      <c r="C66" s="2">
        <v>90.255751066945</v>
      </c>
      <c r="D66" s="2">
        <v>0.037158266536719</v>
      </c>
      <c r="E66" s="2">
        <v>5.4697945062037</v>
      </c>
      <c r="F66" s="2">
        <v>0.79971839831463</v>
      </c>
      <c r="G66" s="2">
        <v>51364175.215148</v>
      </c>
      <c r="H66" s="2">
        <v>10034778.903216</v>
      </c>
      <c r="I66" s="2">
        <v>-0.018450368952804</v>
      </c>
      <c r="J66" s="2">
        <v>-0.016262619453106</v>
      </c>
      <c r="K66" s="2">
        <v>0.035955312945221</v>
      </c>
      <c r="L66" s="2">
        <v>-0.43221985873137</v>
      </c>
      <c r="M66" s="2">
        <v>-0.42939021475158</v>
      </c>
      <c r="N66" s="2">
        <v>575.75171852247</v>
      </c>
      <c r="O66" s="2">
        <v>649.5340390071</v>
      </c>
    </row>
    <row r="67" spans="1:15">
      <c r="A67" s="2">
        <v>12.406684939098</v>
      </c>
      <c r="B67" s="2">
        <v>0.035574461824019</v>
      </c>
      <c r="C67" s="2">
        <v>90.254725242617</v>
      </c>
      <c r="D67" s="2">
        <v>0.037769661499601</v>
      </c>
      <c r="E67" s="2">
        <v>5.4747742844539</v>
      </c>
      <c r="F67" s="2">
        <v>0.79657546697138</v>
      </c>
      <c r="G67" s="2">
        <v>52084781.274836</v>
      </c>
      <c r="H67" s="2">
        <v>10156191.019227</v>
      </c>
      <c r="I67" s="2">
        <v>-0.018755308453004</v>
      </c>
      <c r="J67" s="2">
        <v>-0.016533329617949</v>
      </c>
      <c r="K67" s="2">
        <v>0.036533625360528</v>
      </c>
      <c r="L67" s="2">
        <v>-0.43937889655297</v>
      </c>
      <c r="M67" s="2">
        <v>-0.43643688630649</v>
      </c>
      <c r="N67" s="2">
        <v>577.06411690541</v>
      </c>
      <c r="O67" s="2">
        <v>651.1125176362</v>
      </c>
    </row>
    <row r="68" spans="1:15">
      <c r="A68" s="2">
        <v>12.606684939098</v>
      </c>
      <c r="B68" s="2">
        <v>0.036178364161373</v>
      </c>
      <c r="C68" s="2">
        <v>90.25370221417</v>
      </c>
      <c r="D68" s="2">
        <v>0.038381043025862</v>
      </c>
      <c r="E68" s="2">
        <v>5.4797602616661</v>
      </c>
      <c r="F68" s="2">
        <v>0.79344062723884</v>
      </c>
      <c r="G68" s="2">
        <v>52808022.364279</v>
      </c>
      <c r="H68" s="2">
        <v>10277999.19667</v>
      </c>
      <c r="I68" s="2">
        <v>-0.019060031399568</v>
      </c>
      <c r="J68" s="2">
        <v>-0.016803928838492</v>
      </c>
      <c r="K68" s="2">
        <v>0.037111598090231</v>
      </c>
      <c r="L68" s="2">
        <v>-0.44654947796062</v>
      </c>
      <c r="M68" s="2">
        <v>-0.44350809874893</v>
      </c>
      <c r="N68" s="2">
        <v>578.37107442517</v>
      </c>
      <c r="O68" s="2">
        <v>652.68437998678</v>
      </c>
    </row>
    <row r="69" spans="1:15">
      <c r="A69" s="2">
        <v>12.806684939098</v>
      </c>
      <c r="B69" s="2">
        <v>0.036782259929703</v>
      </c>
      <c r="C69" s="2">
        <v>90.252681824209</v>
      </c>
      <c r="D69" s="2">
        <v>0.038992413220303</v>
      </c>
      <c r="E69" s="2">
        <v>5.4847514592872</v>
      </c>
      <c r="F69" s="2">
        <v>0.79031407372336</v>
      </c>
      <c r="G69" s="2">
        <v>53533867.613574</v>
      </c>
      <c r="H69" s="2">
        <v>10400198.284464</v>
      </c>
      <c r="I69" s="2">
        <v>-0.019364539979438</v>
      </c>
      <c r="J69" s="2">
        <v>-0.017074414728549</v>
      </c>
      <c r="K69" s="2">
        <v>0.037689231533347</v>
      </c>
      <c r="L69" s="2">
        <v>-0.45371652631798</v>
      </c>
      <c r="M69" s="2">
        <v>-0.45055007617158</v>
      </c>
      <c r="N69" s="2">
        <v>579.67279385482</v>
      </c>
      <c r="O69" s="2">
        <v>654.24997618131</v>
      </c>
    </row>
    <row r="70" spans="1:15">
      <c r="A70" s="2">
        <v>13.006684939098</v>
      </c>
      <c r="B70" s="2">
        <v>0.037386150465239</v>
      </c>
      <c r="C70" s="2">
        <v>90.251663638016</v>
      </c>
      <c r="D70" s="2">
        <v>0.039603773825172</v>
      </c>
      <c r="E70" s="2">
        <v>5.4897479170599</v>
      </c>
      <c r="F70" s="2">
        <v>0.7871958662674</v>
      </c>
      <c r="G70" s="2">
        <v>54262287.236123</v>
      </c>
      <c r="H70" s="2">
        <v>10522783.323538</v>
      </c>
      <c r="I70" s="2">
        <v>-0.019668837622423</v>
      </c>
      <c r="J70" s="2">
        <v>-0.017344784135319</v>
      </c>
      <c r="K70" s="2">
        <v>0.038266526075104</v>
      </c>
      <c r="L70" s="2">
        <v>-0.46091482554956</v>
      </c>
      <c r="M70" s="2">
        <v>-0.45762101236151</v>
      </c>
      <c r="N70" s="2">
        <v>580.96940811866</v>
      </c>
      <c r="O70" s="2">
        <v>655.80939420275</v>
      </c>
    </row>
    <row r="71" spans="1:15">
      <c r="A71" s="2">
        <v>13.206684939098</v>
      </c>
      <c r="B71" s="2">
        <v>0.037990033721878</v>
      </c>
      <c r="C71" s="2">
        <v>90.250648165108</v>
      </c>
      <c r="D71" s="2">
        <v>0.040215125820343</v>
      </c>
      <c r="E71" s="2">
        <v>4.7916237060918</v>
      </c>
      <c r="F71" s="2">
        <v>0.7840858366831</v>
      </c>
      <c r="G71" s="2">
        <v>54993245.251237</v>
      </c>
      <c r="H71" s="2">
        <v>10645748.283501</v>
      </c>
      <c r="I71" s="2">
        <v>-0.019972923679918</v>
      </c>
      <c r="J71" s="2">
        <v>-0.017615036554601</v>
      </c>
      <c r="K71" s="2">
        <v>0.03884348210996</v>
      </c>
      <c r="L71" s="2">
        <v>-0.46809051158365</v>
      </c>
      <c r="M71" s="2">
        <v>-0.46469010012715</v>
      </c>
      <c r="N71" s="2">
        <v>582.26159802463</v>
      </c>
      <c r="O71" s="2">
        <v>657.36344437294</v>
      </c>
    </row>
    <row r="72" spans="1:15">
      <c r="A72" s="2">
        <v>13.406684939098</v>
      </c>
      <c r="B72" s="2">
        <v>0.03859391971566</v>
      </c>
      <c r="C72" s="2">
        <v>90.249634774406</v>
      </c>
      <c r="D72" s="2">
        <v>0.040826472908215</v>
      </c>
      <c r="E72" s="2">
        <v>4.0935029548345</v>
      </c>
      <c r="F72" s="2">
        <v>0.78098437518013</v>
      </c>
      <c r="G72" s="2">
        <v>55726723.248782</v>
      </c>
      <c r="H72" s="2">
        <v>10769090.136689</v>
      </c>
      <c r="I72" s="2">
        <v>-0.02027680201747</v>
      </c>
      <c r="J72" s="2">
        <v>-0.017885171859666</v>
      </c>
      <c r="K72" s="2">
        <v>0.039420100049234</v>
      </c>
      <c r="L72" s="2">
        <v>-0.47530913361739</v>
      </c>
      <c r="M72" s="2">
        <v>-0.47178413922064</v>
      </c>
      <c r="N72" s="2">
        <v>583.54784250657</v>
      </c>
      <c r="O72" s="2">
        <v>658.9105159915</v>
      </c>
    </row>
    <row r="73" spans="1:15">
      <c r="A73" s="2">
        <v>13.606684939098</v>
      </c>
      <c r="B73" s="2">
        <v>0.039197810630695</v>
      </c>
      <c r="C73" s="2">
        <v>90.248623912617</v>
      </c>
      <c r="D73" s="2">
        <v>0.041437816863737</v>
      </c>
      <c r="E73" s="2">
        <v>4.0985107697087</v>
      </c>
      <c r="F73" s="2">
        <v>0.77789147443008</v>
      </c>
      <c r="G73" s="2">
        <v>56462690.898139</v>
      </c>
      <c r="H73" s="2">
        <v>10892803.810842</v>
      </c>
      <c r="I73" s="2">
        <v>-0.02058047572275</v>
      </c>
      <c r="J73" s="2">
        <v>-0.01815518776918</v>
      </c>
      <c r="K73" s="2">
        <v>0.039996380274963</v>
      </c>
      <c r="L73" s="2">
        <v>-0.48253422034257</v>
      </c>
      <c r="M73" s="2">
        <v>-0.47888787399025</v>
      </c>
      <c r="N73" s="2">
        <v>584.82791621682</v>
      </c>
      <c r="O73" s="2">
        <v>660.45043371107</v>
      </c>
    </row>
    <row r="74" spans="1:15">
      <c r="A74" s="2">
        <v>13.806684939098</v>
      </c>
      <c r="B74" s="2">
        <v>0.039801697472068</v>
      </c>
      <c r="C74" s="2">
        <v>90.247614500014</v>
      </c>
      <c r="D74" s="2">
        <v>0.04204915781415</v>
      </c>
      <c r="E74" s="2">
        <v>4.1035216435991</v>
      </c>
      <c r="F74" s="2">
        <v>0.7748070164422</v>
      </c>
      <c r="G74" s="2">
        <v>57201106.129274</v>
      </c>
      <c r="H74" s="2">
        <v>11016882.280875</v>
      </c>
      <c r="I74" s="2">
        <v>-0.020883942823221</v>
      </c>
      <c r="J74" s="2">
        <v>-0.018425081942709</v>
      </c>
      <c r="K74" s="2">
        <v>0.040572323178926</v>
      </c>
      <c r="L74" s="2">
        <v>-0.48976706248231</v>
      </c>
      <c r="M74" s="2">
        <v>-0.48600287579086</v>
      </c>
      <c r="N74" s="2">
        <v>586.10405286938</v>
      </c>
      <c r="O74" s="2">
        <v>661.98546639366</v>
      </c>
    </row>
    <row r="75" spans="1:15">
      <c r="A75" s="2">
        <v>14.006684939098</v>
      </c>
      <c r="B75" s="2">
        <v>0.040405589428736</v>
      </c>
      <c r="C75" s="2">
        <v>90.246606941837</v>
      </c>
      <c r="D75" s="2">
        <v>0.042660498428651</v>
      </c>
      <c r="E75" s="2">
        <v>4.1085349251922</v>
      </c>
      <c r="F75" s="2">
        <v>0.77173144938421</v>
      </c>
      <c r="G75" s="2">
        <v>57941947.304128</v>
      </c>
      <c r="H75" s="2">
        <v>11141321.962172</v>
      </c>
      <c r="I75" s="2">
        <v>-0.021187206354511</v>
      </c>
      <c r="J75" s="2">
        <v>-0.018694854804987</v>
      </c>
      <c r="K75" s="2">
        <v>0.041147929155675</v>
      </c>
      <c r="L75" s="2">
        <v>-0.49707659808954</v>
      </c>
      <c r="M75" s="2">
        <v>-0.4931531698546</v>
      </c>
      <c r="N75" s="2">
        <v>587.37488391935</v>
      </c>
      <c r="O75" s="2">
        <v>663.51450647939</v>
      </c>
    </row>
    <row r="76" spans="1:15">
      <c r="A76" s="2">
        <v>14.206684939098</v>
      </c>
      <c r="B76" s="2">
        <v>0.04100948677662</v>
      </c>
      <c r="C76" s="2">
        <v>90.245601075702</v>
      </c>
      <c r="D76" s="2">
        <v>0.043271839925686</v>
      </c>
      <c r="E76" s="2">
        <v>4.1135503742539</v>
      </c>
      <c r="F76" s="2">
        <v>0.7686647489281</v>
      </c>
      <c r="G76" s="2">
        <v>58685184.573194</v>
      </c>
      <c r="H76" s="2">
        <v>11266117.917179</v>
      </c>
      <c r="I76" s="2">
        <v>-0.02149026598487</v>
      </c>
      <c r="J76" s="2">
        <v>-0.018964505259871</v>
      </c>
      <c r="K76" s="2">
        <v>0.041723198612554</v>
      </c>
      <c r="L76" s="2">
        <v>-0.50427928506636</v>
      </c>
      <c r="M76" s="2">
        <v>-0.50025464711002</v>
      </c>
      <c r="N76" s="2">
        <v>588.6409814465</v>
      </c>
      <c r="O76" s="2">
        <v>665.03803513234</v>
      </c>
    </row>
    <row r="77" spans="1:15">
      <c r="A77" s="2">
        <v>14.406684939098</v>
      </c>
      <c r="B77" s="2">
        <v>0.041613393570201</v>
      </c>
      <c r="C77" s="2">
        <v>90.24459679336</v>
      </c>
      <c r="D77" s="2">
        <v>0.043883184744932</v>
      </c>
      <c r="E77" s="2">
        <v>4.1185676646101</v>
      </c>
      <c r="F77" s="2">
        <v>0.76560672526489</v>
      </c>
      <c r="G77" s="2">
        <v>59430793.402294</v>
      </c>
      <c r="H77" s="2">
        <v>11391266.074389</v>
      </c>
      <c r="I77" s="2">
        <v>-0.021793124864508</v>
      </c>
      <c r="J77" s="2">
        <v>-0.019234032830918</v>
      </c>
      <c r="K77" s="2">
        <v>0.042298131926616</v>
      </c>
      <c r="L77" s="2">
        <v>-0.51155344072518</v>
      </c>
      <c r="M77" s="2">
        <v>-0.50739998560975</v>
      </c>
      <c r="N77" s="2">
        <v>589.90155673782</v>
      </c>
      <c r="O77" s="2">
        <v>666.55531829288</v>
      </c>
    </row>
    <row r="78" spans="1:15">
      <c r="A78" s="2">
        <v>14.606684939098</v>
      </c>
      <c r="B78" s="2">
        <v>0.042217300917454</v>
      </c>
      <c r="C78" s="2">
        <v>90.243593481279</v>
      </c>
      <c r="D78" s="2">
        <v>0.044494532356293</v>
      </c>
      <c r="E78" s="2">
        <v>4.1235865451396</v>
      </c>
      <c r="F78" s="2">
        <v>0.76255758837797</v>
      </c>
      <c r="G78" s="2">
        <v>60178732.497102</v>
      </c>
      <c r="H78" s="2">
        <v>11516759.572187</v>
      </c>
      <c r="I78" s="2">
        <v>-0.022095780986829</v>
      </c>
      <c r="J78" s="2">
        <v>-0.019503434750344</v>
      </c>
      <c r="K78" s="2">
        <v>0.042872729518759</v>
      </c>
      <c r="L78" s="2">
        <v>-0.51884006025841</v>
      </c>
      <c r="M78" s="2">
        <v>-0.51455621145953</v>
      </c>
      <c r="N78" s="2">
        <v>591.15896072122</v>
      </c>
      <c r="O78" s="2">
        <v>668.06890777049</v>
      </c>
    </row>
    <row r="79" spans="1:15">
      <c r="A79" s="2">
        <v>14.806684939098</v>
      </c>
      <c r="B79" s="2">
        <v>0.042821217987792</v>
      </c>
      <c r="C79" s="2">
        <v>90.242591291259</v>
      </c>
      <c r="D79" s="2">
        <v>0.045105886272229</v>
      </c>
      <c r="E79" s="2">
        <v>4.1286061487063</v>
      </c>
      <c r="F79" s="2">
        <v>0.75951721754561</v>
      </c>
      <c r="G79" s="2">
        <v>60928983.866665</v>
      </c>
      <c r="H79" s="2">
        <v>11642595.43914</v>
      </c>
      <c r="I79" s="2">
        <v>-0.022398238515782</v>
      </c>
      <c r="J79" s="2">
        <v>-0.019772711426738</v>
      </c>
      <c r="K79" s="2">
        <v>0.04344699175234</v>
      </c>
      <c r="L79" s="2">
        <v>-0.52615110582806</v>
      </c>
      <c r="M79" s="2">
        <v>-0.52173347797799</v>
      </c>
      <c r="N79" s="2">
        <v>592.4112788775</v>
      </c>
      <c r="O79" s="2">
        <v>669.57661032691</v>
      </c>
    </row>
    <row r="80" spans="1:15">
      <c r="A80" s="2">
        <v>15.006684939098</v>
      </c>
      <c r="B80" s="2">
        <v>0.043425144375954</v>
      </c>
      <c r="C80" s="2">
        <v>90.241590248167</v>
      </c>
      <c r="D80" s="2">
        <v>0.045717247396282</v>
      </c>
      <c r="E80" s="2">
        <v>4.133626828244</v>
      </c>
      <c r="F80" s="2">
        <v>0.75648548959802</v>
      </c>
      <c r="G80" s="2">
        <v>61681516.213223</v>
      </c>
      <c r="H80" s="2">
        <v>11768768.494641</v>
      </c>
      <c r="I80" s="2">
        <v>-0.022700496848635</v>
      </c>
      <c r="J80" s="2">
        <v>-0.02004186180149</v>
      </c>
      <c r="K80" s="2">
        <v>0.044020919000503</v>
      </c>
      <c r="L80" s="2">
        <v>-0.5334679606031</v>
      </c>
      <c r="M80" s="2">
        <v>-0.52891385178503</v>
      </c>
      <c r="N80" s="2">
        <v>593.65938347384</v>
      </c>
      <c r="O80" s="2">
        <v>671.07943590378</v>
      </c>
    </row>
    <row r="81" spans="1:15">
      <c r="A81" s="2">
        <v>15.206684939098</v>
      </c>
      <c r="B81" s="2">
        <v>0.044029084998143</v>
      </c>
      <c r="C81" s="2">
        <v>90.240589890586</v>
      </c>
      <c r="D81" s="2">
        <v>0.046328616971312</v>
      </c>
      <c r="E81" s="2">
        <v>4.1386478795355</v>
      </c>
      <c r="F81" s="2">
        <v>0.75346264035326</v>
      </c>
      <c r="G81" s="2">
        <v>62436308.207496</v>
      </c>
      <c r="H81" s="2">
        <v>11895275.243032</v>
      </c>
      <c r="I81" s="2">
        <v>-0.023002556195442</v>
      </c>
      <c r="J81" s="2">
        <v>-0.020310887425444</v>
      </c>
      <c r="K81" s="2">
        <v>0.04459451169346</v>
      </c>
      <c r="L81" s="2">
        <v>-0.54080221897419</v>
      </c>
      <c r="M81" s="2">
        <v>-0.53611077961382</v>
      </c>
      <c r="N81" s="2">
        <v>594.90263844606</v>
      </c>
      <c r="O81" s="2">
        <v>672.57684938569</v>
      </c>
    </row>
    <row r="82" spans="1:15">
      <c r="A82" s="2">
        <v>15.406684939098</v>
      </c>
      <c r="B82" s="2">
        <v>0.044633042218999</v>
      </c>
      <c r="C82" s="2">
        <v>90.239590472531</v>
      </c>
      <c r="D82" s="2">
        <v>0.046939996889382</v>
      </c>
      <c r="E82" s="2">
        <v>4.1436692062531</v>
      </c>
      <c r="F82" s="2">
        <v>0.75044887716482</v>
      </c>
      <c r="G82" s="2">
        <v>63193335.32276</v>
      </c>
      <c r="H82" s="2">
        <v>12022111.62977</v>
      </c>
      <c r="I82" s="2">
        <v>-0.023304419225645</v>
      </c>
      <c r="J82" s="2">
        <v>-0.020579787148921</v>
      </c>
      <c r="K82" s="2">
        <v>0.045167770221503</v>
      </c>
      <c r="L82" s="2">
        <v>-0.54815456905638</v>
      </c>
      <c r="M82" s="2">
        <v>-0.54331420147929</v>
      </c>
      <c r="N82" s="2">
        <v>596.14053676554</v>
      </c>
      <c r="O82" s="2">
        <v>674.06817100439</v>
      </c>
    </row>
    <row r="83" spans="1:15">
      <c r="A83" s="2">
        <v>15.606684939098</v>
      </c>
      <c r="B83" s="2">
        <v>0.045237011850236</v>
      </c>
      <c r="C83" s="2">
        <v>90.238591740486</v>
      </c>
      <c r="D83" s="2">
        <v>0.047551387585598</v>
      </c>
      <c r="E83" s="2">
        <v>4.1486903841661</v>
      </c>
      <c r="F83" s="2">
        <v>0.74744399183981</v>
      </c>
      <c r="G83" s="2">
        <v>63952562.143988</v>
      </c>
      <c r="H83" s="2">
        <v>12149271.783162</v>
      </c>
      <c r="I83" s="2">
        <v>-0.023606086386827</v>
      </c>
      <c r="J83" s="2">
        <v>-0.02084855792643</v>
      </c>
      <c r="K83" s="2">
        <v>0.045740694977179</v>
      </c>
      <c r="L83" s="2">
        <v>-0.55552454652783</v>
      </c>
      <c r="M83" s="2">
        <v>-0.55054025432126</v>
      </c>
      <c r="N83" s="2">
        <v>597.37449256123</v>
      </c>
      <c r="O83" s="2">
        <v>675.55498699677</v>
      </c>
    </row>
    <row r="84" spans="1:15">
      <c r="A84" s="2">
        <v>15.806684939098</v>
      </c>
      <c r="B84" s="2">
        <v>0.0458410002264</v>
      </c>
      <c r="C84" s="2">
        <v>90.237593615684</v>
      </c>
      <c r="D84" s="2">
        <v>0.048162791892975</v>
      </c>
      <c r="E84" s="2">
        <v>4.1537115156388</v>
      </c>
      <c r="F84" s="2">
        <v>0.74444788854081</v>
      </c>
      <c r="G84" s="2">
        <v>64713971.031499</v>
      </c>
      <c r="H84" s="2">
        <v>12276752.811924</v>
      </c>
      <c r="I84" s="2">
        <v>-0.023907559772783</v>
      </c>
      <c r="J84" s="2">
        <v>-0.021117201117283</v>
      </c>
      <c r="K84" s="2">
        <v>0.046313286359111</v>
      </c>
      <c r="L84" s="2">
        <v>-0.56290553297597</v>
      </c>
      <c r="M84" s="2">
        <v>-0.55777556628997</v>
      </c>
      <c r="N84" s="2">
        <v>598.60307234807</v>
      </c>
      <c r="O84" s="2">
        <v>677.03579403751</v>
      </c>
    </row>
    <row r="85" spans="1:15">
      <c r="A85" s="2">
        <v>16.006684939098</v>
      </c>
      <c r="B85" s="2">
        <v>0.046445003169246</v>
      </c>
      <c r="C85" s="2">
        <v>90.236595892667</v>
      </c>
      <c r="D85" s="2">
        <v>0.048774209924009</v>
      </c>
      <c r="E85" s="2">
        <v>4.1587326299543</v>
      </c>
      <c r="F85" s="2">
        <v>0.74146064726022</v>
      </c>
      <c r="G85" s="2">
        <v>65477526.793529</v>
      </c>
      <c r="H85" s="2">
        <v>12404548.891835</v>
      </c>
      <c r="I85" s="2">
        <v>-0.024208838095926</v>
      </c>
      <c r="J85" s="2">
        <v>-0.021385715296084</v>
      </c>
      <c r="K85" s="2">
        <v>0.04688554474379</v>
      </c>
      <c r="L85" s="2">
        <v>-0.57030344134319</v>
      </c>
      <c r="M85" s="2">
        <v>-0.56502917520536</v>
      </c>
      <c r="N85" s="2">
        <v>599.82774190946</v>
      </c>
      <c r="O85" s="2">
        <v>678.51218483174</v>
      </c>
    </row>
    <row r="86" spans="1:15">
      <c r="A86" s="2">
        <v>16.206684939098</v>
      </c>
      <c r="B86" s="2">
        <v>0.047049017249053</v>
      </c>
      <c r="C86" s="2">
        <v>90.235598665707</v>
      </c>
      <c r="D86" s="2">
        <v>0.049385643267659</v>
      </c>
      <c r="E86" s="2">
        <v>4.1637529106653</v>
      </c>
      <c r="F86" s="2">
        <v>0.73848224281487</v>
      </c>
      <c r="G86" s="2">
        <v>66243198.725174</v>
      </c>
      <c r="H86" s="2">
        <v>12532654.918128</v>
      </c>
      <c r="I86" s="2">
        <v>-0.024509922366384</v>
      </c>
      <c r="J86" s="2">
        <v>-0.021654099276573</v>
      </c>
      <c r="K86" s="2">
        <v>0.047457470497349</v>
      </c>
      <c r="L86" s="2">
        <v>-0.57771292073982</v>
      </c>
      <c r="M86" s="2">
        <v>-0.5722891476696</v>
      </c>
      <c r="N86" s="2">
        <v>601.04882926337</v>
      </c>
      <c r="O86" s="2">
        <v>679.98450197499</v>
      </c>
    </row>
    <row r="87" spans="1:15">
      <c r="A87" s="2">
        <v>16.406684939098</v>
      </c>
      <c r="B87" s="2">
        <v>0.047653054786229</v>
      </c>
      <c r="C87" s="2">
        <v>90.234601737584</v>
      </c>
      <c r="D87" s="2">
        <v>0.04999709380649</v>
      </c>
      <c r="E87" s="2">
        <v>4.1687723986349</v>
      </c>
      <c r="F87" s="2">
        <v>0.73551266689002</v>
      </c>
      <c r="G87" s="2">
        <v>67010972.082964</v>
      </c>
      <c r="H87" s="2">
        <v>12661068.524419</v>
      </c>
      <c r="I87" s="2">
        <v>-0.024810814436613</v>
      </c>
      <c r="J87" s="2">
        <v>-0.021922354176792</v>
      </c>
      <c r="K87" s="2">
        <v>0.048029064039375</v>
      </c>
      <c r="L87" s="2">
        <v>-0.58515764195443</v>
      </c>
      <c r="M87" s="2">
        <v>-0.57957679041283</v>
      </c>
      <c r="N87" s="2">
        <v>602.2650436601</v>
      </c>
      <c r="O87" s="2">
        <v>681.4514075224</v>
      </c>
    </row>
    <row r="88" spans="1:15">
      <c r="A88" s="2">
        <v>16.606684939098</v>
      </c>
      <c r="B88" s="2">
        <v>0.048257113090874</v>
      </c>
      <c r="C88" s="2">
        <v>90.233605057609</v>
      </c>
      <c r="D88" s="2">
        <v>0.050608562558057</v>
      </c>
      <c r="E88" s="2">
        <v>4.1737909360374</v>
      </c>
      <c r="F88" s="2">
        <v>0.73255163516222</v>
      </c>
      <c r="G88" s="2">
        <v>67780816.539665</v>
      </c>
      <c r="H88" s="2">
        <v>12789784.69814</v>
      </c>
      <c r="I88" s="2">
        <v>-0.025111515033524</v>
      </c>
      <c r="J88" s="2">
        <v>-0.022190478329732</v>
      </c>
      <c r="K88" s="2">
        <v>0.048600325751663</v>
      </c>
      <c r="L88" s="2">
        <v>-0.59260656577214</v>
      </c>
      <c r="M88" s="2">
        <v>-0.58686943121087</v>
      </c>
      <c r="N88" s="2">
        <v>603.47699363682</v>
      </c>
      <c r="O88" s="2">
        <v>682.91365575007</v>
      </c>
    </row>
    <row r="89" spans="1:15">
      <c r="A89" s="2">
        <v>16.806684939098</v>
      </c>
      <c r="B89" s="2">
        <v>0.048861192820594</v>
      </c>
      <c r="C89" s="2">
        <v>90.23260860139</v>
      </c>
      <c r="D89" s="2">
        <v>0.051220051006909</v>
      </c>
      <c r="E89" s="2">
        <v>4.178808222822</v>
      </c>
      <c r="F89" s="2">
        <v>0.72959918994893</v>
      </c>
      <c r="G89" s="2">
        <v>68552709.714185</v>
      </c>
      <c r="H89" s="2">
        <v>12918799.748205</v>
      </c>
      <c r="I89" s="2">
        <v>-0.025412024362662</v>
      </c>
      <c r="J89" s="2">
        <v>-0.022458472934399</v>
      </c>
      <c r="K89" s="2">
        <v>0.049171256018961</v>
      </c>
      <c r="L89" s="2">
        <v>-0.60008266421785</v>
      </c>
      <c r="M89" s="2">
        <v>-0.59418781831314</v>
      </c>
      <c r="N89" s="2">
        <v>604.68428318866</v>
      </c>
      <c r="O89" s="2">
        <v>684.37082227106</v>
      </c>
    </row>
    <row r="90" spans="1:15">
      <c r="A90" s="2">
        <v>17</v>
      </c>
      <c r="B90" s="2">
        <v>0.049444971891111</v>
      </c>
      <c r="C90" s="2">
        <v>90.231649947236</v>
      </c>
      <c r="D90" s="2">
        <v>0.051811107490479</v>
      </c>
      <c r="E90" s="2">
        <v>4.1836558880359</v>
      </c>
      <c r="F90" s="2">
        <v>0.72675445556487</v>
      </c>
      <c r="G90" s="2">
        <v>69300562.585226</v>
      </c>
      <c r="H90" s="2">
        <v>13043755.184045</v>
      </c>
      <c r="I90" s="2">
        <v>-0.025702284191446</v>
      </c>
      <c r="J90" s="2">
        <v>-0.022717363678915</v>
      </c>
      <c r="K90" s="2">
        <v>0.049722788538068</v>
      </c>
      <c r="L90" s="2">
        <v>-0.60685084527869</v>
      </c>
      <c r="M90" s="2">
        <v>-0.60060272488624</v>
      </c>
      <c r="N90" s="2">
        <v>605.86909804978</v>
      </c>
      <c r="O90" s="2">
        <v>685.79812876885</v>
      </c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tabSelected="1" workbookViewId="0">
      <selection activeCell="A1" sqref="A1:O90"/>
    </sheetView>
  </sheetViews>
  <sheetFormatPr defaultColWidth="8.81481481481481" defaultRowHeight="15"/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2">
        <v>0.0025830812468784</v>
      </c>
      <c r="B3" s="3">
        <v>2.2178374463578e-41</v>
      </c>
      <c r="C3" s="2">
        <v>90.287235563802</v>
      </c>
      <c r="D3" s="3">
        <v>6.9294764890607e-6</v>
      </c>
      <c r="E3" s="2">
        <v>6.6107827177809</v>
      </c>
      <c r="F3" s="2">
        <v>0.99204006761164</v>
      </c>
      <c r="G3" s="2">
        <v>16000000</v>
      </c>
      <c r="H3" s="2">
        <v>4000000</v>
      </c>
      <c r="I3" s="3">
        <v>-2.0811543121867e-6</v>
      </c>
      <c r="J3" s="3">
        <v>-1.8858272935765e-6</v>
      </c>
      <c r="K3" s="3">
        <v>7.749213245188e-6</v>
      </c>
      <c r="L3" s="3">
        <v>-1.2041900855574e-7</v>
      </c>
      <c r="M3" s="3">
        <v>-1.2079099220215e-7</v>
      </c>
      <c r="N3" s="2">
        <v>1.714023442138</v>
      </c>
      <c r="O3" s="2">
        <v>1.8054998761707</v>
      </c>
    </row>
    <row r="4" spans="1:15">
      <c r="A4" s="2">
        <v>0.018444056862426</v>
      </c>
      <c r="B4" s="3">
        <v>8.3572362207026e-36</v>
      </c>
      <c r="C4" s="2">
        <v>90.287532180984</v>
      </c>
      <c r="D4" s="3">
        <v>4.948049155417e-5</v>
      </c>
      <c r="E4" s="2">
        <v>6.6107917104733</v>
      </c>
      <c r="F4" s="2">
        <v>0.99209420187274</v>
      </c>
      <c r="G4" s="2">
        <v>16000000</v>
      </c>
      <c r="H4" s="2">
        <v>4000000</v>
      </c>
      <c r="I4" s="3">
        <v>-1.4862289708798e-5</v>
      </c>
      <c r="J4" s="3">
        <v>-1.3467404792574e-5</v>
      </c>
      <c r="K4" s="3">
        <v>5.5330615847005e-5</v>
      </c>
      <c r="L4" s="3">
        <v>-6.1358055125735e-6</v>
      </c>
      <c r="M4" s="3">
        <v>-6.1552222413777e-6</v>
      </c>
      <c r="N4" s="2">
        <v>12.241923210628</v>
      </c>
      <c r="O4" s="2">
        <v>12.895042402193</v>
      </c>
    </row>
    <row r="5" spans="1:15">
      <c r="A5" s="2">
        <v>0.1</v>
      </c>
      <c r="B5" s="3">
        <v>6.9304166106862e-25</v>
      </c>
      <c r="C5" s="2">
        <v>90.289099301234</v>
      </c>
      <c r="D5" s="2">
        <v>0.00026832523570331</v>
      </c>
      <c r="E5" s="2">
        <v>6.6108373247185</v>
      </c>
      <c r="F5" s="2">
        <v>0.99237230536035</v>
      </c>
      <c r="G5" s="2">
        <v>16000000</v>
      </c>
      <c r="H5" s="2">
        <v>4000000</v>
      </c>
      <c r="I5" s="3">
        <v>-8.0649177974612e-5</v>
      </c>
      <c r="J5" s="3">
        <v>-7.3080455450327e-5</v>
      </c>
      <c r="K5" s="2">
        <v>0.00029995430434372</v>
      </c>
      <c r="L5" s="2">
        <v>-0.00017883329451812</v>
      </c>
      <c r="M5" s="2">
        <v>-0.00017956507586934</v>
      </c>
      <c r="N5" s="2">
        <v>66.47417898324</v>
      </c>
      <c r="O5" s="2">
        <v>70.013797702436</v>
      </c>
    </row>
    <row r="6" spans="1:15">
      <c r="A6" s="2">
        <v>0.20668493909835</v>
      </c>
      <c r="B6" s="3">
        <v>2.2961135891342e-17</v>
      </c>
      <c r="C6" s="2">
        <v>90.291264395485</v>
      </c>
      <c r="D6" s="2">
        <v>0.00055471909203019</v>
      </c>
      <c r="E6" s="2">
        <v>6.6108956357568</v>
      </c>
      <c r="F6" s="2">
        <v>0.99273549494049</v>
      </c>
      <c r="G6" s="2">
        <v>16000000</v>
      </c>
      <c r="H6" s="2">
        <v>4000000</v>
      </c>
      <c r="I6" s="2">
        <v>-0.00016685418071422</v>
      </c>
      <c r="J6" s="2">
        <v>-0.00015119664028885</v>
      </c>
      <c r="K6" s="2">
        <v>0.00061985965497356</v>
      </c>
      <c r="L6" s="2">
        <v>-0.00076760321059068</v>
      </c>
      <c r="M6" s="2">
        <v>-0.00077060746197632</v>
      </c>
      <c r="N6" s="2">
        <v>137.63796568834</v>
      </c>
      <c r="O6" s="2">
        <v>144.94984903378</v>
      </c>
    </row>
    <row r="7" spans="1:15">
      <c r="A7" s="2">
        <v>0.40668493909835</v>
      </c>
      <c r="B7" s="3">
        <v>3.6622480889542e-9</v>
      </c>
      <c r="C7" s="2">
        <v>90.295737498525</v>
      </c>
      <c r="D7" s="2">
        <v>0.0010920161772183</v>
      </c>
      <c r="E7" s="2">
        <v>6.6110000603846</v>
      </c>
      <c r="F7" s="2">
        <v>0.99341432606696</v>
      </c>
      <c r="G7" s="2">
        <v>16000001.975928</v>
      </c>
      <c r="H7" s="2">
        <v>4000000.3433617</v>
      </c>
      <c r="I7" s="2">
        <v>-0.00032900308377191</v>
      </c>
      <c r="J7" s="2">
        <v>-0.00029813414754003</v>
      </c>
      <c r="K7" s="2">
        <v>0.0012192995235674</v>
      </c>
      <c r="L7" s="2">
        <v>-0.0029724968787599</v>
      </c>
      <c r="M7" s="2">
        <v>-0.0029855962795822</v>
      </c>
      <c r="N7" s="2">
        <v>271.83674080884</v>
      </c>
      <c r="O7" s="2">
        <v>286.20950686881</v>
      </c>
    </row>
    <row r="8" spans="1:15">
      <c r="A8" s="2">
        <v>0.60668493909835</v>
      </c>
      <c r="B8" s="3">
        <v>6.9785027342936e-5</v>
      </c>
      <c r="C8" s="2">
        <v>90.300230536299</v>
      </c>
      <c r="D8" s="2">
        <v>0.0016384872383341</v>
      </c>
      <c r="E8" s="2">
        <v>6.6118788671474</v>
      </c>
      <c r="F8" s="2">
        <v>0.99383921828368</v>
      </c>
      <c r="G8" s="2">
        <v>16038752.708024</v>
      </c>
      <c r="H8" s="2">
        <v>4006732.3965326</v>
      </c>
      <c r="I8" s="2">
        <v>-0.00050884889722386</v>
      </c>
      <c r="J8" s="2">
        <v>-0.00045733159803941</v>
      </c>
      <c r="K8" s="2">
        <v>0.0018183742982909</v>
      </c>
      <c r="L8" s="2">
        <v>-0.0068061603357233</v>
      </c>
      <c r="M8" s="2">
        <v>-0.0063355911144713</v>
      </c>
      <c r="N8" s="2">
        <v>393.62154482913</v>
      </c>
      <c r="O8" s="2">
        <v>415.23647024661</v>
      </c>
    </row>
    <row r="9" spans="1:15">
      <c r="A9" s="2">
        <v>0.80668493909835</v>
      </c>
      <c r="B9" s="2">
        <v>0.00055691340877463</v>
      </c>
      <c r="C9" s="2">
        <v>90.302841704392</v>
      </c>
      <c r="D9" s="2">
        <v>0.0022271804970468</v>
      </c>
      <c r="E9" s="2">
        <v>6.6172206223247</v>
      </c>
      <c r="F9" s="2">
        <v>0.99281326864705</v>
      </c>
      <c r="G9" s="2">
        <v>16329025.671964</v>
      </c>
      <c r="H9" s="2">
        <v>4057129.6574896</v>
      </c>
      <c r="I9" s="2">
        <v>-0.00077765798730526</v>
      </c>
      <c r="J9" s="2">
        <v>-0.00069444029277733</v>
      </c>
      <c r="K9" s="2">
        <v>0.0024170842017577</v>
      </c>
      <c r="L9" s="2">
        <v>-0.010566155660499</v>
      </c>
      <c r="M9" s="2">
        <v>-0.0099467650936493</v>
      </c>
      <c r="N9" s="2">
        <v>437.70097422713</v>
      </c>
      <c r="O9" s="2">
        <v>466.83552112485</v>
      </c>
    </row>
    <row r="10" spans="1:15">
      <c r="A10" s="2">
        <v>1.0066849390983</v>
      </c>
      <c r="B10" s="2">
        <v>0.0011654174149323</v>
      </c>
      <c r="C10" s="2">
        <v>90.306161584863</v>
      </c>
      <c r="D10" s="2">
        <v>0.0028309771905757</v>
      </c>
      <c r="E10" s="2">
        <v>6.6211931335281</v>
      </c>
      <c r="F10" s="2">
        <v>0.99059253264406</v>
      </c>
      <c r="G10" s="2">
        <v>16726224.335385</v>
      </c>
      <c r="H10" s="2">
        <v>4126031.1286532</v>
      </c>
      <c r="I10" s="2">
        <v>-0.001075180210995</v>
      </c>
      <c r="J10" s="2">
        <v>-0.00095883375367814</v>
      </c>
      <c r="K10" s="2">
        <v>0.0030154305915807</v>
      </c>
      <c r="L10" s="2">
        <v>-0.01681197676909</v>
      </c>
      <c r="M10" s="2">
        <v>-0.015982582170757</v>
      </c>
      <c r="N10" s="2">
        <v>455.21081239218</v>
      </c>
      <c r="O10" s="2">
        <v>491.31201622391</v>
      </c>
    </row>
    <row r="11" spans="1:15">
      <c r="A11" s="2">
        <v>1.2066849390983</v>
      </c>
      <c r="B11" s="2">
        <v>0.0017822422641528</v>
      </c>
      <c r="C11" s="2">
        <v>90.307725770984</v>
      </c>
      <c r="D11" s="2">
        <v>0.0034422276994384</v>
      </c>
      <c r="E11" s="2">
        <v>6.6247553496609</v>
      </c>
      <c r="F11" s="2">
        <v>0.98710067146327</v>
      </c>
      <c r="G11" s="2">
        <v>17164854.403834</v>
      </c>
      <c r="H11" s="2">
        <v>4202060.5469246</v>
      </c>
      <c r="I11" s="2">
        <v>-0.0013813441491484</v>
      </c>
      <c r="J11" s="2">
        <v>-0.0012293806328065</v>
      </c>
      <c r="K11" s="2">
        <v>0.0036134111351229</v>
      </c>
      <c r="L11" s="2">
        <v>-0.027036796666943</v>
      </c>
      <c r="M11" s="2">
        <v>-0.0268542067772</v>
      </c>
      <c r="N11" s="2">
        <v>465.54923493265</v>
      </c>
      <c r="O11" s="2">
        <v>507.27920765168</v>
      </c>
    </row>
    <row r="12" spans="1:15">
      <c r="A12" s="2">
        <v>1.4066849390983</v>
      </c>
      <c r="B12" s="2">
        <v>0.0023950902904129</v>
      </c>
      <c r="C12" s="2">
        <v>90.308144713933</v>
      </c>
      <c r="D12" s="2">
        <v>0.0040568838898511</v>
      </c>
      <c r="E12" s="2">
        <v>6.628537873733</v>
      </c>
      <c r="F12" s="2">
        <v>0.98321493040753</v>
      </c>
      <c r="G12" s="2">
        <v>17631580.815216</v>
      </c>
      <c r="H12" s="2">
        <v>4282904.8161579</v>
      </c>
      <c r="I12" s="2">
        <v>-0.0016907069842757</v>
      </c>
      <c r="J12" s="2">
        <v>-0.0015039824783298</v>
      </c>
      <c r="K12" s="2">
        <v>0.0042110262478079</v>
      </c>
      <c r="L12" s="2">
        <v>-0.037175511298738</v>
      </c>
      <c r="M12" s="2">
        <v>-0.037280031920587</v>
      </c>
      <c r="N12" s="2">
        <v>472.24471718026</v>
      </c>
      <c r="O12" s="2">
        <v>518.06658467231</v>
      </c>
    </row>
    <row r="13" spans="1:15">
      <c r="A13" s="2">
        <v>1.6066849390983</v>
      </c>
      <c r="B13" s="2">
        <v>0.0030043293454037</v>
      </c>
      <c r="C13" s="2">
        <v>90.30786310537</v>
      </c>
      <c r="D13" s="2">
        <v>0.0046728648392488</v>
      </c>
      <c r="E13" s="2">
        <v>6.6324536675621</v>
      </c>
      <c r="F13" s="2">
        <v>0.97928205861755</v>
      </c>
      <c r="G13" s="2">
        <v>18118292.308275</v>
      </c>
      <c r="H13" s="2">
        <v>4367155.3960192</v>
      </c>
      <c r="I13" s="2">
        <v>-0.0020024157026334</v>
      </c>
      <c r="J13" s="2">
        <v>-0.0017800159075825</v>
      </c>
      <c r="K13" s="2">
        <v>0.0048082774044137</v>
      </c>
      <c r="L13" s="2">
        <v>-0.046661783198294</v>
      </c>
      <c r="M13" s="2">
        <v>-0.046108068129353</v>
      </c>
      <c r="N13" s="2">
        <v>476.93215312134</v>
      </c>
      <c r="O13" s="2">
        <v>525.59898688037</v>
      </c>
    </row>
    <row r="14" spans="1:15">
      <c r="A14" s="2">
        <v>1.8066849390983</v>
      </c>
      <c r="B14" s="2">
        <v>0.0036117174579976</v>
      </c>
      <c r="C14" s="2">
        <v>90.307189009994</v>
      </c>
      <c r="D14" s="2">
        <v>0.005289255035064</v>
      </c>
      <c r="E14" s="2">
        <v>6.6364798168159</v>
      </c>
      <c r="F14" s="2">
        <v>0.97531429522432</v>
      </c>
      <c r="G14" s="2">
        <v>18618712.389589</v>
      </c>
      <c r="H14" s="2">
        <v>4453721.1136616</v>
      </c>
      <c r="I14" s="2">
        <v>-0.002315901526125</v>
      </c>
      <c r="J14" s="2">
        <v>-0.0020560212171351</v>
      </c>
      <c r="K14" s="2">
        <v>0.0054051655228865</v>
      </c>
      <c r="L14" s="2">
        <v>-0.054570494065583</v>
      </c>
      <c r="M14" s="2">
        <v>-0.05583083197291</v>
      </c>
      <c r="N14" s="2">
        <v>480.59004139473</v>
      </c>
      <c r="O14" s="2">
        <v>531.34503661784</v>
      </c>
    </row>
    <row r="15" spans="1:15">
      <c r="A15" s="2">
        <v>2.0066849390983</v>
      </c>
      <c r="B15" s="2">
        <v>0.0042181123622637</v>
      </c>
      <c r="C15" s="2">
        <v>90.30626555043</v>
      </c>
      <c r="D15" s="2">
        <v>0.0059055887661081</v>
      </c>
      <c r="E15" s="2">
        <v>6.6405638293396</v>
      </c>
      <c r="F15" s="2">
        <v>0.97135727163699</v>
      </c>
      <c r="G15" s="2">
        <v>19129778.983634</v>
      </c>
      <c r="H15" s="2">
        <v>4542069.4421641</v>
      </c>
      <c r="I15" s="2">
        <v>-0.0026307930777489</v>
      </c>
      <c r="J15" s="2">
        <v>-0.002331497553675</v>
      </c>
      <c r="K15" s="2">
        <v>0.0060016920714953</v>
      </c>
      <c r="L15" s="2">
        <v>-0.062552308772216</v>
      </c>
      <c r="M15" s="2">
        <v>-0.063970171675583</v>
      </c>
      <c r="N15" s="2">
        <v>483.63724026551</v>
      </c>
      <c r="O15" s="2">
        <v>536.00067801724</v>
      </c>
    </row>
    <row r="16" spans="1:15">
      <c r="A16" s="2">
        <v>2.2066849390983</v>
      </c>
      <c r="B16" s="2">
        <v>0.0048242343047069</v>
      </c>
      <c r="C16" s="2">
        <v>90.305233483689</v>
      </c>
      <c r="D16" s="2">
        <v>0.0065216775340723</v>
      </c>
      <c r="E16" s="2">
        <v>6.6446643975816</v>
      </c>
      <c r="F16" s="2">
        <v>0.96741690930152</v>
      </c>
      <c r="G16" s="2">
        <v>19649516.425657</v>
      </c>
      <c r="H16" s="2">
        <v>4631856.8370403</v>
      </c>
      <c r="I16" s="2">
        <v>-0.0029463998107634</v>
      </c>
      <c r="J16" s="2">
        <v>-0.0026066583993362</v>
      </c>
      <c r="K16" s="2">
        <v>0.0065978579390583</v>
      </c>
      <c r="L16" s="2">
        <v>-0.070322129170131</v>
      </c>
      <c r="M16" s="2">
        <v>-0.072191142633512</v>
      </c>
      <c r="N16" s="2">
        <v>486.30720471608</v>
      </c>
      <c r="O16" s="2">
        <v>539.99502235512</v>
      </c>
    </row>
    <row r="17" spans="1:15">
      <c r="A17" s="2">
        <v>2.4066849390983</v>
      </c>
      <c r="B17" s="2">
        <v>0.0054303007693933</v>
      </c>
      <c r="C17" s="2">
        <v>90.30415548718</v>
      </c>
      <c r="D17" s="2">
        <v>0.0071374773958683</v>
      </c>
      <c r="E17" s="2">
        <v>6.6487693793866</v>
      </c>
      <c r="F17" s="2">
        <v>0.96348344774075</v>
      </c>
      <c r="G17" s="2">
        <v>20176827.88274</v>
      </c>
      <c r="H17" s="2">
        <v>4722892.6672096</v>
      </c>
      <c r="I17" s="2">
        <v>-0.0032622247802715</v>
      </c>
      <c r="J17" s="2">
        <v>-0.0028817427602413</v>
      </c>
      <c r="K17" s="2">
        <v>0.007193663332216</v>
      </c>
      <c r="L17" s="2">
        <v>-0.077393168184076</v>
      </c>
      <c r="M17" s="2">
        <v>-0.078206271778972</v>
      </c>
      <c r="N17" s="2">
        <v>488.72288598714</v>
      </c>
      <c r="O17" s="2">
        <v>543.53773157968</v>
      </c>
    </row>
    <row r="18" spans="1:15">
      <c r="A18" s="2">
        <v>2.6066849390983</v>
      </c>
      <c r="B18" s="2">
        <v>0.0060363372714548</v>
      </c>
      <c r="C18" s="2">
        <v>90.303054680455</v>
      </c>
      <c r="D18" s="2">
        <v>0.0077530346703091</v>
      </c>
      <c r="E18" s="2">
        <v>6.6528816678748</v>
      </c>
      <c r="F18" s="2">
        <v>0.95959380894058</v>
      </c>
      <c r="G18" s="2">
        <v>20710959.309293</v>
      </c>
      <c r="H18" s="2">
        <v>4815045.8897397</v>
      </c>
      <c r="I18" s="2">
        <v>-0.0035779532009642</v>
      </c>
      <c r="J18" s="2">
        <v>-0.0031569293670725</v>
      </c>
      <c r="K18" s="2">
        <v>0.0077891085169409</v>
      </c>
      <c r="L18" s="2">
        <v>-0.08559026096065</v>
      </c>
      <c r="M18" s="2">
        <v>-0.086147019556758</v>
      </c>
      <c r="N18" s="2">
        <v>490.95839395142</v>
      </c>
      <c r="O18" s="2">
        <v>546.7482997245</v>
      </c>
    </row>
    <row r="19" spans="1:15">
      <c r="A19" s="2">
        <v>2.8066849390983</v>
      </c>
      <c r="B19" s="2">
        <v>0.0066422654264505</v>
      </c>
      <c r="C19" s="2">
        <v>90.301942463233</v>
      </c>
      <c r="D19" s="2">
        <v>0.0083683583546339</v>
      </c>
      <c r="E19" s="2">
        <v>6.6570083101035</v>
      </c>
      <c r="F19" s="2">
        <v>0.95577214292835</v>
      </c>
      <c r="G19" s="2">
        <v>21251423.821437</v>
      </c>
      <c r="H19" s="2">
        <v>4908231.9225795</v>
      </c>
      <c r="I19" s="2">
        <v>-0.0038934130777812</v>
      </c>
      <c r="J19" s="2">
        <v>-0.0034322910731656</v>
      </c>
      <c r="K19" s="2">
        <v>0.0083841940013684</v>
      </c>
      <c r="L19" s="2">
        <v>-0.092788957568152</v>
      </c>
      <c r="M19" s="2">
        <v>-0.094722685846482</v>
      </c>
      <c r="N19" s="2">
        <v>493.05927886199</v>
      </c>
      <c r="O19" s="2">
        <v>549.68912568671</v>
      </c>
    </row>
    <row r="20" spans="1:15">
      <c r="A20" s="2">
        <v>3.0066849390983</v>
      </c>
      <c r="B20" s="2">
        <v>0.007248079872794</v>
      </c>
      <c r="C20" s="2">
        <v>90.300830880707</v>
      </c>
      <c r="D20" s="2">
        <v>0.0089834499756868</v>
      </c>
      <c r="E20" s="2">
        <v>6.6611613119926</v>
      </c>
      <c r="F20" s="2">
        <v>0.95202029795184</v>
      </c>
      <c r="G20" s="2">
        <v>21797774.860219</v>
      </c>
      <c r="H20" s="2">
        <v>5002373.0922085</v>
      </c>
      <c r="I20" s="2">
        <v>-0.004208521643989</v>
      </c>
      <c r="J20" s="2">
        <v>-0.003707836393884</v>
      </c>
      <c r="K20" s="2">
        <v>0.0089789202433828</v>
      </c>
      <c r="L20" s="2">
        <v>-0.099447003706929</v>
      </c>
      <c r="M20" s="2">
        <v>-0.10163531038116</v>
      </c>
      <c r="N20" s="2">
        <v>495.06092200976</v>
      </c>
      <c r="O20" s="2">
        <v>552.42138974995</v>
      </c>
    </row>
    <row r="21" spans="1:15">
      <c r="A21" s="2">
        <v>3.2066849390983</v>
      </c>
      <c r="B21" s="2">
        <v>0.0078538902269273</v>
      </c>
      <c r="C21" s="2">
        <v>90.299727396849</v>
      </c>
      <c r="D21" s="2">
        <v>0.0095983545068788</v>
      </c>
      <c r="E21" s="2">
        <v>6.6653512626541</v>
      </c>
      <c r="F21" s="2">
        <v>0.94832573908789</v>
      </c>
      <c r="G21" s="2">
        <v>22349571.278799</v>
      </c>
      <c r="H21" s="2">
        <v>5097392.5591778</v>
      </c>
      <c r="I21" s="2">
        <v>-0.0045232585494587</v>
      </c>
      <c r="J21" s="2">
        <v>-0.0039835348553652</v>
      </c>
      <c r="K21" s="2">
        <v>0.0095732875753165</v>
      </c>
      <c r="L21" s="2">
        <v>-0.10560035859251</v>
      </c>
      <c r="M21" s="2">
        <v>-0.10780235794294</v>
      </c>
      <c r="N21" s="2">
        <v>496.99083844958</v>
      </c>
      <c r="O21" s="2">
        <v>555.00856855057</v>
      </c>
    </row>
    <row r="22" spans="1:15">
      <c r="A22" s="2">
        <v>3.4066849390983</v>
      </c>
      <c r="B22" s="2">
        <v>0.0084597530025437</v>
      </c>
      <c r="C22" s="2">
        <v>90.298634150475</v>
      </c>
      <c r="D22" s="2">
        <v>0.01021310410486</v>
      </c>
      <c r="E22" s="2">
        <v>6.6695850902576</v>
      </c>
      <c r="F22" s="2">
        <v>0.944676326073</v>
      </c>
      <c r="G22" s="2">
        <v>22906504.623586</v>
      </c>
      <c r="H22" s="2">
        <v>5193236.5619688</v>
      </c>
      <c r="I22" s="2">
        <v>-0.0048376468463664</v>
      </c>
      <c r="J22" s="2">
        <v>-0.004259327744913</v>
      </c>
      <c r="K22" s="2">
        <v>0.010167296397758</v>
      </c>
      <c r="L22" s="2">
        <v>-0.11104966993202</v>
      </c>
      <c r="M22" s="2">
        <v>-0.11278508025212</v>
      </c>
      <c r="N22" s="2">
        <v>498.8669139213</v>
      </c>
      <c r="O22" s="2">
        <v>557.49014708482</v>
      </c>
    </row>
    <row r="23" spans="1:15">
      <c r="A23" s="2">
        <v>3.6066849390983</v>
      </c>
      <c r="B23" s="2">
        <v>0.0090656440392551</v>
      </c>
      <c r="C23" s="2">
        <v>90.297548388349</v>
      </c>
      <c r="D23" s="2">
        <v>0.010827712674594</v>
      </c>
      <c r="E23" s="2">
        <v>6.6738657390644</v>
      </c>
      <c r="F23" s="2">
        <v>0.94106823827632</v>
      </c>
      <c r="G23" s="2">
        <v>23468396.35034</v>
      </c>
      <c r="H23" s="2">
        <v>5289873.9657219</v>
      </c>
      <c r="I23" s="2">
        <v>-0.0051517289413332</v>
      </c>
      <c r="J23" s="2">
        <v>-0.0045351945789244</v>
      </c>
      <c r="K23" s="2">
        <v>0.010760947293878</v>
      </c>
      <c r="L23" s="2">
        <v>-0.1224749243331</v>
      </c>
      <c r="M23" s="2">
        <v>-0.12422002370334</v>
      </c>
      <c r="N23" s="2">
        <v>500.69476028786</v>
      </c>
      <c r="O23" s="2">
        <v>559.88674893428</v>
      </c>
    </row>
    <row r="24" spans="1:15">
      <c r="A24" s="2">
        <v>3.8066849390983</v>
      </c>
      <c r="B24" s="2">
        <v>0.0096715339327364</v>
      </c>
      <c r="C24" s="2">
        <v>90.296468879576</v>
      </c>
      <c r="D24" s="2">
        <v>0.011442158815317</v>
      </c>
      <c r="E24" s="2">
        <v>6.6781921053292</v>
      </c>
      <c r="F24" s="2">
        <v>0.93750159756912</v>
      </c>
      <c r="G24" s="2">
        <v>24035102.822889</v>
      </c>
      <c r="H24" s="2">
        <v>5387279.7224901</v>
      </c>
      <c r="I24" s="2">
        <v>-0.0054655133994538</v>
      </c>
      <c r="J24" s="2">
        <v>-0.0048110610425541</v>
      </c>
      <c r="K24" s="2">
        <v>0.011354240915738</v>
      </c>
      <c r="L24" s="2">
        <v>-0.12982144346007</v>
      </c>
      <c r="M24" s="2">
        <v>-0.13174588349986</v>
      </c>
      <c r="N24" s="2">
        <v>502.48465038839</v>
      </c>
      <c r="O24" s="2">
        <v>562.205455682</v>
      </c>
    </row>
    <row r="25" spans="1:15">
      <c r="A25" s="2">
        <v>4.0066849390983</v>
      </c>
      <c r="B25" s="2">
        <v>0.010277392608739</v>
      </c>
      <c r="C25" s="2">
        <v>90.295393201913</v>
      </c>
      <c r="D25" s="2">
        <v>0.012056445190109</v>
      </c>
      <c r="E25" s="2">
        <v>6.6825636104629</v>
      </c>
      <c r="F25" s="2">
        <v>0.93397234905218</v>
      </c>
      <c r="G25" s="2">
        <v>24606496.089195</v>
      </c>
      <c r="H25" s="2">
        <v>5485431.5685362</v>
      </c>
      <c r="I25" s="2">
        <v>-0.0057790727699363</v>
      </c>
      <c r="J25" s="2">
        <v>-0.0050868646797195</v>
      </c>
      <c r="K25" s="2">
        <v>0.011947177833823</v>
      </c>
      <c r="L25" s="2">
        <v>-0.13689527438946</v>
      </c>
      <c r="M25" s="2">
        <v>-0.13904936986624</v>
      </c>
      <c r="N25" s="2">
        <v>504.24042200897</v>
      </c>
      <c r="O25" s="2">
        <v>564.46004267871</v>
      </c>
    </row>
    <row r="26" spans="1:15">
      <c r="A26" s="2">
        <v>4.2066849390983</v>
      </c>
      <c r="B26" s="2">
        <v>0.010883158123706</v>
      </c>
      <c r="C26" s="2">
        <v>90.294317988276</v>
      </c>
      <c r="D26" s="2">
        <v>0.012670549859396</v>
      </c>
      <c r="E26" s="2">
        <v>6.6869780522605</v>
      </c>
      <c r="F26" s="2">
        <v>0.93047686030249</v>
      </c>
      <c r="G26" s="2">
        <v>25182507.176731</v>
      </c>
      <c r="H26" s="2">
        <v>5584317.5509509</v>
      </c>
      <c r="I26" s="2">
        <v>-0.0060924913779807</v>
      </c>
      <c r="J26" s="2">
        <v>-0.0053625160865781</v>
      </c>
      <c r="K26" s="2">
        <v>0.012539758717876</v>
      </c>
      <c r="L26" s="2">
        <v>-0.1436504536129</v>
      </c>
      <c r="M26" s="2">
        <v>-0.14598894554722</v>
      </c>
      <c r="N26" s="2">
        <v>505.96464521965</v>
      </c>
      <c r="O26" s="2">
        <v>566.65347781228</v>
      </c>
    </row>
    <row r="27" spans="1:15">
      <c r="A27" s="2">
        <v>4.4066849390983</v>
      </c>
      <c r="B27" s="2">
        <v>0.011488808079878</v>
      </c>
      <c r="C27" s="2">
        <v>90.29324011367</v>
      </c>
      <c r="D27" s="2">
        <v>0.013284463457835</v>
      </c>
      <c r="E27" s="2">
        <v>6.6914304585803</v>
      </c>
      <c r="F27" s="2">
        <v>0.92701395850363</v>
      </c>
      <c r="G27" s="2">
        <v>25763053.871444</v>
      </c>
      <c r="H27" s="2">
        <v>5683923.4034931</v>
      </c>
      <c r="I27" s="2">
        <v>-0.0064057985708019</v>
      </c>
      <c r="J27" s="2">
        <v>-0.0056379797956986</v>
      </c>
      <c r="K27" s="2">
        <v>0.013131984152864</v>
      </c>
      <c r="L27" s="2">
        <v>-0.14990298571868</v>
      </c>
      <c r="M27" s="2">
        <v>-0.15224974592262</v>
      </c>
      <c r="N27" s="2">
        <v>507.65996435401</v>
      </c>
      <c r="O27" s="2">
        <v>568.79148935727</v>
      </c>
    </row>
    <row r="28" spans="1:15">
      <c r="A28" s="2">
        <v>4.6066849390983</v>
      </c>
      <c r="B28" s="2">
        <v>0.012094359008269</v>
      </c>
      <c r="C28" s="2">
        <v>90.292158828746</v>
      </c>
      <c r="D28" s="2">
        <v>0.01389820254796</v>
      </c>
      <c r="E28" s="2">
        <v>6.6959163749203</v>
      </c>
      <c r="F28" s="2">
        <v>0.92358090759223</v>
      </c>
      <c r="G28" s="2">
        <v>26348023.623046</v>
      </c>
      <c r="H28" s="2">
        <v>5784229.5821975</v>
      </c>
      <c r="I28" s="2">
        <v>-0.006718980278246</v>
      </c>
      <c r="J28" s="2">
        <v>-0.0059132742403961</v>
      </c>
      <c r="K28" s="2">
        <v>0.013723854504849</v>
      </c>
      <c r="L28" s="2">
        <v>-0.1581529370229</v>
      </c>
      <c r="M28" s="2">
        <v>-0.1595187782928</v>
      </c>
      <c r="N28" s="2">
        <v>509.32914691386</v>
      </c>
      <c r="O28" s="2">
        <v>570.88503750255</v>
      </c>
    </row>
    <row r="29" spans="1:15">
      <c r="A29" s="2">
        <v>4.8066849390983</v>
      </c>
      <c r="B29" s="2">
        <v>0.012699824423035</v>
      </c>
      <c r="C29" s="2">
        <v>90.291075858047</v>
      </c>
      <c r="D29" s="2">
        <v>0.014511778534886</v>
      </c>
      <c r="E29" s="2">
        <v>6.7004309064571</v>
      </c>
      <c r="F29" s="2">
        <v>0.92017454300437</v>
      </c>
      <c r="G29" s="2">
        <v>26937312.753977</v>
      </c>
      <c r="H29" s="2">
        <v>5885218.0935014</v>
      </c>
      <c r="I29" s="2">
        <v>-0.007032005187068</v>
      </c>
      <c r="J29" s="2">
        <v>-0.0061884130517554</v>
      </c>
      <c r="K29" s="2">
        <v>0.01431537011012</v>
      </c>
      <c r="L29" s="2">
        <v>-0.16522408968606</v>
      </c>
      <c r="M29" s="2">
        <v>-0.16656938911652</v>
      </c>
      <c r="N29" s="2">
        <v>510.97631743357</v>
      </c>
      <c r="O29" s="2">
        <v>572.94055783963</v>
      </c>
    </row>
    <row r="30" spans="1:15">
      <c r="A30" s="2">
        <v>5.0066849390983</v>
      </c>
      <c r="B30" s="2">
        <v>0.013305223027742</v>
      </c>
      <c r="C30" s="2">
        <v>90.289988994677</v>
      </c>
      <c r="D30" s="2">
        <v>0.015125210167814</v>
      </c>
      <c r="E30" s="2">
        <v>6.7049705479011</v>
      </c>
      <c r="F30" s="2">
        <v>0.9167912879987</v>
      </c>
      <c r="G30" s="2">
        <v>27530822.496172</v>
      </c>
      <c r="H30" s="2">
        <v>5986871.797204</v>
      </c>
      <c r="I30" s="2">
        <v>-0.0073448627628854</v>
      </c>
      <c r="J30" s="2">
        <v>-0.0064634033378001</v>
      </c>
      <c r="K30" s="2">
        <v>0.014906531282895</v>
      </c>
      <c r="L30" s="2">
        <v>-0.172231871084</v>
      </c>
      <c r="M30" s="2">
        <v>-0.17358206317424</v>
      </c>
      <c r="N30" s="2">
        <v>512.60470147288</v>
      </c>
      <c r="O30" s="2">
        <v>574.96529626887</v>
      </c>
    </row>
    <row r="31" spans="1:15">
      <c r="A31" s="2">
        <v>5.2066849390983</v>
      </c>
      <c r="B31" s="2">
        <v>0.013910582320085</v>
      </c>
      <c r="C31" s="2">
        <v>90.28889863428</v>
      </c>
      <c r="D31" s="2">
        <v>0.01573851751976</v>
      </c>
      <c r="E31" s="2">
        <v>6.7095312565835</v>
      </c>
      <c r="F31" s="2">
        <v>0.91342801703533</v>
      </c>
      <c r="G31" s="2">
        <v>28128474.983996</v>
      </c>
      <c r="H31" s="2">
        <v>6089177.1510649</v>
      </c>
      <c r="I31" s="2">
        <v>-0.0076575499698142</v>
      </c>
      <c r="J31" s="2">
        <v>-0.0067382482553145</v>
      </c>
      <c r="K31" s="2">
        <v>0.015497338318262</v>
      </c>
      <c r="L31" s="2">
        <v>-0.17920368831048</v>
      </c>
      <c r="M31" s="2">
        <v>-0.1805722821716</v>
      </c>
      <c r="N31" s="2">
        <v>514.21452802023</v>
      </c>
      <c r="O31" s="2">
        <v>576.96172519585</v>
      </c>
    </row>
    <row r="32" spans="1:15">
      <c r="A32" s="2">
        <v>5.4066849390983</v>
      </c>
      <c r="B32" s="2">
        <v>0.01451590958638</v>
      </c>
      <c r="C32" s="2">
        <v>90.287804838445</v>
      </c>
      <c r="D32" s="2">
        <v>0.016351716097824</v>
      </c>
      <c r="E32" s="2">
        <v>6.7141092496084</v>
      </c>
      <c r="F32" s="2">
        <v>0.91008217824397</v>
      </c>
      <c r="G32" s="2">
        <v>28730187.485548</v>
      </c>
      <c r="H32" s="2">
        <v>6192119.7913619</v>
      </c>
      <c r="I32" s="2">
        <v>-0.0079700651464141</v>
      </c>
      <c r="J32" s="2">
        <v>-0.0070129444972244</v>
      </c>
      <c r="K32" s="2">
        <v>0.01608779151754</v>
      </c>
      <c r="L32" s="2">
        <v>-0.18611323487135</v>
      </c>
      <c r="M32" s="2">
        <v>-0.18748897252163</v>
      </c>
      <c r="N32" s="2">
        <v>515.80829068851</v>
      </c>
      <c r="O32" s="2">
        <v>578.93345276303</v>
      </c>
    </row>
    <row r="33" spans="1:15">
      <c r="A33" s="2">
        <v>5.6066849390983</v>
      </c>
      <c r="B33" s="2">
        <v>0.015121209635039</v>
      </c>
      <c r="C33" s="2">
        <v>90.286707790702</v>
      </c>
      <c r="D33" s="2">
        <v>0.016964818122822</v>
      </c>
      <c r="E33" s="2">
        <v>6.7187017205084</v>
      </c>
      <c r="F33" s="2">
        <v>0.90675119351631</v>
      </c>
      <c r="G33" s="2">
        <v>29335889.093082</v>
      </c>
      <c r="H33" s="2">
        <v>6295687.4049633</v>
      </c>
      <c r="I33" s="2">
        <v>-0.008282411120121</v>
      </c>
      <c r="J33" s="2">
        <v>-0.0072874875032116</v>
      </c>
      <c r="K33" s="2">
        <v>0.016677891196192</v>
      </c>
      <c r="L33" s="2">
        <v>-0.19300941031451</v>
      </c>
      <c r="M33" s="2">
        <v>-0.19435063446455</v>
      </c>
      <c r="N33" s="2">
        <v>517.38708545233</v>
      </c>
      <c r="O33" s="2">
        <v>580.88208463612</v>
      </c>
    </row>
    <row r="34" spans="1:15">
      <c r="A34" s="2">
        <v>5.8066849390983</v>
      </c>
      <c r="B34" s="2">
        <v>0.015726480894469</v>
      </c>
      <c r="C34" s="2">
        <v>90.285608309574</v>
      </c>
      <c r="D34" s="2">
        <v>0.017577832655307</v>
      </c>
      <c r="E34" s="2">
        <v>6.7233069592522</v>
      </c>
      <c r="F34" s="2">
        <v>0.90343269254704</v>
      </c>
      <c r="G34" s="2">
        <v>29945508.642436</v>
      </c>
      <c r="H34" s="2">
        <v>6399867.6551352</v>
      </c>
      <c r="I34" s="2">
        <v>-0.0085945883538495</v>
      </c>
      <c r="J34" s="2">
        <v>-0.0075618735563381</v>
      </c>
      <c r="K34" s="2">
        <v>0.017267637690933</v>
      </c>
      <c r="L34" s="2">
        <v>-0.19986754920903</v>
      </c>
      <c r="M34" s="2">
        <v>-0.20111290828638</v>
      </c>
      <c r="N34" s="2">
        <v>518.95261077338</v>
      </c>
      <c r="O34" s="2">
        <v>582.80975817006</v>
      </c>
    </row>
    <row r="35" spans="1:15">
      <c r="A35" s="2">
        <v>6.0066849390983</v>
      </c>
      <c r="B35" s="2">
        <v>0.016331727551554</v>
      </c>
      <c r="C35" s="2">
        <v>90.284507887403</v>
      </c>
      <c r="D35" s="2">
        <v>0.018190767909375</v>
      </c>
      <c r="E35" s="2">
        <v>6.7279242107646</v>
      </c>
      <c r="F35" s="2">
        <v>0.90012495178032</v>
      </c>
      <c r="G35" s="2">
        <v>30558983.762222</v>
      </c>
      <c r="H35" s="2">
        <v>6504649.7331814</v>
      </c>
      <c r="I35" s="2">
        <v>-0.0089065971590799</v>
      </c>
      <c r="J35" s="2">
        <v>-0.0078361026024353</v>
      </c>
      <c r="K35" s="2">
        <v>0.017857031358844</v>
      </c>
      <c r="L35" s="2">
        <v>-0.20672519969556</v>
      </c>
      <c r="M35" s="2">
        <v>-0.20783496616828</v>
      </c>
      <c r="N35" s="2">
        <v>520.50508323726</v>
      </c>
      <c r="O35" s="2">
        <v>584.71754866449</v>
      </c>
    </row>
    <row r="36" spans="1:15">
      <c r="A36" s="2">
        <v>6.2066849390983</v>
      </c>
      <c r="B36" s="2">
        <v>0.016936952353922</v>
      </c>
      <c r="C36" s="2">
        <v>90.283405853043</v>
      </c>
      <c r="D36" s="2">
        <v>0.018803630129999</v>
      </c>
      <c r="E36" s="2">
        <v>6.7325525831621</v>
      </c>
      <c r="F36" s="2">
        <v>0.89682618835989</v>
      </c>
      <c r="G36" s="2">
        <v>31176254.047622</v>
      </c>
      <c r="H36" s="2">
        <v>6610023.1959863</v>
      </c>
      <c r="I36" s="2">
        <v>-0.0092184342315688</v>
      </c>
      <c r="J36" s="2">
        <v>-0.0081101774562224</v>
      </c>
      <c r="K36" s="2">
        <v>0.018446072582754</v>
      </c>
      <c r="L36" s="2">
        <v>-0.21363799077188</v>
      </c>
      <c r="M36" s="2">
        <v>-0.21460418880882</v>
      </c>
      <c r="N36" s="2">
        <v>522.04512570696</v>
      </c>
      <c r="O36" s="2">
        <v>586.60700696116</v>
      </c>
    </row>
    <row r="37" spans="1:15">
      <c r="A37" s="2">
        <v>6.4066849390983</v>
      </c>
      <c r="B37" s="2">
        <v>0.017542156876955</v>
      </c>
      <c r="C37" s="2">
        <v>90.282302451024</v>
      </c>
      <c r="D37" s="2">
        <v>0.019416424052649</v>
      </c>
      <c r="E37" s="2">
        <v>6.7371915824277</v>
      </c>
      <c r="F37" s="2">
        <v>0.89353544966813</v>
      </c>
      <c r="G37" s="2">
        <v>31797260.988242</v>
      </c>
      <c r="H37" s="2">
        <v>6715977.9435836</v>
      </c>
      <c r="I37" s="2">
        <v>-0.0095300953086525</v>
      </c>
      <c r="J37" s="2">
        <v>-0.0083841005166224</v>
      </c>
      <c r="K37" s="2">
        <v>0.01903476175425</v>
      </c>
      <c r="L37" s="2">
        <v>-0.22045816605221</v>
      </c>
      <c r="M37" s="2">
        <v>-0.22120874732688</v>
      </c>
      <c r="N37" s="2">
        <v>523.57347996746</v>
      </c>
      <c r="O37" s="2">
        <v>588.47962683124</v>
      </c>
    </row>
    <row r="38" spans="1:15">
      <c r="A38" s="2">
        <v>6.6066849390983</v>
      </c>
      <c r="B38" s="2">
        <v>0.018147338757242</v>
      </c>
      <c r="C38" s="2">
        <v>90.281199298392</v>
      </c>
      <c r="D38" s="2">
        <v>0.020029153325891</v>
      </c>
      <c r="E38" s="2">
        <v>6.741841436499</v>
      </c>
      <c r="F38" s="2">
        <v>0.89025259507681</v>
      </c>
      <c r="G38" s="2">
        <v>32421948.522548</v>
      </c>
      <c r="H38" s="2">
        <v>6822504.3307896</v>
      </c>
      <c r="I38" s="2">
        <v>-0.0098415739454392</v>
      </c>
      <c r="J38" s="2">
        <v>-0.008657877842034</v>
      </c>
      <c r="K38" s="2">
        <v>0.019623099268849</v>
      </c>
      <c r="L38" s="2">
        <v>-0.22729236531656</v>
      </c>
      <c r="M38" s="2">
        <v>-0.22786522063274</v>
      </c>
      <c r="N38" s="2">
        <v>525.0909215591</v>
      </c>
      <c r="O38" s="2">
        <v>590.33685978099</v>
      </c>
    </row>
    <row r="39" spans="1:15">
      <c r="A39" s="2">
        <v>6.8066849390983</v>
      </c>
      <c r="B39" s="2">
        <v>0.018752495297218</v>
      </c>
      <c r="C39" s="2">
        <v>90.280096786898</v>
      </c>
      <c r="D39" s="2">
        <v>0.020641819768285</v>
      </c>
      <c r="E39" s="2">
        <v>6.74650230163</v>
      </c>
      <c r="F39" s="2">
        <v>0.88697773640769</v>
      </c>
      <c r="G39" s="2">
        <v>33050265.159209</v>
      </c>
      <c r="H39" s="2">
        <v>6929593.5179067</v>
      </c>
      <c r="I39" s="2">
        <v>-0.010152865227313</v>
      </c>
      <c r="J39" s="2">
        <v>-0.0089315138488387</v>
      </c>
      <c r="K39" s="2">
        <v>0.020211085525833</v>
      </c>
      <c r="L39" s="2">
        <v>-0.23422846136543</v>
      </c>
      <c r="M39" s="2">
        <v>-0.2345945081197</v>
      </c>
      <c r="N39" s="2">
        <v>526.59802610396</v>
      </c>
      <c r="O39" s="2">
        <v>592.17962492221</v>
      </c>
    </row>
    <row r="40" spans="1:15">
      <c r="A40" s="2">
        <v>7.0066849390983</v>
      </c>
      <c r="B40" s="2">
        <v>0.019357624145723</v>
      </c>
      <c r="C40" s="2">
        <v>90.278995415561</v>
      </c>
      <c r="D40" s="2">
        <v>0.021254423975181</v>
      </c>
      <c r="E40" s="2">
        <v>6.7511746348753</v>
      </c>
      <c r="F40" s="2">
        <v>0.88371084849841</v>
      </c>
      <c r="G40" s="2">
        <v>33682165.271382</v>
      </c>
      <c r="H40" s="2">
        <v>7037237.6915242</v>
      </c>
      <c r="I40" s="2">
        <v>-0.010463963701714</v>
      </c>
      <c r="J40" s="2">
        <v>-0.0092050136698339</v>
      </c>
      <c r="K40" s="2">
        <v>0.020798720931211</v>
      </c>
      <c r="L40" s="2">
        <v>-0.24120361931394</v>
      </c>
      <c r="M40" s="2">
        <v>-0.2413238577833</v>
      </c>
      <c r="N40" s="2">
        <v>528.0950025512</v>
      </c>
      <c r="O40" s="2">
        <v>594.00812167656</v>
      </c>
    </row>
    <row r="41" spans="1:15">
      <c r="A41" s="2">
        <v>7.2066849390983</v>
      </c>
      <c r="B41" s="2">
        <v>0.019962713147072</v>
      </c>
      <c r="C41" s="2">
        <v>90.277897257829</v>
      </c>
      <c r="D41" s="2">
        <v>0.021866964587399</v>
      </c>
      <c r="E41" s="2">
        <v>6.7558595450288</v>
      </c>
      <c r="F41" s="2">
        <v>0.88045195156043</v>
      </c>
      <c r="G41" s="2">
        <v>34317597.994616</v>
      </c>
      <c r="H41" s="2">
        <v>7145428.1552601</v>
      </c>
      <c r="I41" s="2">
        <v>-0.01077485869832</v>
      </c>
      <c r="J41" s="2">
        <v>-0.009478385783325</v>
      </c>
      <c r="K41" s="2">
        <v>0.02138600590133</v>
      </c>
      <c r="L41" s="2">
        <v>-0.24810484538925</v>
      </c>
      <c r="M41" s="2">
        <v>-0.24810197717614</v>
      </c>
      <c r="N41" s="2">
        <v>529.58308868035</v>
      </c>
      <c r="O41" s="2">
        <v>595.82354151085</v>
      </c>
    </row>
    <row r="42" spans="1:15">
      <c r="A42" s="2">
        <v>7.4066849390983</v>
      </c>
      <c r="B42" s="2">
        <v>0.020567766607263</v>
      </c>
      <c r="C42" s="2">
        <v>90.276799050944</v>
      </c>
      <c r="D42" s="2">
        <v>0.022479441020889</v>
      </c>
      <c r="E42" s="2">
        <v>6.7605569968406</v>
      </c>
      <c r="F42" s="2">
        <v>0.87720112386799</v>
      </c>
      <c r="G42" s="2">
        <v>34956530.239779</v>
      </c>
      <c r="H42" s="2">
        <v>7254159.2677704</v>
      </c>
      <c r="I42" s="2">
        <v>-0.011085545841795</v>
      </c>
      <c r="J42" s="2">
        <v>-0.0097516379027737</v>
      </c>
      <c r="K42" s="2">
        <v>0.021972940838305</v>
      </c>
      <c r="L42" s="2">
        <v>-0.25508462408634</v>
      </c>
      <c r="M42" s="2">
        <v>-0.25492218215207</v>
      </c>
      <c r="N42" s="2">
        <v>531.06095279797</v>
      </c>
      <c r="O42" s="2">
        <v>597.62433482748</v>
      </c>
    </row>
    <row r="43" spans="1:15">
      <c r="A43" s="2">
        <v>7.6066849390983</v>
      </c>
      <c r="B43" s="2">
        <v>0.021172773265636</v>
      </c>
      <c r="C43" s="2">
        <v>90.275702019179</v>
      </c>
      <c r="D43" s="2">
        <v>0.023091850127227</v>
      </c>
      <c r="E43" s="2">
        <v>6.7652683093188</v>
      </c>
      <c r="F43" s="2">
        <v>0.8739581461396</v>
      </c>
      <c r="G43" s="2">
        <v>35598918.793957</v>
      </c>
      <c r="H43" s="2">
        <v>7363423.6718014</v>
      </c>
      <c r="I43" s="2">
        <v>-0.011396013346628</v>
      </c>
      <c r="J43" s="2">
        <v>-0.010024780843815</v>
      </c>
      <c r="K43" s="2">
        <v>0.022559526150357</v>
      </c>
      <c r="L43" s="2">
        <v>-0.26206927311592</v>
      </c>
      <c r="M43" s="2">
        <v>-0.26176847551559</v>
      </c>
      <c r="N43" s="2">
        <v>532.52917137219</v>
      </c>
      <c r="O43" s="2">
        <v>599.4109098116</v>
      </c>
    </row>
    <row r="44" spans="1:15">
      <c r="A44" s="2">
        <v>7.8066849390983</v>
      </c>
      <c r="B44" s="2">
        <v>0.021777719628981</v>
      </c>
      <c r="C44" s="2">
        <v>90.274606678149</v>
      </c>
      <c r="D44" s="2">
        <v>0.02370418764194</v>
      </c>
      <c r="E44" s="2">
        <v>6.7699952887311</v>
      </c>
      <c r="F44" s="2">
        <v>0.87072181234334</v>
      </c>
      <c r="G44" s="2">
        <v>36244721.077408</v>
      </c>
      <c r="H44" s="2">
        <v>7473214.1337718</v>
      </c>
      <c r="I44" s="2">
        <v>-0.011706248719164</v>
      </c>
      <c r="J44" s="2">
        <v>-0.010297826188631</v>
      </c>
      <c r="K44" s="2">
        <v>0.023145762244713</v>
      </c>
      <c r="L44" s="2">
        <v>-0.2691122388273</v>
      </c>
      <c r="M44" s="2">
        <v>-0.26868900372969</v>
      </c>
      <c r="N44" s="2">
        <v>533.98850146734</v>
      </c>
      <c r="O44" s="2">
        <v>601.18394743891</v>
      </c>
    </row>
    <row r="45" spans="1:15">
      <c r="A45" s="2">
        <v>8.0066849390983</v>
      </c>
      <c r="B45" s="2">
        <v>0.022382598818979</v>
      </c>
      <c r="C45" s="2">
        <v>90.273513426286</v>
      </c>
      <c r="D45" s="2">
        <v>0.024316449451236</v>
      </c>
      <c r="E45" s="2">
        <v>6.7747401031258</v>
      </c>
      <c r="F45" s="2">
        <v>0.86749060127731</v>
      </c>
      <c r="G45" s="2">
        <v>36893899.275602</v>
      </c>
      <c r="H45" s="2">
        <v>7583524.2440626</v>
      </c>
      <c r="I45" s="2">
        <v>-0.012016237628558</v>
      </c>
      <c r="J45" s="2">
        <v>-0.010570788534103</v>
      </c>
      <c r="K45" s="2">
        <v>0.023731649514971</v>
      </c>
      <c r="L45" s="2">
        <v>-0.27609771952866</v>
      </c>
      <c r="M45" s="2">
        <v>-0.27557456101781</v>
      </c>
      <c r="N45" s="2">
        <v>535.43877224921</v>
      </c>
      <c r="O45" s="2">
        <v>602.94328338929</v>
      </c>
    </row>
    <row r="46" spans="1:15">
      <c r="A46" s="2">
        <v>8.2066849390983</v>
      </c>
      <c r="B46" s="2">
        <v>0.022987405318948</v>
      </c>
      <c r="C46" s="2">
        <v>90.272422860868</v>
      </c>
      <c r="D46" s="2">
        <v>0.024928632501599</v>
      </c>
      <c r="E46" s="2">
        <v>6.7795047763659</v>
      </c>
      <c r="F46" s="2">
        <v>0.86426336764669</v>
      </c>
      <c r="G46" s="2">
        <v>37546412.885125</v>
      </c>
      <c r="H46" s="2">
        <v>7694347.1378508</v>
      </c>
      <c r="I46" s="2">
        <v>-0.012325970866523</v>
      </c>
      <c r="J46" s="2">
        <v>-0.010843676249833</v>
      </c>
      <c r="K46" s="2">
        <v>0.024317188331723</v>
      </c>
      <c r="L46" s="2">
        <v>-0.28301130617082</v>
      </c>
      <c r="M46" s="2">
        <v>-0.28238854884942</v>
      </c>
      <c r="N46" s="2">
        <v>536.88047091906</v>
      </c>
      <c r="O46" s="2">
        <v>604.68967768224</v>
      </c>
    </row>
    <row r="47" spans="1:15">
      <c r="A47" s="2">
        <v>8.4066849390983</v>
      </c>
      <c r="B47" s="2">
        <v>0.023592141947382</v>
      </c>
      <c r="C47" s="2">
        <v>90.271335520661</v>
      </c>
      <c r="D47" s="2">
        <v>0.025540739495129</v>
      </c>
      <c r="E47" s="2">
        <v>6.7842895865849</v>
      </c>
      <c r="F47" s="2">
        <v>0.86103884881569</v>
      </c>
      <c r="G47" s="2">
        <v>38202216.444194</v>
      </c>
      <c r="H47" s="2">
        <v>7805675.0656949</v>
      </c>
      <c r="I47" s="2">
        <v>-0.012635446732111</v>
      </c>
      <c r="J47" s="2">
        <v>-0.011116491422298</v>
      </c>
      <c r="K47" s="2">
        <v>0.02490237905975</v>
      </c>
      <c r="L47" s="2">
        <v>-0.29000525525272</v>
      </c>
      <c r="M47" s="2">
        <v>-0.28926119025607</v>
      </c>
      <c r="N47" s="2">
        <v>538.31389448437</v>
      </c>
      <c r="O47" s="2">
        <v>606.42416285562</v>
      </c>
    </row>
    <row r="48" spans="1:15">
      <c r="A48" s="2">
        <v>8.6066849390983</v>
      </c>
      <c r="B48" s="2">
        <v>0.0241968185678</v>
      </c>
      <c r="C48" s="2">
        <v>90.270251661403</v>
      </c>
      <c r="D48" s="2">
        <v>0.026152775064373</v>
      </c>
      <c r="E48" s="2">
        <v>6.7890937432374</v>
      </c>
      <c r="F48" s="2">
        <v>0.85781698633121</v>
      </c>
      <c r="G48" s="2">
        <v>38861266.868764</v>
      </c>
      <c r="H48" s="2">
        <v>7917500.6655314</v>
      </c>
      <c r="I48" s="2">
        <v>-0.01294466710435</v>
      </c>
      <c r="J48" s="2">
        <v>-0.011389232443492</v>
      </c>
      <c r="K48" s="2">
        <v>0.025487222067718</v>
      </c>
      <c r="L48" s="2">
        <v>-0.29694232571161</v>
      </c>
      <c r="M48" s="2">
        <v>-0.29608549803444</v>
      </c>
      <c r="N48" s="2">
        <v>539.73880107525</v>
      </c>
      <c r="O48" s="2">
        <v>608.14693487825</v>
      </c>
    </row>
    <row r="49" spans="1:15">
      <c r="A49" s="2">
        <v>8.8066849390982</v>
      </c>
      <c r="B49" s="2">
        <v>0.024801435556461</v>
      </c>
      <c r="C49" s="2">
        <v>90.269171237296</v>
      </c>
      <c r="D49" s="2">
        <v>0.026764743381817</v>
      </c>
      <c r="E49" s="2">
        <v>6.7939160659955</v>
      </c>
      <c r="F49" s="2">
        <v>0.85459809118151</v>
      </c>
      <c r="G49" s="2">
        <v>39523512.724081</v>
      </c>
      <c r="H49" s="2">
        <v>8029815.1597619</v>
      </c>
      <c r="I49" s="2">
        <v>-0.013253634690009</v>
      </c>
      <c r="J49" s="2">
        <v>-0.011661895154145</v>
      </c>
      <c r="K49" s="2">
        <v>0.026071717724415</v>
      </c>
      <c r="L49" s="2">
        <v>-0.30393131868834</v>
      </c>
      <c r="M49" s="2">
        <v>-0.30295942160122</v>
      </c>
      <c r="N49" s="2">
        <v>541.15632525494</v>
      </c>
      <c r="O49" s="2">
        <v>609.8597359557</v>
      </c>
    </row>
    <row r="50" spans="1:15">
      <c r="A50" s="2">
        <v>9.0066849390982</v>
      </c>
      <c r="B50" s="2">
        <v>0.025406001382668</v>
      </c>
      <c r="C50" s="2">
        <v>90.26809420051</v>
      </c>
      <c r="D50" s="2">
        <v>0.027376649592217</v>
      </c>
      <c r="E50" s="2">
        <v>6.7987549259484</v>
      </c>
      <c r="F50" s="2">
        <v>0.85138265504408</v>
      </c>
      <c r="G50" s="2">
        <v>40188911.71254</v>
      </c>
      <c r="H50" s="2">
        <v>8142611.3418643</v>
      </c>
      <c r="I50" s="2">
        <v>-0.013562354849613</v>
      </c>
      <c r="J50" s="2">
        <v>-0.011934473099397</v>
      </c>
      <c r="K50" s="2">
        <v>0.026655866426396</v>
      </c>
      <c r="L50" s="2">
        <v>-0.31076459371157</v>
      </c>
      <c r="M50" s="2">
        <v>-0.30975199535734</v>
      </c>
      <c r="N50" s="2">
        <v>542.56675179569</v>
      </c>
      <c r="O50" s="2">
        <v>611.56303985743</v>
      </c>
    </row>
    <row r="51" spans="1:15">
      <c r="A51" s="2">
        <v>9.2066849390982</v>
      </c>
      <c r="B51" s="2">
        <v>0.026010524149318</v>
      </c>
      <c r="C51" s="2">
        <v>90.267020816298</v>
      </c>
      <c r="D51" s="2">
        <v>0.027988499328238</v>
      </c>
      <c r="E51" s="2">
        <v>6.8036092445412</v>
      </c>
      <c r="F51" s="2">
        <v>0.84817121906525</v>
      </c>
      <c r="G51" s="2">
        <v>40857424.081996</v>
      </c>
      <c r="H51" s="2">
        <v>8255882.4353934</v>
      </c>
      <c r="I51" s="2">
        <v>-0.013870831699481</v>
      </c>
      <c r="J51" s="2">
        <v>-0.012206965305532</v>
      </c>
      <c r="K51" s="2">
        <v>0.027239668569237</v>
      </c>
      <c r="L51" s="2">
        <v>-0.31774244459353</v>
      </c>
      <c r="M51" s="2">
        <v>-0.31660225140402</v>
      </c>
      <c r="N51" s="2">
        <v>543.96927183841</v>
      </c>
      <c r="O51" s="2">
        <v>613.25647770726</v>
      </c>
    </row>
    <row r="52" spans="1:15">
      <c r="A52" s="2">
        <v>9.4066849390982</v>
      </c>
      <c r="B52" s="2">
        <v>0.026615003688475</v>
      </c>
      <c r="C52" s="2">
        <v>90.265950490943</v>
      </c>
      <c r="D52" s="2">
        <v>0.028600295351069</v>
      </c>
      <c r="E52" s="2">
        <v>6.8084784922442</v>
      </c>
      <c r="F52" s="2">
        <v>0.84496400892651</v>
      </c>
      <c r="G52" s="2">
        <v>41529006.850506</v>
      </c>
      <c r="H52" s="2">
        <v>8369621.1473093</v>
      </c>
      <c r="I52" s="2">
        <v>-0.014179065900126</v>
      </c>
      <c r="J52" s="2">
        <v>-0.012479369383439</v>
      </c>
      <c r="K52" s="2">
        <v>0.02782312456656</v>
      </c>
      <c r="L52" s="2">
        <v>-0.32470901600285</v>
      </c>
      <c r="M52" s="2">
        <v>-0.32348574006501</v>
      </c>
      <c r="N52" s="2">
        <v>545.36472647401</v>
      </c>
      <c r="O52" s="2">
        <v>614.94097027653</v>
      </c>
    </row>
    <row r="53" spans="1:15">
      <c r="A53" s="2">
        <v>9.6066849390982</v>
      </c>
      <c r="B53" s="2">
        <v>0.02721944356389</v>
      </c>
      <c r="C53" s="2">
        <v>90.264883261112</v>
      </c>
      <c r="D53" s="2">
        <v>0.029212040841093</v>
      </c>
      <c r="E53" s="2">
        <v>6.8133612132869</v>
      </c>
      <c r="F53" s="2">
        <v>0.84176066152237</v>
      </c>
      <c r="G53" s="2">
        <v>42203620.594471</v>
      </c>
      <c r="H53" s="2">
        <v>8483820.7831371</v>
      </c>
      <c r="I53" s="2">
        <v>-0.01448706077838</v>
      </c>
      <c r="J53" s="2">
        <v>-0.012751681946687</v>
      </c>
      <c r="K53" s="2">
        <v>0.028406234838802</v>
      </c>
      <c r="L53" s="2">
        <v>-0.3316160495376</v>
      </c>
      <c r="M53" s="2">
        <v>-0.33028217834682</v>
      </c>
      <c r="N53" s="2">
        <v>546.7531601707</v>
      </c>
      <c r="O53" s="2">
        <v>616.61656670822</v>
      </c>
    </row>
    <row r="54" spans="1:15">
      <c r="A54" s="2">
        <v>9.8066849390982</v>
      </c>
      <c r="B54" s="2">
        <v>0.027823846813854</v>
      </c>
      <c r="C54" s="2">
        <v>90.263819330086</v>
      </c>
      <c r="D54" s="2">
        <v>0.029823738774481</v>
      </c>
      <c r="E54" s="2">
        <v>6.8182565242894</v>
      </c>
      <c r="F54" s="2">
        <v>0.83856161799216</v>
      </c>
      <c r="G54" s="2">
        <v>42881226.407444</v>
      </c>
      <c r="H54" s="2">
        <v>8598474.7478371</v>
      </c>
      <c r="I54" s="2">
        <v>-0.014794816751351</v>
      </c>
      <c r="J54" s="2">
        <v>-0.013023903465616</v>
      </c>
      <c r="K54" s="2">
        <v>0.028988999805859</v>
      </c>
      <c r="L54" s="2">
        <v>-0.33856115699314</v>
      </c>
      <c r="M54" s="2">
        <v>-0.33711553529833</v>
      </c>
      <c r="N54" s="2">
        <v>548.13459156697</v>
      </c>
      <c r="O54" s="2">
        <v>618.28357730057</v>
      </c>
    </row>
    <row r="55" spans="1:15">
      <c r="A55" s="2">
        <v>10.006684939098</v>
      </c>
      <c r="B55" s="2">
        <v>0.02842821598292</v>
      </c>
      <c r="C55" s="2">
        <v>90.262758658391</v>
      </c>
      <c r="D55" s="2">
        <v>0.030435392319847</v>
      </c>
      <c r="E55" s="2">
        <v>6.8231637894497</v>
      </c>
      <c r="F55" s="2">
        <v>0.83536697940415</v>
      </c>
      <c r="G55" s="2">
        <v>43561786.58871</v>
      </c>
      <c r="H55" s="2">
        <v>8713576.6606535</v>
      </c>
      <c r="I55" s="2">
        <v>-0.015102335181777</v>
      </c>
      <c r="J55" s="2">
        <v>-0.013296032693544</v>
      </c>
      <c r="K55" s="2">
        <v>0.029571419889056</v>
      </c>
      <c r="L55" s="2">
        <v>-0.34549327648553</v>
      </c>
      <c r="M55" s="2">
        <v>-0.3439407777763</v>
      </c>
      <c r="N55" s="2">
        <v>549.50906956245</v>
      </c>
      <c r="O55" s="2">
        <v>619.9420185091</v>
      </c>
    </row>
    <row r="56" spans="1:15">
      <c r="A56" s="2">
        <v>10.206684939098</v>
      </c>
      <c r="B56" s="2">
        <v>0.029032548619971</v>
      </c>
      <c r="C56" s="2">
        <v>90.261701300303</v>
      </c>
      <c r="D56" s="2">
        <v>0.031047003929174</v>
      </c>
      <c r="E56" s="2">
        <v>6.124957619967</v>
      </c>
      <c r="F56" s="2">
        <v>0.83217664792207</v>
      </c>
      <c r="G56" s="2">
        <v>44245255.6296</v>
      </c>
      <c r="H56" s="2">
        <v>8829118.815064</v>
      </c>
      <c r="I56" s="2">
        <v>-0.015409615783385</v>
      </c>
      <c r="J56" s="2">
        <v>-0.013568067643303</v>
      </c>
      <c r="K56" s="2">
        <v>0.030153495509139</v>
      </c>
      <c r="L56" s="2">
        <v>-0.35243650984631</v>
      </c>
      <c r="M56" s="2">
        <v>-0.35075912573836</v>
      </c>
      <c r="N56" s="2">
        <v>550.87791042482</v>
      </c>
      <c r="O56" s="2">
        <v>621.5934383395</v>
      </c>
    </row>
    <row r="57" spans="1:15">
      <c r="A57" s="2">
        <v>10.406684939098</v>
      </c>
      <c r="B57" s="2">
        <v>0.029636853156961</v>
      </c>
      <c r="C57" s="2">
        <v>90.260646902287</v>
      </c>
      <c r="D57" s="2">
        <v>0.031658577793627</v>
      </c>
      <c r="E57" s="2">
        <v>6.1298869203936</v>
      </c>
      <c r="F57" s="2">
        <v>0.82899073213349</v>
      </c>
      <c r="G57" s="2">
        <v>44931601.051688</v>
      </c>
      <c r="H57" s="2">
        <v>8945095.7272919</v>
      </c>
      <c r="I57" s="2">
        <v>-0.015716661167848</v>
      </c>
      <c r="J57" s="2">
        <v>-0.013840008266003</v>
      </c>
      <c r="K57" s="2">
        <v>0.030735227059969</v>
      </c>
      <c r="L57" s="2">
        <v>-0.35937695724599</v>
      </c>
      <c r="M57" s="2">
        <v>-0.3575802130939</v>
      </c>
      <c r="N57" s="2">
        <v>552.24009246943</v>
      </c>
      <c r="O57" s="2">
        <v>623.2369087946</v>
      </c>
    </row>
    <row r="58" spans="1:15">
      <c r="A58" s="2">
        <v>10.606684939098</v>
      </c>
      <c r="B58" s="2">
        <v>0.030241129583358</v>
      </c>
      <c r="C58" s="2">
        <v>90.259595875412</v>
      </c>
      <c r="D58" s="2">
        <v>0.032270116183153</v>
      </c>
      <c r="E58" s="2">
        <v>6.1348264291879</v>
      </c>
      <c r="F58" s="2">
        <v>0.82580936543266</v>
      </c>
      <c r="G58" s="2">
        <v>45620784.383204</v>
      </c>
      <c r="H58" s="2">
        <v>9061500.9015031</v>
      </c>
      <c r="I58" s="2">
        <v>-0.0160234705629</v>
      </c>
      <c r="J58" s="2">
        <v>-0.014111855077908</v>
      </c>
      <c r="K58" s="2">
        <v>0.031316614963868</v>
      </c>
      <c r="L58" s="2">
        <v>-0.36634976671858</v>
      </c>
      <c r="M58" s="2">
        <v>-0.36445898543561</v>
      </c>
      <c r="N58" s="2">
        <v>553.59604072134</v>
      </c>
      <c r="O58" s="2">
        <v>624.87298072343</v>
      </c>
    </row>
    <row r="59" spans="1:15">
      <c r="A59" s="2">
        <v>10.806684939098</v>
      </c>
      <c r="B59" s="2">
        <v>0.030845382749636</v>
      </c>
      <c r="C59" s="2">
        <v>90.25854805496</v>
      </c>
      <c r="D59" s="2">
        <v>0.032881622834818</v>
      </c>
      <c r="E59" s="2">
        <v>5.436651011145</v>
      </c>
      <c r="F59" s="2">
        <v>0.82263300441417</v>
      </c>
      <c r="G59" s="2">
        <v>46312770.556302</v>
      </c>
      <c r="H59" s="2">
        <v>9178328.4316375</v>
      </c>
      <c r="I59" s="2">
        <v>-0.016330043884375</v>
      </c>
      <c r="J59" s="2">
        <v>-0.014383608400396</v>
      </c>
      <c r="K59" s="2">
        <v>0.031897659606623</v>
      </c>
      <c r="L59" s="2">
        <v>-0.37329869826492</v>
      </c>
      <c r="M59" s="2">
        <v>-0.37130172343135</v>
      </c>
      <c r="N59" s="2">
        <v>554.94565440008</v>
      </c>
      <c r="O59" s="2">
        <v>626.5015221003</v>
      </c>
    </row>
    <row r="60" spans="1:15">
      <c r="A60" s="2">
        <v>11.006684939098</v>
      </c>
      <c r="B60" s="2">
        <v>0.031449618277794</v>
      </c>
      <c r="C60" s="2">
        <v>90.25750352513</v>
      </c>
      <c r="D60" s="2">
        <v>0.033493100827006</v>
      </c>
      <c r="E60" s="2">
        <v>5.4416098276432</v>
      </c>
      <c r="F60" s="2">
        <v>0.81946177935497</v>
      </c>
      <c r="G60" s="2">
        <v>47007526.081819</v>
      </c>
      <c r="H60" s="2">
        <v>9295572.6887849</v>
      </c>
      <c r="I60" s="2">
        <v>-0.016636383959414</v>
      </c>
      <c r="J60" s="2">
        <v>-0.014655266923597</v>
      </c>
      <c r="K60" s="2">
        <v>0.032478361393387</v>
      </c>
      <c r="L60" s="2">
        <v>-0.38028223927603</v>
      </c>
      <c r="M60" s="2">
        <v>-0.37817133469876</v>
      </c>
      <c r="N60" s="2">
        <v>556.28852353839</v>
      </c>
      <c r="O60" s="2">
        <v>628.12225592014</v>
      </c>
    </row>
    <row r="61" spans="1:15">
      <c r="A61" s="2">
        <v>11.206684939098</v>
      </c>
      <c r="B61" s="2">
        <v>0.032053830701401</v>
      </c>
      <c r="C61" s="2">
        <v>90.256462290006</v>
      </c>
      <c r="D61" s="2">
        <v>0.034104551872647</v>
      </c>
      <c r="E61" s="2">
        <v>5.4465773429165</v>
      </c>
      <c r="F61" s="2">
        <v>0.81629574196068</v>
      </c>
      <c r="G61" s="2">
        <v>47705008.399219</v>
      </c>
      <c r="H61" s="2">
        <v>9413226.5181382</v>
      </c>
      <c r="I61" s="2">
        <v>-0.016942491479107</v>
      </c>
      <c r="J61" s="2">
        <v>-0.014926827288115</v>
      </c>
      <c r="K61" s="2">
        <v>0.033058720716435</v>
      </c>
      <c r="L61" s="2">
        <v>-0.38726519589566</v>
      </c>
      <c r="M61" s="2">
        <v>-0.38504459610741</v>
      </c>
      <c r="N61" s="2">
        <v>557.62608280405</v>
      </c>
      <c r="O61" s="2">
        <v>629.73674326181</v>
      </c>
    </row>
    <row r="62" spans="1:15">
      <c r="A62" s="2">
        <v>11.406684939098</v>
      </c>
      <c r="B62" s="2">
        <v>0.032658030132649</v>
      </c>
      <c r="C62" s="2">
        <v>90.255424012688</v>
      </c>
      <c r="D62" s="2">
        <v>0.034715979239816</v>
      </c>
      <c r="E62" s="2">
        <v>5.4515532935733</v>
      </c>
      <c r="F62" s="2">
        <v>0.8131351784434</v>
      </c>
      <c r="G62" s="2">
        <v>48405191.003509</v>
      </c>
      <c r="H62" s="2">
        <v>9531285.4960342</v>
      </c>
      <c r="I62" s="2">
        <v>-0.017248368400184</v>
      </c>
      <c r="J62" s="2">
        <v>-0.015198290208205</v>
      </c>
      <c r="K62" s="2">
        <v>0.033638737976323</v>
      </c>
      <c r="L62" s="2">
        <v>-0.39425569347652</v>
      </c>
      <c r="M62" s="2">
        <v>-0.39192147827706</v>
      </c>
      <c r="N62" s="2">
        <v>558.9572130346</v>
      </c>
      <c r="O62" s="2">
        <v>631.34374022875</v>
      </c>
    </row>
    <row r="63" spans="1:15">
      <c r="A63" s="2">
        <v>11.606684939098</v>
      </c>
      <c r="B63" s="2">
        <v>0.033262212947512</v>
      </c>
      <c r="C63" s="2">
        <v>90.254388658938</v>
      </c>
      <c r="D63" s="2">
        <v>0.035327384507394</v>
      </c>
      <c r="E63" s="2">
        <v>5.4565377372537</v>
      </c>
      <c r="F63" s="2">
        <v>0.80998038903894</v>
      </c>
      <c r="G63" s="2">
        <v>49108036.215572</v>
      </c>
      <c r="H63" s="2">
        <v>9649743.3194384</v>
      </c>
      <c r="I63" s="2">
        <v>-0.017554015438849</v>
      </c>
      <c r="J63" s="2">
        <v>-0.015469653503064</v>
      </c>
      <c r="K63" s="2">
        <v>0.03421841356241</v>
      </c>
      <c r="L63" s="2">
        <v>-0.40127240087206</v>
      </c>
      <c r="M63" s="2">
        <v>-0.39882257999163</v>
      </c>
      <c r="N63" s="2">
        <v>560.28286236158</v>
      </c>
      <c r="O63" s="2">
        <v>632.94422888923</v>
      </c>
    </row>
    <row r="64" spans="1:15">
      <c r="A64" s="2">
        <v>11.806684939098</v>
      </c>
      <c r="B64" s="2">
        <v>0.033866382864566</v>
      </c>
      <c r="C64" s="2">
        <v>90.253356438502</v>
      </c>
      <c r="D64" s="2">
        <v>0.035938769869708</v>
      </c>
      <c r="E64" s="2">
        <v>5.4615297645592</v>
      </c>
      <c r="F64" s="2">
        <v>0.80683168991577</v>
      </c>
      <c r="G64" s="2">
        <v>49813512.210047</v>
      </c>
      <c r="H64" s="2">
        <v>9768594.6738503</v>
      </c>
      <c r="I64" s="2">
        <v>-0.017859435935364</v>
      </c>
      <c r="J64" s="2">
        <v>-0.015740914132517</v>
      </c>
      <c r="K64" s="2">
        <v>0.034797747883123</v>
      </c>
      <c r="L64" s="2">
        <v>-0.4082576982144</v>
      </c>
      <c r="M64" s="2">
        <v>-0.40569582009784</v>
      </c>
      <c r="N64" s="2">
        <v>561.60294639407</v>
      </c>
      <c r="O64" s="2">
        <v>634.53806795527</v>
      </c>
    </row>
    <row r="65" spans="1:15">
      <c r="A65" s="2">
        <v>12.006684939098</v>
      </c>
      <c r="B65" s="2">
        <v>0.034470537506867</v>
      </c>
      <c r="C65" s="2">
        <v>90.252327295641</v>
      </c>
      <c r="D65" s="2">
        <v>0.036550136748603</v>
      </c>
      <c r="E65" s="2">
        <v>5.4665290797148</v>
      </c>
      <c r="F65" s="2">
        <v>0.80368930676661</v>
      </c>
      <c r="G65" s="2">
        <v>50521582.693778</v>
      </c>
      <c r="H65" s="2">
        <v>9887833.4958122</v>
      </c>
      <c r="I65" s="2">
        <v>-0.018164632939201</v>
      </c>
      <c r="J65" s="2">
        <v>-0.016012068401164</v>
      </c>
      <c r="K65" s="2">
        <v>0.035376741341346</v>
      </c>
      <c r="L65" s="2">
        <v>-0.41530107136941</v>
      </c>
      <c r="M65" s="2">
        <v>-0.41262362676597</v>
      </c>
      <c r="N65" s="2">
        <v>562.91817493148</v>
      </c>
      <c r="O65" s="2">
        <v>636.12606484765</v>
      </c>
    </row>
    <row r="66" spans="1:15">
      <c r="A66" s="2">
        <v>12.206684939098</v>
      </c>
      <c r="B66" s="2">
        <v>0.035074683710919</v>
      </c>
      <c r="C66" s="2">
        <v>90.251301323598</v>
      </c>
      <c r="D66" s="2">
        <v>0.037161487902267</v>
      </c>
      <c r="E66" s="2">
        <v>5.4715349444185</v>
      </c>
      <c r="F66" s="2">
        <v>0.80055315621319</v>
      </c>
      <c r="G66" s="2">
        <v>51232222.806685</v>
      </c>
      <c r="H66" s="2">
        <v>10007455.678407</v>
      </c>
      <c r="I66" s="2">
        <v>-0.018469610234406</v>
      </c>
      <c r="J66" s="2">
        <v>-0.016283114205114</v>
      </c>
      <c r="K66" s="2">
        <v>0.035955394326856</v>
      </c>
      <c r="L66" s="2">
        <v>-0.42234482178472</v>
      </c>
      <c r="M66" s="2">
        <v>-0.41955341033501</v>
      </c>
      <c r="N66" s="2">
        <v>564.2277832511</v>
      </c>
      <c r="O66" s="2">
        <v>637.70729807405</v>
      </c>
    </row>
    <row r="67" spans="1:15">
      <c r="A67" s="2">
        <v>12.406684939098</v>
      </c>
      <c r="B67" s="2">
        <v>0.035678823925751</v>
      </c>
      <c r="C67" s="2">
        <v>90.250278483936</v>
      </c>
      <c r="D67" s="2">
        <v>0.03777282503853</v>
      </c>
      <c r="E67" s="2">
        <v>5.4765470571921</v>
      </c>
      <c r="F67" s="2">
        <v>0.7974236548493</v>
      </c>
      <c r="G67" s="2">
        <v>51945403.141823</v>
      </c>
      <c r="H67" s="2">
        <v>10127456.344068</v>
      </c>
      <c r="I67" s="2">
        <v>-0.018774371633658</v>
      </c>
      <c r="J67" s="2">
        <v>-0.016554048408499</v>
      </c>
      <c r="K67" s="2">
        <v>0.036533707233128</v>
      </c>
      <c r="L67" s="2">
        <v>-0.42937263939392</v>
      </c>
      <c r="M67" s="2">
        <v>-0.42646458814603</v>
      </c>
      <c r="N67" s="2">
        <v>565.5315958132</v>
      </c>
      <c r="O67" s="2">
        <v>639.28160036816</v>
      </c>
    </row>
    <row r="68" spans="1:15">
      <c r="A68" s="2">
        <v>12.606684939098</v>
      </c>
      <c r="B68" s="2">
        <v>0.036282957383032</v>
      </c>
      <c r="C68" s="2">
        <v>90.2492585738</v>
      </c>
      <c r="D68" s="2">
        <v>0.038384149751728</v>
      </c>
      <c r="E68" s="2">
        <v>5.4815653222969</v>
      </c>
      <c r="F68" s="2">
        <v>0.79430132190456</v>
      </c>
      <c r="G68" s="2">
        <v>52661091.642644</v>
      </c>
      <c r="H68" s="2">
        <v>10247830.169567</v>
      </c>
      <c r="I68" s="2">
        <v>-0.01907892013444</v>
      </c>
      <c r="J68" s="2">
        <v>-0.016824867929909</v>
      </c>
      <c r="K68" s="2">
        <v>0.037111680465691</v>
      </c>
      <c r="L68" s="2">
        <v>-0.43644589521349</v>
      </c>
      <c r="M68" s="2">
        <v>-0.43342611339849</v>
      </c>
      <c r="N68" s="2">
        <v>566.82997943808</v>
      </c>
      <c r="O68" s="2">
        <v>640.84924063445</v>
      </c>
    </row>
    <row r="69" spans="1:15">
      <c r="A69" s="2">
        <v>12.806684939098</v>
      </c>
      <c r="B69" s="2">
        <v>0.036887083747037</v>
      </c>
      <c r="C69" s="2">
        <v>90.248241912433</v>
      </c>
      <c r="D69" s="2">
        <v>0.03899546338469</v>
      </c>
      <c r="E69" s="2">
        <v>5.4865890470244</v>
      </c>
      <c r="F69" s="2">
        <v>0.79118649704974</v>
      </c>
      <c r="G69" s="2">
        <v>53379256.485569</v>
      </c>
      <c r="H69" s="2">
        <v>10368571.872296</v>
      </c>
      <c r="I69" s="2">
        <v>-0.019383256473405</v>
      </c>
      <c r="J69" s="2">
        <v>-0.017095571867406</v>
      </c>
      <c r="K69" s="2">
        <v>0.037689314420093</v>
      </c>
      <c r="L69" s="2">
        <v>-0.44352233303676</v>
      </c>
      <c r="M69" s="2">
        <v>-0.44038675448774</v>
      </c>
      <c r="N69" s="2">
        <v>568.12313697556</v>
      </c>
      <c r="O69" s="2">
        <v>642.410538793</v>
      </c>
    </row>
    <row r="70" spans="1:15">
      <c r="A70" s="2">
        <v>13.006684939098</v>
      </c>
      <c r="B70" s="2">
        <v>0.037491208573925</v>
      </c>
      <c r="C70" s="2">
        <v>90.247228359849</v>
      </c>
      <c r="D70" s="2">
        <v>0.039606768250377</v>
      </c>
      <c r="E70" s="2">
        <v>5.4916175524453</v>
      </c>
      <c r="F70" s="2">
        <v>0.78807921348679</v>
      </c>
      <c r="G70" s="2">
        <v>54099870.718575</v>
      </c>
      <c r="H70" s="2">
        <v>10489676.997134</v>
      </c>
      <c r="I70" s="2">
        <v>-0.019687384185222</v>
      </c>
      <c r="J70" s="2">
        <v>-0.017366157723943</v>
      </c>
      <c r="K70" s="2">
        <v>0.038266609487342</v>
      </c>
      <c r="L70" s="2">
        <v>-0.45060932362436</v>
      </c>
      <c r="M70" s="2">
        <v>-0.4473645409918</v>
      </c>
      <c r="N70" s="2">
        <v>569.41074072003</v>
      </c>
      <c r="O70" s="2">
        <v>643.96506944393</v>
      </c>
    </row>
    <row r="71" spans="1:15">
      <c r="A71" s="2">
        <v>13.206684939098</v>
      </c>
      <c r="B71" s="2">
        <v>0.038095329690285</v>
      </c>
      <c r="C71" s="2">
        <v>90.246217599279</v>
      </c>
      <c r="D71" s="2">
        <v>0.040218065938673</v>
      </c>
      <c r="E71" s="2">
        <v>4.0904000464303</v>
      </c>
      <c r="F71" s="2">
        <v>0.78497974274317</v>
      </c>
      <c r="G71" s="2">
        <v>54822901.226041</v>
      </c>
      <c r="H71" s="2">
        <v>10611140.047214</v>
      </c>
      <c r="I71" s="2">
        <v>-0.019991306603077</v>
      </c>
      <c r="J71" s="2">
        <v>-0.017636621650079</v>
      </c>
      <c r="K71" s="2">
        <v>0.038843566062464</v>
      </c>
      <c r="L71" s="2">
        <v>-0.45771503848786</v>
      </c>
      <c r="M71" s="2">
        <v>-0.45434019885911</v>
      </c>
      <c r="N71" s="2">
        <v>570.69326081983</v>
      </c>
      <c r="O71" s="2">
        <v>645.51344778671</v>
      </c>
    </row>
    <row r="72" spans="1:15">
      <c r="A72" s="2">
        <v>13.406684939098</v>
      </c>
      <c r="B72" s="2">
        <v>0.038699450447198</v>
      </c>
      <c r="C72" s="2">
        <v>90.24520955467</v>
      </c>
      <c r="D72" s="2">
        <v>0.04082935842703</v>
      </c>
      <c r="E72" s="2">
        <v>4.0954360647217</v>
      </c>
      <c r="F72" s="2">
        <v>0.78188809554094</v>
      </c>
      <c r="G72" s="2">
        <v>55548318.897229</v>
      </c>
      <c r="H72" s="2">
        <v>10732956.204475</v>
      </c>
      <c r="I72" s="2">
        <v>-0.020295024841253</v>
      </c>
      <c r="J72" s="2">
        <v>-0.017906962954287</v>
      </c>
      <c r="K72" s="2">
        <v>0.039420184535954</v>
      </c>
      <c r="L72" s="2">
        <v>-0.46483608802878</v>
      </c>
      <c r="M72" s="2">
        <v>-0.46135192407634</v>
      </c>
      <c r="N72" s="2">
        <v>571.97068675301</v>
      </c>
      <c r="O72" s="2">
        <v>647.05569695574</v>
      </c>
    </row>
    <row r="73" spans="1:15">
      <c r="A73" s="2">
        <v>13.606684939098</v>
      </c>
      <c r="B73" s="2">
        <v>0.03930357432347</v>
      </c>
      <c r="C73" s="2">
        <v>90.244204113179</v>
      </c>
      <c r="D73" s="2">
        <v>0.041440647749205</v>
      </c>
      <c r="E73" s="2">
        <v>4.100475190758</v>
      </c>
      <c r="F73" s="2">
        <v>0.77880469438016</v>
      </c>
      <c r="G73" s="2">
        <v>56276097.797802</v>
      </c>
      <c r="H73" s="2">
        <v>10855121.198369</v>
      </c>
      <c r="I73" s="2">
        <v>-0.020598541201341</v>
      </c>
      <c r="J73" s="2">
        <v>-0.018177180440745</v>
      </c>
      <c r="K73" s="2">
        <v>0.039996465293477</v>
      </c>
      <c r="L73" s="2">
        <v>-0.47195648282639</v>
      </c>
      <c r="M73" s="2">
        <v>-0.46834801119216</v>
      </c>
      <c r="N73" s="2">
        <v>573.24260390409</v>
      </c>
      <c r="O73" s="2">
        <v>648.59140489355</v>
      </c>
    </row>
    <row r="74" spans="1:15">
      <c r="A74" s="2">
        <v>13.806684939098</v>
      </c>
      <c r="B74" s="2">
        <v>0.039907695551042</v>
      </c>
      <c r="C74" s="2">
        <v>90.243201056958</v>
      </c>
      <c r="D74" s="2">
        <v>0.042051934583681</v>
      </c>
      <c r="E74" s="2">
        <v>4.1055168019324</v>
      </c>
      <c r="F74" s="2">
        <v>0.77572965930607</v>
      </c>
      <c r="G74" s="2">
        <v>57006199.906322</v>
      </c>
      <c r="H74" s="2">
        <v>10977628.728395</v>
      </c>
      <c r="I74" s="2">
        <v>-0.020901855359862</v>
      </c>
      <c r="J74" s="2">
        <v>-0.01844727158435</v>
      </c>
      <c r="K74" s="2">
        <v>0.040572408740103</v>
      </c>
      <c r="L74" s="2">
        <v>-0.47910360861806</v>
      </c>
      <c r="M74" s="2">
        <v>-0.47537020739884</v>
      </c>
      <c r="N74" s="2">
        <v>574.51064467784</v>
      </c>
      <c r="O74" s="2">
        <v>650.1223698567</v>
      </c>
    </row>
    <row r="75" spans="1:15">
      <c r="A75" s="2">
        <v>14.006684939098</v>
      </c>
      <c r="B75" s="2">
        <v>0.04051182531638</v>
      </c>
      <c r="C75" s="2">
        <v>90.242199971889</v>
      </c>
      <c r="D75" s="2">
        <v>0.042663222159555</v>
      </c>
      <c r="E75" s="2">
        <v>4.1105605983786</v>
      </c>
      <c r="F75" s="2">
        <v>0.77266305873322</v>
      </c>
      <c r="G75" s="2">
        <v>57738607.751197</v>
      </c>
      <c r="H75" s="2">
        <v>11100475.945729</v>
      </c>
      <c r="I75" s="2">
        <v>-0.021204971047841</v>
      </c>
      <c r="J75" s="2">
        <v>-0.018717236991989</v>
      </c>
      <c r="K75" s="2">
        <v>0.041148015252305</v>
      </c>
      <c r="L75" s="2">
        <v>-0.48624936110021</v>
      </c>
      <c r="M75" s="2">
        <v>-0.48240048513208</v>
      </c>
      <c r="N75" s="2">
        <v>575.77287117164</v>
      </c>
      <c r="O75" s="2">
        <v>651.64659881985</v>
      </c>
    </row>
    <row r="76" spans="1:15">
      <c r="A76" s="2">
        <v>14.206684939098</v>
      </c>
      <c r="B76" s="2">
        <v>0.041115959904041</v>
      </c>
      <c r="C76" s="2">
        <v>90.241200578531</v>
      </c>
      <c r="D76" s="2">
        <v>0.043274511455232</v>
      </c>
      <c r="E76" s="2">
        <v>4.1156056885591</v>
      </c>
      <c r="F76" s="2">
        <v>0.76960480293325</v>
      </c>
      <c r="G76" s="2">
        <v>58473287.781963</v>
      </c>
      <c r="H76" s="2">
        <v>11223657.316332</v>
      </c>
      <c r="I76" s="2">
        <v>-0.021507889180397</v>
      </c>
      <c r="J76" s="2">
        <v>-0.018987073905026</v>
      </c>
      <c r="K76" s="2">
        <v>0.041723285232476</v>
      </c>
      <c r="L76" s="2">
        <v>-0.49343593803695</v>
      </c>
      <c r="M76" s="2">
        <v>-0.4894554016262</v>
      </c>
      <c r="N76" s="2">
        <v>577.0304111441</v>
      </c>
      <c r="O76" s="2">
        <v>653.16526292884</v>
      </c>
    </row>
    <row r="77" spans="1:15">
      <c r="A77" s="2">
        <v>14.406684939098</v>
      </c>
      <c r="B77" s="2">
        <v>0.041720098573778</v>
      </c>
      <c r="C77" s="2">
        <v>90.240202758991</v>
      </c>
      <c r="D77" s="2">
        <v>0.043885803406862</v>
      </c>
      <c r="E77" s="2">
        <v>4.1206518923888</v>
      </c>
      <c r="F77" s="2">
        <v>0.76655524537537</v>
      </c>
      <c r="G77" s="2">
        <v>59210210.506796</v>
      </c>
      <c r="H77" s="2">
        <v>11347167.985271</v>
      </c>
      <c r="I77" s="2">
        <v>-0.021810610882011</v>
      </c>
      <c r="J77" s="2">
        <v>-0.019256780812642</v>
      </c>
      <c r="K77" s="2">
        <v>0.042298219090278</v>
      </c>
      <c r="L77" s="2">
        <v>-0.50062831113757</v>
      </c>
      <c r="M77" s="2">
        <v>-0.49651997985032</v>
      </c>
      <c r="N77" s="2">
        <v>578.28361375129</v>
      </c>
      <c r="O77" s="2">
        <v>654.67880614037</v>
      </c>
    </row>
    <row r="78" spans="1:15">
      <c r="A78" s="2">
        <v>14.606684939098</v>
      </c>
      <c r="B78" s="2">
        <v>0.042324247378356</v>
      </c>
      <c r="C78" s="2">
        <v>90.239206357445</v>
      </c>
      <c r="D78" s="2">
        <v>0.044497100423501</v>
      </c>
      <c r="E78" s="2">
        <v>4.1256983668592</v>
      </c>
      <c r="F78" s="2">
        <v>0.76351417194171</v>
      </c>
      <c r="G78" s="2">
        <v>59949352.365204</v>
      </c>
      <c r="H78" s="2">
        <v>11471004.091056</v>
      </c>
      <c r="I78" s="2">
        <v>-0.022113137049617</v>
      </c>
      <c r="J78" s="2">
        <v>-0.019526358163194</v>
      </c>
      <c r="K78" s="2">
        <v>0.042872817193202</v>
      </c>
      <c r="L78" s="2">
        <v>-0.50782466828993</v>
      </c>
      <c r="M78" s="2">
        <v>-0.50358744034046</v>
      </c>
      <c r="N78" s="2">
        <v>579.53195540026</v>
      </c>
      <c r="O78" s="2">
        <v>656.18659042032</v>
      </c>
    </row>
    <row r="79" spans="1:15">
      <c r="A79" s="2">
        <v>14.806684939098</v>
      </c>
      <c r="B79" s="2">
        <v>0.042928408126443</v>
      </c>
      <c r="C79" s="2">
        <v>90.23821100085</v>
      </c>
      <c r="D79" s="2">
        <v>0.045108403623321</v>
      </c>
      <c r="E79" s="2">
        <v>4.1307448718137</v>
      </c>
      <c r="F79" s="2">
        <v>0.76048168062747</v>
      </c>
      <c r="G79" s="2">
        <v>60690687.689099</v>
      </c>
      <c r="H79" s="2">
        <v>11595161.424486</v>
      </c>
      <c r="I79" s="2">
        <v>-0.022415469241223</v>
      </c>
      <c r="J79" s="2">
        <v>-0.0197958052104</v>
      </c>
      <c r="K79" s="2">
        <v>0.043447079949836</v>
      </c>
      <c r="L79" s="2">
        <v>-0.51502545740558</v>
      </c>
      <c r="M79" s="2">
        <v>-0.5106443340379</v>
      </c>
      <c r="N79" s="2">
        <v>580.77523460032</v>
      </c>
      <c r="O79" s="2">
        <v>657.6885124137</v>
      </c>
    </row>
    <row r="80" spans="1:15">
      <c r="A80" s="2">
        <v>15.006684939098</v>
      </c>
      <c r="B80" s="2">
        <v>0.043532581025936</v>
      </c>
      <c r="C80" s="2">
        <v>90.237216820173</v>
      </c>
      <c r="D80" s="2">
        <v>0.045719714271587</v>
      </c>
      <c r="E80" s="2">
        <v>4.1357911424309</v>
      </c>
      <c r="F80" s="2">
        <v>0.7574580062659</v>
      </c>
      <c r="G80" s="2">
        <v>61434187.796837</v>
      </c>
      <c r="H80" s="2">
        <v>11719635.270951</v>
      </c>
      <c r="I80" s="2">
        <v>-0.022717607554674</v>
      </c>
      <c r="J80" s="2">
        <v>-0.020065122058792</v>
      </c>
      <c r="K80" s="2">
        <v>0.044021007751858</v>
      </c>
      <c r="L80" s="2">
        <v>-0.52226216623458</v>
      </c>
      <c r="M80" s="2">
        <v>-0.51775175430004</v>
      </c>
      <c r="N80" s="2">
        <v>582.01365878388</v>
      </c>
      <c r="O80" s="2">
        <v>659.1848813036</v>
      </c>
    </row>
    <row r="81" spans="1:15">
      <c r="A81" s="2">
        <v>15.206684939098</v>
      </c>
      <c r="B81" s="2">
        <v>0.044136763701907</v>
      </c>
      <c r="C81" s="2">
        <v>90.236223645947</v>
      </c>
      <c r="D81" s="2">
        <v>0.046331033018871</v>
      </c>
      <c r="E81" s="2">
        <v>4.1408360993609</v>
      </c>
      <c r="F81" s="2">
        <v>0.75444274534066</v>
      </c>
      <c r="G81" s="2">
        <v>62179822.305426</v>
      </c>
      <c r="H81" s="2">
        <v>11844420.63153</v>
      </c>
      <c r="I81" s="2">
        <v>-0.023019553020259</v>
      </c>
      <c r="J81" s="2">
        <v>-0.020334306296785</v>
      </c>
      <c r="K81" s="2">
        <v>0.044594601012891</v>
      </c>
      <c r="L81" s="2">
        <v>-0.52951190380979</v>
      </c>
      <c r="M81" s="2">
        <v>-0.52486823162814</v>
      </c>
      <c r="N81" s="2">
        <v>583.24800805791</v>
      </c>
      <c r="O81" s="2">
        <v>660.67647586617</v>
      </c>
    </row>
    <row r="82" spans="1:15">
      <c r="A82" s="2">
        <v>15.406684939098</v>
      </c>
      <c r="B82" s="2">
        <v>0.044740962747827</v>
      </c>
      <c r="C82" s="2">
        <v>90.235231139324</v>
      </c>
      <c r="D82" s="2">
        <v>0.046942362209017</v>
      </c>
      <c r="E82" s="2">
        <v>4.1458799331468</v>
      </c>
      <c r="F82" s="2">
        <v>0.75143636982497</v>
      </c>
      <c r="G82" s="2">
        <v>62927571.505345</v>
      </c>
      <c r="H82" s="2">
        <v>11969514.304413</v>
      </c>
      <c r="I82" s="2">
        <v>-0.023321306866046</v>
      </c>
      <c r="J82" s="2">
        <v>-0.020603359515459</v>
      </c>
      <c r="K82" s="2">
        <v>0.045167860120966</v>
      </c>
      <c r="L82" s="2">
        <v>-0.53678478381916</v>
      </c>
      <c r="M82" s="2">
        <v>-0.53199599057084</v>
      </c>
      <c r="N82" s="2">
        <v>584.47714163835</v>
      </c>
      <c r="O82" s="2">
        <v>662.16209637769</v>
      </c>
    </row>
    <row r="83" spans="1:15">
      <c r="A83" s="2">
        <v>15.606684939098</v>
      </c>
      <c r="B83" s="2">
        <v>0.045345175900881</v>
      </c>
      <c r="C83" s="2">
        <v>90.234239483198</v>
      </c>
      <c r="D83" s="2">
        <v>0.047553702484265</v>
      </c>
      <c r="E83" s="2">
        <v>4.1509223092532</v>
      </c>
      <c r="F83" s="2">
        <v>0.74843896132821</v>
      </c>
      <c r="G83" s="2">
        <v>63677405.650344</v>
      </c>
      <c r="H83" s="2">
        <v>12094911.397582</v>
      </c>
      <c r="I83" s="2">
        <v>-0.023622869335069</v>
      </c>
      <c r="J83" s="2">
        <v>-0.020872280720723</v>
      </c>
      <c r="K83" s="2">
        <v>0.045740785469777</v>
      </c>
      <c r="L83" s="2">
        <v>-0.54412760473888</v>
      </c>
      <c r="M83" s="2">
        <v>-0.53917113055843</v>
      </c>
      <c r="N83" s="2">
        <v>585.70169370764</v>
      </c>
      <c r="O83" s="2">
        <v>663.64245387637</v>
      </c>
    </row>
    <row r="84" spans="1:15">
      <c r="A84" s="2">
        <v>15.806684939098</v>
      </c>
      <c r="B84" s="2">
        <v>0.045949399950677</v>
      </c>
      <c r="C84" s="2">
        <v>90.233248630658</v>
      </c>
      <c r="D84" s="2">
        <v>0.048165054097166</v>
      </c>
      <c r="E84" s="2">
        <v>4.1559631488016</v>
      </c>
      <c r="F84" s="2">
        <v>0.74545046552047</v>
      </c>
      <c r="G84" s="2">
        <v>64429291.699242</v>
      </c>
      <c r="H84" s="2">
        <v>12220606.464772</v>
      </c>
      <c r="I84" s="2">
        <v>-0.023924240035214</v>
      </c>
      <c r="J84" s="2">
        <v>-0.021141067673656</v>
      </c>
      <c r="K84" s="2">
        <v>0.046313377451734</v>
      </c>
      <c r="L84" s="2">
        <v>-0.55136955948647</v>
      </c>
      <c r="M84" s="2">
        <v>-0.54628457529612</v>
      </c>
      <c r="N84" s="2">
        <v>586.92281717898</v>
      </c>
      <c r="O84" s="2">
        <v>665.11870987351</v>
      </c>
    </row>
    <row r="85" spans="1:15">
      <c r="A85" s="2">
        <v>16.006684939098</v>
      </c>
      <c r="B85" s="2">
        <v>0.046553641985578</v>
      </c>
      <c r="C85" s="2">
        <v>90.232258401974</v>
      </c>
      <c r="D85" s="2">
        <v>0.048776419576776</v>
      </c>
      <c r="E85" s="2">
        <v>4.1610020755145</v>
      </c>
      <c r="F85" s="2">
        <v>0.74247084803447</v>
      </c>
      <c r="G85" s="2">
        <v>65183213.583383</v>
      </c>
      <c r="H85" s="2">
        <v>12346596.907031</v>
      </c>
      <c r="I85" s="2">
        <v>-0.024225421477127</v>
      </c>
      <c r="J85" s="2">
        <v>-0.021409722801063</v>
      </c>
      <c r="K85" s="2">
        <v>0.046885636462666</v>
      </c>
      <c r="L85" s="2">
        <v>-0.55868716370952</v>
      </c>
      <c r="M85" s="2">
        <v>-0.55344961750545</v>
      </c>
      <c r="N85" s="2">
        <v>588.13869379467</v>
      </c>
      <c r="O85" s="2">
        <v>666.58905781546</v>
      </c>
    </row>
    <row r="86" spans="1:15">
      <c r="A86" s="2">
        <v>16.206684939098</v>
      </c>
      <c r="B86" s="2">
        <v>0.047157901482521</v>
      </c>
      <c r="C86" s="2">
        <v>90.231268709867</v>
      </c>
      <c r="D86" s="2">
        <v>0.049387800065303</v>
      </c>
      <c r="E86" s="2">
        <v>4.1660391432274</v>
      </c>
      <c r="F86" s="2">
        <v>0.73950031783457</v>
      </c>
      <c r="G86" s="2">
        <v>65939140.941532</v>
      </c>
      <c r="H86" s="2">
        <v>12472877.737788</v>
      </c>
      <c r="I86" s="2">
        <v>-0.024526413318592</v>
      </c>
      <c r="J86" s="2">
        <v>-0.021678244286034</v>
      </c>
      <c r="K86" s="2">
        <v>0.047457562893532</v>
      </c>
      <c r="L86" s="2">
        <v>-0.56601405793023</v>
      </c>
      <c r="M86" s="2">
        <v>-0.56061896201844</v>
      </c>
      <c r="N86" s="2">
        <v>589.35034859365</v>
      </c>
      <c r="O86" s="2">
        <v>668.05452368306</v>
      </c>
    </row>
    <row r="87" spans="1:15">
      <c r="A87" s="2">
        <v>16.406684939098</v>
      </c>
      <c r="B87" s="2">
        <v>0.047762177993035</v>
      </c>
      <c r="C87" s="2">
        <v>90.230279383386</v>
      </c>
      <c r="D87" s="2">
        <v>0.049999196621019</v>
      </c>
      <c r="E87" s="2">
        <v>4.1710742504667</v>
      </c>
      <c r="F87" s="2">
        <v>0.73653895750492</v>
      </c>
      <c r="G87" s="2">
        <v>66697047.597042</v>
      </c>
      <c r="H87" s="2">
        <v>12599444.671996</v>
      </c>
      <c r="I87" s="2">
        <v>-0.024827215940468</v>
      </c>
      <c r="J87" s="2">
        <v>-0.021946632497002</v>
      </c>
      <c r="K87" s="2">
        <v>0.048029157127796</v>
      </c>
      <c r="L87" s="2">
        <v>-0.57337792097558</v>
      </c>
      <c r="M87" s="2">
        <v>-0.56783757993415</v>
      </c>
      <c r="N87" s="2">
        <v>590.55774371709</v>
      </c>
      <c r="O87" s="2">
        <v>669.51526616137</v>
      </c>
    </row>
    <row r="88" spans="1:15">
      <c r="A88" s="2">
        <v>16.606684939098</v>
      </c>
      <c r="B88" s="2">
        <v>0.048366471860119</v>
      </c>
      <c r="C88" s="2">
        <v>90.229290545834</v>
      </c>
      <c r="D88" s="2">
        <v>0.050610610180042</v>
      </c>
      <c r="E88" s="2">
        <v>4.1761077024668</v>
      </c>
      <c r="F88" s="2">
        <v>0.7335870384681</v>
      </c>
      <c r="G88" s="2">
        <v>67456906.992911</v>
      </c>
      <c r="H88" s="2">
        <v>12726293.360333</v>
      </c>
      <c r="I88" s="2">
        <v>-0.025127830874816</v>
      </c>
      <c r="J88" s="2">
        <v>-0.022214885209464</v>
      </c>
      <c r="K88" s="2">
        <v>0.048600419540219</v>
      </c>
      <c r="L88" s="2">
        <v>-0.58075588125309</v>
      </c>
      <c r="M88" s="2">
        <v>-0.57505016689416</v>
      </c>
      <c r="N88" s="2">
        <v>591.76129828309</v>
      </c>
      <c r="O88" s="2">
        <v>670.97165434973</v>
      </c>
    </row>
    <row r="89" spans="1:15">
      <c r="A89" s="2">
        <v>16.806684939098</v>
      </c>
      <c r="B89" s="2">
        <v>0.048970789216271</v>
      </c>
      <c r="C89" s="2">
        <v>90.228302362119</v>
      </c>
      <c r="D89" s="2">
        <v>0.051222042507174</v>
      </c>
      <c r="E89" s="2">
        <v>4.181138808602</v>
      </c>
      <c r="F89" s="2">
        <v>0.73064424488744</v>
      </c>
      <c r="G89" s="2">
        <v>68218700.919462</v>
      </c>
      <c r="H89" s="2">
        <v>12853420.859549</v>
      </c>
      <c r="I89" s="2">
        <v>-0.025428259134589</v>
      </c>
      <c r="J89" s="2">
        <v>-0.022483004218568</v>
      </c>
      <c r="K89" s="2">
        <v>0.049171350523451</v>
      </c>
      <c r="L89" s="2">
        <v>-0.58815616245872</v>
      </c>
      <c r="M89" s="2">
        <v>-0.58231165951924</v>
      </c>
      <c r="N89" s="2">
        <v>592.95990504681</v>
      </c>
      <c r="O89" s="2">
        <v>672.42251963305</v>
      </c>
    </row>
    <row r="90" spans="1:15">
      <c r="A90" s="2">
        <v>17</v>
      </c>
      <c r="B90" s="2">
        <v>0.049554809199571</v>
      </c>
      <c r="C90" s="2">
        <v>90.227349836286</v>
      </c>
      <c r="D90" s="2">
        <v>0.051813042938449</v>
      </c>
      <c r="E90" s="2">
        <v>4.1859993837138</v>
      </c>
      <c r="F90" s="2">
        <v>0.7278094296128</v>
      </c>
      <c r="G90" s="2">
        <v>68956691.982775</v>
      </c>
      <c r="H90" s="2">
        <v>12976534.329332</v>
      </c>
      <c r="I90" s="2">
        <v>-0.025718442413913</v>
      </c>
      <c r="J90" s="2">
        <v>-0.0227420114897</v>
      </c>
      <c r="K90" s="2">
        <v>0.049722883742417</v>
      </c>
      <c r="L90" s="2">
        <v>-0.59487731666896</v>
      </c>
      <c r="M90" s="2">
        <v>-0.58882153639976</v>
      </c>
      <c r="N90" s="2">
        <v>594.13729149477</v>
      </c>
      <c r="O90" s="2">
        <v>673.84438681578</v>
      </c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0"/>
  <sheetViews>
    <sheetView workbookViewId="0">
      <selection activeCell="A1" sqref="A1:O90"/>
    </sheetView>
  </sheetViews>
  <sheetFormatPr defaultColWidth="8.8" defaultRowHeight="15"/>
  <cols>
    <col min="1" max="8" width="12.5037037037037" style="4"/>
    <col min="9" max="14" width="13.6" style="4"/>
    <col min="15" max="15" width="12.5037037037037" style="4"/>
    <col min="16" max="16384" width="8.8" style="4"/>
  </cols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="4" customFormat="1" spans="1:15">
      <c r="A3" s="2">
        <v>0.0025830812468784</v>
      </c>
      <c r="B3" s="3">
        <v>1.4216508212242e-48</v>
      </c>
      <c r="C3" s="2">
        <v>90.287234761845</v>
      </c>
      <c r="D3" s="3">
        <v>6.8929657171565e-6</v>
      </c>
      <c r="E3" s="2">
        <v>6.610782435536</v>
      </c>
      <c r="F3" s="2">
        <v>0.99203966903596</v>
      </c>
      <c r="G3" s="2">
        <v>16000000</v>
      </c>
      <c r="H3" s="2">
        <v>4000000</v>
      </c>
      <c r="I3" s="3">
        <v>-2.0648004110352e-6</v>
      </c>
      <c r="J3" s="3">
        <v>-1.8842559712041e-6</v>
      </c>
      <c r="K3" s="3">
        <v>7.7492133262395e-6</v>
      </c>
      <c r="L3" s="3">
        <v>-1.0513108954778e-7</v>
      </c>
      <c r="M3" s="3">
        <v>-1.0446894710048e-7</v>
      </c>
      <c r="N3" s="2">
        <v>1.7694987586654</v>
      </c>
      <c r="O3" s="2">
        <v>1.8493695870376</v>
      </c>
    </row>
    <row r="4" s="4" customFormat="1" spans="1:15">
      <c r="A4" s="2">
        <v>0.018444056862426</v>
      </c>
      <c r="B4" s="3">
        <v>4.4336392430468e-42</v>
      </c>
      <c r="C4" s="2">
        <v>90.287526426689</v>
      </c>
      <c r="D4" s="3">
        <v>4.9219785544405e-5</v>
      </c>
      <c r="E4" s="2">
        <v>6.6107896979146</v>
      </c>
      <c r="F4" s="2">
        <v>0.99209135600366</v>
      </c>
      <c r="G4" s="2">
        <v>16000000</v>
      </c>
      <c r="H4" s="2">
        <v>4000000</v>
      </c>
      <c r="I4" s="3">
        <v>-1.4745476034498e-5</v>
      </c>
      <c r="J4" s="3">
        <v>-1.3456155085895e-5</v>
      </c>
      <c r="K4" s="3">
        <v>5.5330619976925e-5</v>
      </c>
      <c r="L4" s="3">
        <v>-5.3563919340824e-6</v>
      </c>
      <c r="M4" s="3">
        <v>-5.3231057827881e-6</v>
      </c>
      <c r="N4" s="2">
        <v>12.63811932424</v>
      </c>
      <c r="O4" s="2">
        <v>13.208378406224</v>
      </c>
    </row>
    <row r="5" s="4" customFormat="1" spans="1:15">
      <c r="A5" s="2">
        <v>0.1</v>
      </c>
      <c r="B5" s="3">
        <v>4.2333003647297e-29</v>
      </c>
      <c r="C5" s="2">
        <v>90.289067280297</v>
      </c>
      <c r="D5" s="2">
        <v>0.00026691142683</v>
      </c>
      <c r="E5" s="2">
        <v>6.6108264994721</v>
      </c>
      <c r="F5" s="2">
        <v>0.99235687738115</v>
      </c>
      <c r="G5" s="2">
        <v>16000000</v>
      </c>
      <c r="H5" s="2">
        <v>4000000</v>
      </c>
      <c r="I5" s="3">
        <v>-8.0014513038001e-5</v>
      </c>
      <c r="J5" s="3">
        <v>-7.3018509833653e-5</v>
      </c>
      <c r="K5" s="2">
        <v>0.00029995442567447</v>
      </c>
      <c r="L5" s="2">
        <v>-0.00015593599868326</v>
      </c>
      <c r="M5" s="2">
        <v>-0.00015510809455539</v>
      </c>
      <c r="N5" s="2">
        <v>68.6249120697</v>
      </c>
      <c r="O5" s="2">
        <v>71.71549736156</v>
      </c>
    </row>
    <row r="6" s="4" customFormat="1" spans="1:15">
      <c r="A6" s="2">
        <v>0.20668493909835</v>
      </c>
      <c r="B6" s="3">
        <v>5.9401968845463e-21</v>
      </c>
      <c r="C6" s="2">
        <v>90.291195691174</v>
      </c>
      <c r="D6" s="2">
        <v>0.00055179641520561</v>
      </c>
      <c r="E6" s="2">
        <v>6.6108734702682</v>
      </c>
      <c r="F6" s="2">
        <v>0.9927036142376</v>
      </c>
      <c r="G6" s="2">
        <v>16000000</v>
      </c>
      <c r="H6" s="2">
        <v>4000000</v>
      </c>
      <c r="I6" s="2">
        <v>-0.00016553927120398</v>
      </c>
      <c r="J6" s="2">
        <v>-0.00015106632963331</v>
      </c>
      <c r="K6" s="2">
        <v>0.00061986017284069</v>
      </c>
      <c r="L6" s="2">
        <v>-0.00066985629816835</v>
      </c>
      <c r="M6" s="2">
        <v>-0.00066620378372793</v>
      </c>
      <c r="N6" s="2">
        <v>142.08960225838</v>
      </c>
      <c r="O6" s="2">
        <v>148.47398568058</v>
      </c>
    </row>
    <row r="7" s="4" customFormat="1" spans="1:15">
      <c r="A7" s="2">
        <v>0.40668493909835</v>
      </c>
      <c r="B7" s="3">
        <v>5.7360772626943e-11</v>
      </c>
      <c r="C7" s="2">
        <v>90.295590887199</v>
      </c>
      <c r="D7" s="2">
        <v>0.0010862616417212</v>
      </c>
      <c r="E7" s="2">
        <v>6.610957220686</v>
      </c>
      <c r="F7" s="2">
        <v>0.99335168097349</v>
      </c>
      <c r="G7" s="2">
        <v>16000000.030727</v>
      </c>
      <c r="H7" s="2">
        <v>4000000.0053394</v>
      </c>
      <c r="I7" s="2">
        <v>-0.00032640140916003</v>
      </c>
      <c r="J7" s="2">
        <v>-0.00029786776466915</v>
      </c>
      <c r="K7" s="2">
        <v>0.0012193015256204</v>
      </c>
      <c r="L7" s="2">
        <v>-0.0025949797844092</v>
      </c>
      <c r="M7" s="2">
        <v>-0.0025820259857722</v>
      </c>
      <c r="N7" s="2">
        <v>280.62322067128</v>
      </c>
      <c r="O7" s="2">
        <v>293.17312997157</v>
      </c>
    </row>
    <row r="8" s="4" customFormat="1" spans="1:15">
      <c r="A8" s="2">
        <v>0.60668493909835</v>
      </c>
      <c r="B8" s="3">
        <v>1.9598067210748e-5</v>
      </c>
      <c r="C8" s="2">
        <v>90.300443479166</v>
      </c>
      <c r="D8" s="2">
        <v>0.0016238715500178</v>
      </c>
      <c r="E8" s="2">
        <v>6.6111736218745</v>
      </c>
      <c r="F8" s="2">
        <v>0.99388780916705</v>
      </c>
      <c r="G8" s="2">
        <v>16010572.704411</v>
      </c>
      <c r="H8" s="2">
        <v>4001836.9409893</v>
      </c>
      <c r="I8" s="2">
        <v>-0.00049331353206414</v>
      </c>
      <c r="J8" s="2">
        <v>-0.0004480964542328</v>
      </c>
      <c r="K8" s="2">
        <v>0.0018183789379284</v>
      </c>
      <c r="L8" s="2">
        <v>-0.0066837802593447</v>
      </c>
      <c r="M8" s="2">
        <v>-0.0064574731101822</v>
      </c>
      <c r="N8" s="2">
        <v>416.24673678504</v>
      </c>
      <c r="O8" s="2">
        <v>435.0469389749</v>
      </c>
    </row>
    <row r="9" spans="1:15">
      <c r="A9" s="2">
        <v>0.80668493909835</v>
      </c>
      <c r="B9" s="2">
        <v>0.00040348976964098</v>
      </c>
      <c r="C9" s="2">
        <v>90.303340171088</v>
      </c>
      <c r="D9" s="2">
        <v>0.0022005043289947</v>
      </c>
      <c r="E9" s="2">
        <v>6.6156503458025</v>
      </c>
      <c r="F9" s="2">
        <v>0.99339688276003</v>
      </c>
      <c r="G9" s="2">
        <v>16230448.398825</v>
      </c>
      <c r="H9" s="2">
        <v>4040017.6217484</v>
      </c>
      <c r="I9" s="2">
        <v>-0.00074002280100661</v>
      </c>
      <c r="J9" s="2">
        <v>-0.00066348151634115</v>
      </c>
      <c r="K9" s="2">
        <v>0.002417091890809</v>
      </c>
      <c r="L9" s="2">
        <v>-0.016459941920819</v>
      </c>
      <c r="M9" s="2">
        <v>-0.015724192134161</v>
      </c>
      <c r="N9" s="2">
        <v>482.86231650393</v>
      </c>
      <c r="O9" s="2">
        <v>509.06997024592</v>
      </c>
    </row>
    <row r="10" spans="1:15">
      <c r="A10" s="2">
        <v>1.0066849390983</v>
      </c>
      <c r="B10" s="2">
        <v>0.0010000301227342</v>
      </c>
      <c r="C10" s="2">
        <v>90.306815616134</v>
      </c>
      <c r="D10" s="2">
        <v>0.0028000394872848</v>
      </c>
      <c r="E10" s="2">
        <v>6.6199623178761</v>
      </c>
      <c r="F10" s="2">
        <v>0.99170805259894</v>
      </c>
      <c r="G10" s="2">
        <v>16601807.853996</v>
      </c>
      <c r="H10" s="2">
        <v>4104445.7555995</v>
      </c>
      <c r="I10" s="2">
        <v>-0.0010324212413315</v>
      </c>
      <c r="J10" s="2">
        <v>-0.00092179868228098</v>
      </c>
      <c r="K10" s="2">
        <v>0.0030154415516216</v>
      </c>
      <c r="L10" s="2">
        <v>-0.016162173631945</v>
      </c>
      <c r="M10" s="2">
        <v>-0.015483110058851</v>
      </c>
      <c r="N10" s="2">
        <v>506.32324627201</v>
      </c>
      <c r="O10" s="2">
        <v>540.52085841158</v>
      </c>
    </row>
    <row r="11" spans="1:15">
      <c r="A11" s="2">
        <v>1.2066849390983</v>
      </c>
      <c r="B11" s="2">
        <v>0.0016168245393989</v>
      </c>
      <c r="C11" s="2">
        <v>90.308384931138</v>
      </c>
      <c r="D11" s="2">
        <v>0.0034086797759874</v>
      </c>
      <c r="E11" s="2">
        <v>6.6232763471356</v>
      </c>
      <c r="F11" s="2">
        <v>0.98862047639769</v>
      </c>
      <c r="G11" s="2">
        <v>17021419.344389</v>
      </c>
      <c r="H11" s="2">
        <v>4177183.0766913</v>
      </c>
      <c r="I11" s="2">
        <v>-0.0013370187862387</v>
      </c>
      <c r="J11" s="2">
        <v>-0.0011877291796465</v>
      </c>
      <c r="K11" s="2">
        <v>0.0036134265068695</v>
      </c>
      <c r="L11" s="2">
        <v>-0.027465040820057</v>
      </c>
      <c r="M11" s="2">
        <v>-0.027237534742777</v>
      </c>
      <c r="N11" s="2">
        <v>519.98360823818</v>
      </c>
      <c r="O11" s="2">
        <v>561.35203826608</v>
      </c>
    </row>
    <row r="12" spans="1:15">
      <c r="A12" s="2">
        <v>1.4066849390983</v>
      </c>
      <c r="B12" s="2">
        <v>0.0022321724452725</v>
      </c>
      <c r="C12" s="2">
        <v>90.308849668088</v>
      </c>
      <c r="D12" s="2">
        <v>0.0040218702137516</v>
      </c>
      <c r="E12" s="2">
        <v>6.6269157150763</v>
      </c>
      <c r="F12" s="2">
        <v>0.98491153094211</v>
      </c>
      <c r="G12" s="2">
        <v>17470414.894018</v>
      </c>
      <c r="H12" s="2">
        <v>4254956.1532785</v>
      </c>
      <c r="I12" s="2">
        <v>-0.0016451508815057</v>
      </c>
      <c r="J12" s="2">
        <v>-0.0014589055911122</v>
      </c>
      <c r="K12" s="2">
        <v>0.0042110451620411</v>
      </c>
      <c r="L12" s="2">
        <v>-0.036914087900894</v>
      </c>
      <c r="M12" s="2">
        <v>-0.036487896073243</v>
      </c>
      <c r="N12" s="2">
        <v>529.17042306872</v>
      </c>
      <c r="O12" s="2">
        <v>576.36457908591</v>
      </c>
    </row>
    <row r="13" spans="1:15">
      <c r="A13" s="2">
        <v>1.6066849390983</v>
      </c>
      <c r="B13" s="2">
        <v>0.0028429385916136</v>
      </c>
      <c r="C13" s="2">
        <v>90.308595669794</v>
      </c>
      <c r="D13" s="2">
        <v>0.0046371099300062</v>
      </c>
      <c r="E13" s="2">
        <v>6.6307502599694</v>
      </c>
      <c r="F13" s="2">
        <v>0.98093043635219</v>
      </c>
      <c r="G13" s="2">
        <v>17942976.036356</v>
      </c>
      <c r="H13" s="2">
        <v>4336756.4707042</v>
      </c>
      <c r="I13" s="2">
        <v>-0.001955257881393</v>
      </c>
      <c r="J13" s="2">
        <v>-0.0017335102457462</v>
      </c>
      <c r="K13" s="2">
        <v>0.004808299140964</v>
      </c>
      <c r="L13" s="2">
        <v>-0.047740089917188</v>
      </c>
      <c r="M13" s="2">
        <v>-0.047677240405768</v>
      </c>
      <c r="N13" s="2">
        <v>535.50715444532</v>
      </c>
      <c r="O13" s="2">
        <v>586.92426341465</v>
      </c>
    </row>
    <row r="14" spans="1:15">
      <c r="A14" s="2">
        <v>1.8066849390983</v>
      </c>
      <c r="B14" s="2">
        <v>0.0034510608572818</v>
      </c>
      <c r="C14" s="2">
        <v>90.307932353096</v>
      </c>
      <c r="D14" s="2">
        <v>0.0052532454371245</v>
      </c>
      <c r="E14" s="2">
        <v>6.6346634743561</v>
      </c>
      <c r="F14" s="2">
        <v>0.97692106923952</v>
      </c>
      <c r="G14" s="2">
        <v>18431994.462396</v>
      </c>
      <c r="H14" s="2">
        <v>4421348.4711924</v>
      </c>
      <c r="I14" s="2">
        <v>-0.0022672622626741</v>
      </c>
      <c r="J14" s="2">
        <v>-0.0020089542147213</v>
      </c>
      <c r="K14" s="2">
        <v>0.0054051894849694</v>
      </c>
      <c r="L14" s="2">
        <v>-0.057741922074883</v>
      </c>
      <c r="M14" s="2">
        <v>-0.058179703487502</v>
      </c>
      <c r="N14" s="2">
        <v>540.29778180294</v>
      </c>
      <c r="O14" s="2">
        <v>594.81642023903</v>
      </c>
    </row>
    <row r="15" spans="1:15">
      <c r="A15" s="2">
        <v>2.0066849390983</v>
      </c>
      <c r="B15" s="2">
        <v>0.0040576672247782</v>
      </c>
      <c r="C15" s="2">
        <v>90.307000542778</v>
      </c>
      <c r="D15" s="2">
        <v>0.0058696354331926</v>
      </c>
      <c r="E15" s="2">
        <v>6.6386534900913</v>
      </c>
      <c r="F15" s="2">
        <v>0.97287884643835</v>
      </c>
      <c r="G15" s="2">
        <v>18933278.255258</v>
      </c>
      <c r="H15" s="2">
        <v>4508003.2746532</v>
      </c>
      <c r="I15" s="2">
        <v>-0.0025808142453766</v>
      </c>
      <c r="J15" s="2">
        <v>-0.0022842456147525</v>
      </c>
      <c r="K15" s="2">
        <v>0.0060017172733592</v>
      </c>
      <c r="L15" s="2">
        <v>-0.066255896166487</v>
      </c>
      <c r="M15" s="2">
        <v>-0.066376038364484</v>
      </c>
      <c r="N15" s="2">
        <v>544.20205133385</v>
      </c>
      <c r="O15" s="2">
        <v>601.08857575085</v>
      </c>
    </row>
    <row r="16" spans="1:15">
      <c r="A16" s="2">
        <v>2.2066849390983</v>
      </c>
      <c r="B16" s="2">
        <v>0.0046634593908165</v>
      </c>
      <c r="C16" s="2">
        <v>90.305920619026</v>
      </c>
      <c r="D16" s="2">
        <v>0.0064859465788168</v>
      </c>
      <c r="E16" s="2">
        <v>6.6426794278498</v>
      </c>
      <c r="F16" s="2">
        <v>0.96886061259974</v>
      </c>
      <c r="G16" s="2">
        <v>19444441.562235</v>
      </c>
      <c r="H16" s="2">
        <v>4596305.8317854</v>
      </c>
      <c r="I16" s="2">
        <v>-0.0028955955733701</v>
      </c>
      <c r="J16" s="2">
        <v>-0.0025590613269928</v>
      </c>
      <c r="K16" s="2">
        <v>0.0065978842970681</v>
      </c>
      <c r="L16" s="2">
        <v>-0.074986558164178</v>
      </c>
      <c r="M16" s="2">
        <v>-0.075465828093917</v>
      </c>
      <c r="N16" s="2">
        <v>547.54277440035</v>
      </c>
      <c r="O16" s="2">
        <v>606.30920339223</v>
      </c>
    </row>
    <row r="17" spans="1:15">
      <c r="A17" s="2">
        <v>2.4066849390983</v>
      </c>
      <c r="B17" s="2">
        <v>0.0052690802492429</v>
      </c>
      <c r="C17" s="2">
        <v>90.304796104427</v>
      </c>
      <c r="D17" s="2">
        <v>0.0071020576592229</v>
      </c>
      <c r="E17" s="2">
        <v>6.6467134971719</v>
      </c>
      <c r="F17" s="2">
        <v>0.964898190929</v>
      </c>
      <c r="G17" s="2">
        <v>19963713.606479</v>
      </c>
      <c r="H17" s="2">
        <v>4685948.207175</v>
      </c>
      <c r="I17" s="2">
        <v>-0.0032109649647013</v>
      </c>
      <c r="J17" s="2">
        <v>-0.0028336336192319</v>
      </c>
      <c r="K17" s="2">
        <v>0.0071936911747711</v>
      </c>
      <c r="L17" s="2">
        <v>-0.084607647790479</v>
      </c>
      <c r="M17" s="2">
        <v>-0.086800214528917</v>
      </c>
      <c r="N17" s="2">
        <v>550.52832007446</v>
      </c>
      <c r="O17" s="2">
        <v>610.87890337719</v>
      </c>
    </row>
    <row r="18" spans="1:15">
      <c r="A18" s="2">
        <v>2.6066849390983</v>
      </c>
      <c r="B18" s="2">
        <v>0.0058746707672575</v>
      </c>
      <c r="C18" s="2">
        <v>90.303649241112</v>
      </c>
      <c r="D18" s="2">
        <v>0.0077179332003939</v>
      </c>
      <c r="E18" s="2">
        <v>6.6507591088375</v>
      </c>
      <c r="F18" s="2">
        <v>0.96095480973796</v>
      </c>
      <c r="G18" s="2">
        <v>20490087.820855</v>
      </c>
      <c r="H18" s="2">
        <v>4776755.4145545</v>
      </c>
      <c r="I18" s="2">
        <v>-0.003526501597382</v>
      </c>
      <c r="J18" s="2">
        <v>-0.0031081396581959</v>
      </c>
      <c r="K18" s="2">
        <v>0.0077891378583315</v>
      </c>
      <c r="L18" s="2">
        <v>-0.093520951019901</v>
      </c>
      <c r="M18" s="2">
        <v>-0.095788188016792</v>
      </c>
      <c r="N18" s="2">
        <v>553.274899983</v>
      </c>
      <c r="O18" s="2">
        <v>614.99761510817</v>
      </c>
    </row>
    <row r="19" spans="1:15">
      <c r="A19" s="2">
        <v>2.8066849390983</v>
      </c>
      <c r="B19" s="2">
        <v>0.0064802349255582</v>
      </c>
      <c r="C19" s="2">
        <v>90.302485866597</v>
      </c>
      <c r="D19" s="2">
        <v>0.0083335937377972</v>
      </c>
      <c r="E19" s="2">
        <v>6.6548266435157</v>
      </c>
      <c r="F19" s="2">
        <v>0.95705034064007</v>
      </c>
      <c r="G19" s="2">
        <v>21022926.059665</v>
      </c>
      <c r="H19" s="2">
        <v>4868616.5516003</v>
      </c>
      <c r="I19" s="2">
        <v>-0.003841935986719</v>
      </c>
      <c r="J19" s="2">
        <v>-0.0033827323866475</v>
      </c>
      <c r="K19" s="2">
        <v>0.0083842245690551</v>
      </c>
      <c r="L19" s="2">
        <v>-0.10275213385239</v>
      </c>
      <c r="M19" s="2">
        <v>-0.10426311319657</v>
      </c>
      <c r="N19" s="2">
        <v>555.84535345298</v>
      </c>
      <c r="O19" s="2">
        <v>618.77357798419</v>
      </c>
    </row>
    <row r="20" spans="1:15">
      <c r="A20" s="2">
        <v>3.0066849390983</v>
      </c>
      <c r="B20" s="2">
        <v>0.0070857052669586</v>
      </c>
      <c r="C20" s="2">
        <v>90.301317270385</v>
      </c>
      <c r="D20" s="2">
        <v>0.0089490561951831</v>
      </c>
      <c r="E20" s="2">
        <v>6.6589162506575</v>
      </c>
      <c r="F20" s="2">
        <v>0.95321382311323</v>
      </c>
      <c r="G20" s="2">
        <v>21561831.065875</v>
      </c>
      <c r="H20" s="2">
        <v>4961462.7179165</v>
      </c>
      <c r="I20" s="2">
        <v>-0.0041571090421728</v>
      </c>
      <c r="J20" s="2">
        <v>-0.0036574981982762</v>
      </c>
      <c r="K20" s="2">
        <v>0.0089789518516936</v>
      </c>
      <c r="L20" s="2">
        <v>-0.11217106970717</v>
      </c>
      <c r="M20" s="2">
        <v>-0.11434654252567</v>
      </c>
      <c r="N20" s="2">
        <v>558.27881883013</v>
      </c>
      <c r="O20" s="2">
        <v>622.26573220839</v>
      </c>
    </row>
    <row r="21" spans="1:15">
      <c r="A21" s="2">
        <v>3.2066849390983</v>
      </c>
      <c r="B21" s="2">
        <v>0.0076910161799196</v>
      </c>
      <c r="C21" s="2">
        <v>90.300152133873</v>
      </c>
      <c r="D21" s="2">
        <v>0.0095642995751962</v>
      </c>
      <c r="E21" s="2">
        <v>6.6630299523416</v>
      </c>
      <c r="F21" s="2">
        <v>0.94945824656571</v>
      </c>
      <c r="G21" s="2">
        <v>22106505.544017</v>
      </c>
      <c r="H21" s="2">
        <v>5055242.3422375</v>
      </c>
      <c r="I21" s="2">
        <v>-0.004471935895479</v>
      </c>
      <c r="J21" s="2">
        <v>-0.003932450704951</v>
      </c>
      <c r="K21" s="2">
        <v>0.009573320321733</v>
      </c>
      <c r="L21" s="2">
        <v>-0.1193953062474</v>
      </c>
      <c r="M21" s="2">
        <v>-0.12125224548404</v>
      </c>
      <c r="N21" s="2">
        <v>560.6034050776</v>
      </c>
      <c r="O21" s="2">
        <v>625.5139135751</v>
      </c>
    </row>
    <row r="22" spans="1:15">
      <c r="A22" s="2">
        <v>3.4066849390983</v>
      </c>
      <c r="B22" s="2">
        <v>0.0082962069856291</v>
      </c>
      <c r="C22" s="2">
        <v>90.298998691064</v>
      </c>
      <c r="D22" s="2">
        <v>0.010179348201848</v>
      </c>
      <c r="E22" s="2">
        <v>6.6671729693564</v>
      </c>
      <c r="F22" s="2">
        <v>0.94577587906589</v>
      </c>
      <c r="G22" s="2">
        <v>22656560.738842</v>
      </c>
      <c r="H22" s="2">
        <v>5149887.8641312</v>
      </c>
      <c r="I22" s="2">
        <v>-0.0047863799206068</v>
      </c>
      <c r="J22" s="2">
        <v>-0.0042075874359658</v>
      </c>
      <c r="K22" s="2">
        <v>0.010167330374142</v>
      </c>
      <c r="L22" s="2">
        <v>-0.12755511086883</v>
      </c>
      <c r="M22" s="2">
        <v>-0.12839965198133</v>
      </c>
      <c r="N22" s="2">
        <v>562.84708862465</v>
      </c>
      <c r="O22" s="2">
        <v>628.58112973835</v>
      </c>
    </row>
    <row r="23" spans="1:15">
      <c r="A23" s="2">
        <v>3.6066849390983</v>
      </c>
      <c r="B23" s="2">
        <v>0.0089013881775831</v>
      </c>
      <c r="C23" s="2">
        <v>90.297858606645</v>
      </c>
      <c r="D23" s="2">
        <v>0.010794245708404</v>
      </c>
      <c r="E23" s="2">
        <v>6.6713529842905</v>
      </c>
      <c r="F23" s="2">
        <v>0.94214718460153</v>
      </c>
      <c r="G23" s="2">
        <v>23211663.31743</v>
      </c>
      <c r="H23" s="2">
        <v>5245341.25093</v>
      </c>
      <c r="I23" s="2">
        <v>-0.0051004476268208</v>
      </c>
      <c r="J23" s="2">
        <v>-0.0044828715617613</v>
      </c>
      <c r="K23" s="2">
        <v>0.010760982323798</v>
      </c>
      <c r="L23" s="2">
        <v>-0.13536516998185</v>
      </c>
      <c r="M23" s="2">
        <v>-0.13786594804013</v>
      </c>
      <c r="N23" s="2">
        <v>565.02742712743</v>
      </c>
      <c r="O23" s="2">
        <v>631.51739197489</v>
      </c>
    </row>
    <row r="24" spans="1:15">
      <c r="A24" s="2">
        <v>3.8066849390983</v>
      </c>
      <c r="B24" s="2">
        <v>0.0095065866521811</v>
      </c>
      <c r="C24" s="2">
        <v>90.296733315592</v>
      </c>
      <c r="D24" s="2">
        <v>0.01140900077679</v>
      </c>
      <c r="E24" s="2">
        <v>6.6755774178455</v>
      </c>
      <c r="F24" s="2">
        <v>0.93856034776047</v>
      </c>
      <c r="G24" s="2">
        <v>23771599.19188</v>
      </c>
      <c r="H24" s="2">
        <v>5341565.2306407</v>
      </c>
      <c r="I24" s="2">
        <v>-0.0054141648105741</v>
      </c>
      <c r="J24" s="2">
        <v>-0.0047582378898184</v>
      </c>
      <c r="K24" s="2">
        <v>0.011354276648813</v>
      </c>
      <c r="L24" s="2">
        <v>-0.14208744372262</v>
      </c>
      <c r="M24" s="2">
        <v>-0.14450660217188</v>
      </c>
      <c r="N24" s="2">
        <v>567.15840326854</v>
      </c>
      <c r="O24" s="2">
        <v>634.34956354129</v>
      </c>
    </row>
    <row r="25" spans="1:15">
      <c r="A25" s="2">
        <v>4.0066849390983</v>
      </c>
      <c r="B25" s="2">
        <v>0.010111777013027</v>
      </c>
      <c r="C25" s="2">
        <v>90.295618729849</v>
      </c>
      <c r="D25" s="2">
        <v>0.012023619823182</v>
      </c>
      <c r="E25" s="2">
        <v>6.679848973973</v>
      </c>
      <c r="F25" s="2">
        <v>0.93501318565287</v>
      </c>
      <c r="G25" s="2">
        <v>24336237.017853</v>
      </c>
      <c r="H25" s="2">
        <v>5438536.9207178</v>
      </c>
      <c r="I25" s="2">
        <v>-0.0057275603274614</v>
      </c>
      <c r="J25" s="2">
        <v>-0.0050336823759057</v>
      </c>
      <c r="K25" s="2">
        <v>0.011947213968572</v>
      </c>
      <c r="L25" s="2">
        <v>-0.15355863978217</v>
      </c>
      <c r="M25" s="2">
        <v>-0.15619688979517</v>
      </c>
      <c r="N25" s="2">
        <v>569.24290787127</v>
      </c>
      <c r="O25" s="2">
        <v>637.0929863695</v>
      </c>
    </row>
    <row r="26" spans="1:15">
      <c r="A26" s="2">
        <v>4.2066849390983</v>
      </c>
      <c r="B26" s="2">
        <v>0.010716942753928</v>
      </c>
      <c r="C26" s="2">
        <v>90.294513638862</v>
      </c>
      <c r="D26" s="2">
        <v>0.012638084686983</v>
      </c>
      <c r="E26" s="2">
        <v>6.6841662878701</v>
      </c>
      <c r="F26" s="2">
        <v>0.93150492601337</v>
      </c>
      <c r="G26" s="2">
        <v>24905431.614823</v>
      </c>
      <c r="H26" s="2">
        <v>5536231.0466515</v>
      </c>
      <c r="I26" s="2">
        <v>-0.0060406463110588</v>
      </c>
      <c r="J26" s="2">
        <v>-0.0053091272969516</v>
      </c>
      <c r="K26" s="2">
        <v>0.012539794882969</v>
      </c>
      <c r="L26" s="2">
        <v>-0.16059843390529</v>
      </c>
      <c r="M26" s="2">
        <v>-0.16240224308289</v>
      </c>
      <c r="N26" s="2">
        <v>571.29268634768</v>
      </c>
      <c r="O26" s="2">
        <v>639.75853312471</v>
      </c>
    </row>
    <row r="27" spans="1:15">
      <c r="A27" s="2">
        <v>4.4066849390983</v>
      </c>
      <c r="B27" s="2">
        <v>0.011322080839628</v>
      </c>
      <c r="C27" s="2">
        <v>90.293414093779</v>
      </c>
      <c r="D27" s="2">
        <v>0.013252413192529</v>
      </c>
      <c r="E27" s="2">
        <v>6.6885292336491</v>
      </c>
      <c r="F27" s="2">
        <v>0.92803170736195</v>
      </c>
      <c r="G27" s="2">
        <v>25479076.567037</v>
      </c>
      <c r="H27" s="2">
        <v>5634629.1016747</v>
      </c>
      <c r="I27" s="2">
        <v>-0.0063535083052989</v>
      </c>
      <c r="J27" s="2">
        <v>-0.0055845227913267</v>
      </c>
      <c r="K27" s="2">
        <v>0.013132019892085</v>
      </c>
      <c r="L27" s="2">
        <v>-0.1692594489492</v>
      </c>
      <c r="M27" s="2">
        <v>-0.17111165972585</v>
      </c>
      <c r="N27" s="2">
        <v>573.30597922169</v>
      </c>
      <c r="O27" s="2">
        <v>642.35796575193</v>
      </c>
    </row>
    <row r="28" spans="1:15">
      <c r="A28" s="2">
        <v>4.6066849390983</v>
      </c>
      <c r="B28" s="2">
        <v>0.011927127433798</v>
      </c>
      <c r="C28" s="2">
        <v>90.292315200411</v>
      </c>
      <c r="D28" s="2">
        <v>0.013866575842897</v>
      </c>
      <c r="E28" s="2">
        <v>6.6929349232847</v>
      </c>
      <c r="F28" s="2">
        <v>0.92459080089337</v>
      </c>
      <c r="G28" s="2">
        <v>26057110.6822</v>
      </c>
      <c r="H28" s="2">
        <v>5733720.5464863</v>
      </c>
      <c r="I28" s="2">
        <v>-0.006666234063027</v>
      </c>
      <c r="J28" s="2">
        <v>-0.0058597603343592</v>
      </c>
      <c r="K28" s="2">
        <v>0.013723889689729</v>
      </c>
      <c r="L28" s="2">
        <v>-0.17808080869299</v>
      </c>
      <c r="M28" s="2">
        <v>-0.17924049100204</v>
      </c>
      <c r="N28" s="2">
        <v>575.28822065002</v>
      </c>
      <c r="O28" s="2">
        <v>644.8942478284</v>
      </c>
    </row>
    <row r="29" spans="1:15">
      <c r="A29" s="2">
        <v>4.8066849390983</v>
      </c>
      <c r="B29" s="2">
        <v>0.012532065082728</v>
      </c>
      <c r="C29" s="2">
        <v>90.29121558264</v>
      </c>
      <c r="D29" s="2">
        <v>0.014480566702674</v>
      </c>
      <c r="E29" s="2">
        <v>6.6973778980407</v>
      </c>
      <c r="F29" s="2">
        <v>0.92118465673763</v>
      </c>
      <c r="G29" s="2">
        <v>26639454.799147</v>
      </c>
      <c r="H29" s="2">
        <v>5833491.688535</v>
      </c>
      <c r="I29" s="2">
        <v>-0.0069788475962853</v>
      </c>
      <c r="J29" s="2">
        <v>-0.0061348099380028</v>
      </c>
      <c r="K29" s="2">
        <v>0.014315404875768</v>
      </c>
      <c r="L29" s="2">
        <v>-0.18525381147332</v>
      </c>
      <c r="M29" s="2">
        <v>-0.18754461302081</v>
      </c>
      <c r="N29" s="2">
        <v>577.24157449405</v>
      </c>
      <c r="O29" s="2">
        <v>647.37301431318</v>
      </c>
    </row>
    <row r="30" spans="1:15">
      <c r="A30" s="2">
        <v>5.0066849390983</v>
      </c>
      <c r="B30" s="2">
        <v>0.013136906816303</v>
      </c>
      <c r="C30" s="2">
        <v>90.290114890678</v>
      </c>
      <c r="D30" s="2">
        <v>0.015094395666941</v>
      </c>
      <c r="E30" s="2">
        <v>6.7018555143972</v>
      </c>
      <c r="F30" s="2">
        <v>0.91781236521856</v>
      </c>
      <c r="G30" s="2">
        <v>27226014.556439</v>
      </c>
      <c r="H30" s="2">
        <v>5933926.2114527</v>
      </c>
      <c r="I30" s="2">
        <v>-0.0072913384639497</v>
      </c>
      <c r="J30" s="2">
        <v>-0.0064096788546973</v>
      </c>
      <c r="K30" s="2">
        <v>0.014906565848315</v>
      </c>
      <c r="L30" s="2">
        <v>-0.19278695659782</v>
      </c>
      <c r="M30" s="2">
        <v>-0.19476859706776</v>
      </c>
      <c r="N30" s="2">
        <v>579.16875326361</v>
      </c>
      <c r="O30" s="2">
        <v>649.80265176043</v>
      </c>
    </row>
    <row r="31" spans="1:15">
      <c r="A31" s="2">
        <v>5.2066849390983</v>
      </c>
      <c r="B31" s="2">
        <v>0.01374165361202</v>
      </c>
      <c r="C31" s="2">
        <v>90.289012518344</v>
      </c>
      <c r="D31" s="2">
        <v>0.015708065998156</v>
      </c>
      <c r="E31" s="2">
        <v>6.7063642643686</v>
      </c>
      <c r="F31" s="2">
        <v>0.91447002140204</v>
      </c>
      <c r="G31" s="2">
        <v>27816705.924901</v>
      </c>
      <c r="H31" s="2">
        <v>6035009.6293619</v>
      </c>
      <c r="I31" s="2">
        <v>-0.0076036838484653</v>
      </c>
      <c r="J31" s="2">
        <v>-0.006684379532555</v>
      </c>
      <c r="K31" s="2">
        <v>0.015497373007485</v>
      </c>
      <c r="L31" s="2">
        <v>-0.19942316001641</v>
      </c>
      <c r="M31" s="2">
        <v>-0.20035495673236</v>
      </c>
      <c r="N31" s="2">
        <v>581.07318359323</v>
      </c>
      <c r="O31" s="2">
        <v>652.18888554004</v>
      </c>
    </row>
    <row r="32" spans="1:15">
      <c r="A32" s="2">
        <v>5.4066849390983</v>
      </c>
      <c r="B32" s="2">
        <v>0.014346315159516</v>
      </c>
      <c r="C32" s="2">
        <v>90.287906607667</v>
      </c>
      <c r="D32" s="2">
        <v>0.016321598883132</v>
      </c>
      <c r="E32" s="2">
        <v>6.7109008043773</v>
      </c>
      <c r="F32" s="2">
        <v>0.91115257520388</v>
      </c>
      <c r="G32" s="2">
        <v>28411451.004503</v>
      </c>
      <c r="H32" s="2">
        <v>6136728.507359</v>
      </c>
      <c r="I32" s="2">
        <v>-0.0079158767683184</v>
      </c>
      <c r="J32" s="2">
        <v>-0.0069589516315037</v>
      </c>
      <c r="K32" s="2">
        <v>0.016087826687951</v>
      </c>
      <c r="L32" s="2">
        <v>-0.21027512410757</v>
      </c>
      <c r="M32" s="2">
        <v>-0.21259797847204</v>
      </c>
      <c r="N32" s="2">
        <v>582.95340101173</v>
      </c>
      <c r="O32" s="2">
        <v>654.53944350039</v>
      </c>
    </row>
    <row r="33" spans="1:15">
      <c r="A33" s="2">
        <v>5.6066849390983</v>
      </c>
      <c r="B33" s="2">
        <v>0.014950911990585</v>
      </c>
      <c r="C33" s="2">
        <v>90.286797279639</v>
      </c>
      <c r="D33" s="2">
        <v>0.016934996213466</v>
      </c>
      <c r="E33" s="2">
        <v>6.7154600130718</v>
      </c>
      <c r="F33" s="2">
        <v>0.90785615464149</v>
      </c>
      <c r="G33" s="2">
        <v>29010163.847184</v>
      </c>
      <c r="H33" s="2">
        <v>6239067.973071</v>
      </c>
      <c r="I33" s="2">
        <v>-0.0082278926166309</v>
      </c>
      <c r="J33" s="2">
        <v>-0.0072333699720762</v>
      </c>
      <c r="K33" s="2">
        <v>0.016677927227846</v>
      </c>
      <c r="L33" s="2">
        <v>-0.21853351412748</v>
      </c>
      <c r="M33" s="2">
        <v>-0.2213141102445</v>
      </c>
      <c r="N33" s="2">
        <v>584.81590562398</v>
      </c>
      <c r="O33" s="2">
        <v>656.85578660273</v>
      </c>
    </row>
    <row r="34" spans="1:15">
      <c r="A34" s="2">
        <v>5.8066849390983</v>
      </c>
      <c r="B34" s="2">
        <v>0.015555466096106</v>
      </c>
      <c r="C34" s="2">
        <v>90.285684012283</v>
      </c>
      <c r="D34" s="2">
        <v>0.017548279276222</v>
      </c>
      <c r="E34" s="2">
        <v>6.7200381209542</v>
      </c>
      <c r="F34" s="2">
        <v>0.90457688926743</v>
      </c>
      <c r="G34" s="2">
        <v>29612764.916588</v>
      </c>
      <c r="H34" s="2">
        <v>6342014.2334708</v>
      </c>
      <c r="I34" s="2">
        <v>-0.0085397340217796</v>
      </c>
      <c r="J34" s="2">
        <v>-0.0075076372085803</v>
      </c>
      <c r="K34" s="2">
        <v>0.017267674912842</v>
      </c>
      <c r="L34" s="2">
        <v>-0.22596236786118</v>
      </c>
      <c r="M34" s="2">
        <v>-0.22758091467441</v>
      </c>
      <c r="N34" s="2">
        <v>586.66137318532</v>
      </c>
      <c r="O34" s="2">
        <v>659.1421935929</v>
      </c>
    </row>
    <row r="35" spans="1:15">
      <c r="A35" s="2">
        <v>6.0066849390983</v>
      </c>
      <c r="B35" s="2">
        <v>0.016159986053464</v>
      </c>
      <c r="C35" s="2">
        <v>90.284566723669</v>
      </c>
      <c r="D35" s="2">
        <v>0.018161468148272</v>
      </c>
      <c r="E35" s="2">
        <v>6.7246308686226</v>
      </c>
      <c r="F35" s="2">
        <v>0.90131288402317</v>
      </c>
      <c r="G35" s="2">
        <v>30219174.636916</v>
      </c>
      <c r="H35" s="2">
        <v>6445553.5039366</v>
      </c>
      <c r="I35" s="2">
        <v>-0.0088514032959684</v>
      </c>
      <c r="J35" s="2">
        <v>-0.0077817623767926</v>
      </c>
      <c r="K35" s="2">
        <v>0.017857070026623</v>
      </c>
      <c r="L35" s="2">
        <v>-0.23396784533266</v>
      </c>
      <c r="M35" s="2">
        <v>-0.23547150591419</v>
      </c>
      <c r="N35" s="2">
        <v>588.49034639622</v>
      </c>
      <c r="O35" s="2">
        <v>661.40341660059</v>
      </c>
    </row>
    <row r="36" spans="1:15">
      <c r="A36" s="2">
        <v>6.2066849390983</v>
      </c>
      <c r="B36" s="2">
        <v>0.016764477297511</v>
      </c>
      <c r="C36" s="2">
        <v>90.283445756241</v>
      </c>
      <c r="D36" s="2">
        <v>0.018774573113559</v>
      </c>
      <c r="E36" s="2">
        <v>6.7292354528598</v>
      </c>
      <c r="F36" s="2">
        <v>0.89806086499442</v>
      </c>
      <c r="G36" s="2">
        <v>30829326.138772</v>
      </c>
      <c r="H36" s="2">
        <v>6549674.1958957</v>
      </c>
      <c r="I36" s="2">
        <v>-0.0091629051280453</v>
      </c>
      <c r="J36" s="2">
        <v>-0.0080557345217903</v>
      </c>
      <c r="K36" s="2">
        <v>0.018446112878899</v>
      </c>
      <c r="L36" s="2">
        <v>-0.24219996306327</v>
      </c>
      <c r="M36" s="2">
        <v>-0.24364571371384</v>
      </c>
      <c r="N36" s="2">
        <v>590.30429144601</v>
      </c>
      <c r="O36" s="2">
        <v>663.64066913848</v>
      </c>
    </row>
    <row r="37" spans="1:15">
      <c r="A37" s="2">
        <v>6.4066849390983</v>
      </c>
      <c r="B37" s="2">
        <v>0.017368947290113</v>
      </c>
      <c r="C37" s="2">
        <v>90.282321622312</v>
      </c>
      <c r="D37" s="2">
        <v>0.019387603857351</v>
      </c>
      <c r="E37" s="2">
        <v>6.7338499802249</v>
      </c>
      <c r="F37" s="2">
        <v>0.8948186144522</v>
      </c>
      <c r="G37" s="2">
        <v>31443155.387357</v>
      </c>
      <c r="H37" s="2">
        <v>6654365.2346333</v>
      </c>
      <c r="I37" s="2">
        <v>-0.0094742437144167</v>
      </c>
      <c r="J37" s="2">
        <v>-0.0083295487630605</v>
      </c>
      <c r="K37" s="2">
        <v>0.019034803807169</v>
      </c>
      <c r="L37" s="2">
        <v>-0.25064458014182</v>
      </c>
      <c r="M37" s="2">
        <v>-0.25216259596359</v>
      </c>
      <c r="N37" s="2">
        <v>592.1038030755</v>
      </c>
      <c r="O37" s="2">
        <v>665.8554744901</v>
      </c>
    </row>
    <row r="38" spans="1:15">
      <c r="A38" s="2">
        <v>6.6066849390983</v>
      </c>
      <c r="B38" s="2">
        <v>0.017973400580971</v>
      </c>
      <c r="C38" s="2">
        <v>90.281195207189</v>
      </c>
      <c r="D38" s="2">
        <v>0.020000569428457</v>
      </c>
      <c r="E38" s="2">
        <v>6.7384728621254</v>
      </c>
      <c r="F38" s="2">
        <v>0.89158407784014</v>
      </c>
      <c r="G38" s="2">
        <v>32060599.303754</v>
      </c>
      <c r="H38" s="2">
        <v>6759615.7334458</v>
      </c>
      <c r="I38" s="2">
        <v>-0.0097854177735718</v>
      </c>
      <c r="J38" s="2">
        <v>-0.0086032077678289</v>
      </c>
      <c r="K38" s="2">
        <v>0.019623143179107</v>
      </c>
      <c r="L38" s="2">
        <v>-0.25960233849692</v>
      </c>
      <c r="M38" s="2">
        <v>-0.26161763710792</v>
      </c>
      <c r="N38" s="2">
        <v>593.8894164622</v>
      </c>
      <c r="O38" s="2">
        <v>668.0501132551</v>
      </c>
    </row>
    <row r="39" spans="1:15">
      <c r="A39" s="2">
        <v>6.8066849390983</v>
      </c>
      <c r="B39" s="2">
        <v>0.018577841095639</v>
      </c>
      <c r="C39" s="2">
        <v>90.280068012355</v>
      </c>
      <c r="D39" s="2">
        <v>0.020613467908492</v>
      </c>
      <c r="E39" s="2">
        <v>6.7431030434948</v>
      </c>
      <c r="F39" s="2">
        <v>0.88835597623276</v>
      </c>
      <c r="G39" s="2">
        <v>32681596.957478</v>
      </c>
      <c r="H39" s="2">
        <v>6865415.1988394</v>
      </c>
      <c r="I39" s="2">
        <v>-0.010096416536035</v>
      </c>
      <c r="J39" s="2">
        <v>-0.0088766961445821</v>
      </c>
      <c r="K39" s="2">
        <v>0.020211131400762</v>
      </c>
      <c r="L39" s="2">
        <v>-0.26540987524267</v>
      </c>
      <c r="M39" s="2">
        <v>-0.26641069242474</v>
      </c>
      <c r="N39" s="2">
        <v>595.66433452498</v>
      </c>
      <c r="O39" s="2">
        <v>670.22463611564</v>
      </c>
    </row>
    <row r="40" spans="1:15">
      <c r="A40" s="2">
        <v>7.0066849390983</v>
      </c>
      <c r="B40" s="2">
        <v>0.019182269615644</v>
      </c>
      <c r="C40" s="2">
        <v>90.278939756953</v>
      </c>
      <c r="D40" s="2">
        <v>0.021226315397147</v>
      </c>
      <c r="E40" s="2">
        <v>6.7477404535122</v>
      </c>
      <c r="F40" s="2">
        <v>0.88513347363954</v>
      </c>
      <c r="G40" s="2">
        <v>33306092.288321</v>
      </c>
      <c r="H40" s="2">
        <v>6971754.0094258</v>
      </c>
      <c r="I40" s="2">
        <v>-0.010407247669279</v>
      </c>
      <c r="J40" s="2">
        <v>-0.0091500387522407</v>
      </c>
      <c r="K40" s="2">
        <v>0.020798768841921</v>
      </c>
      <c r="L40" s="2">
        <v>-0.27330245389511</v>
      </c>
      <c r="M40" s="2">
        <v>-0.27396684016962</v>
      </c>
      <c r="N40" s="2">
        <v>597.42638384902</v>
      </c>
      <c r="O40" s="2">
        <v>672.38385280228</v>
      </c>
    </row>
    <row r="41" spans="1:15">
      <c r="A41" s="2">
        <v>7.2066849390983</v>
      </c>
      <c r="B41" s="2">
        <v>0.019786688391634</v>
      </c>
      <c r="C41" s="2">
        <v>90.277811390279</v>
      </c>
      <c r="D41" s="2">
        <v>0.021839111116398</v>
      </c>
      <c r="E41" s="2">
        <v>6.752384733714</v>
      </c>
      <c r="F41" s="2">
        <v>0.88191625287533</v>
      </c>
      <c r="G41" s="2">
        <v>33934034.751074</v>
      </c>
      <c r="H41" s="2">
        <v>7078623.5076395</v>
      </c>
      <c r="I41" s="2">
        <v>-0.010717903119731</v>
      </c>
      <c r="J41" s="2">
        <v>-0.0094232296813732</v>
      </c>
      <c r="K41" s="2">
        <v>0.021386055918605</v>
      </c>
      <c r="L41" s="2">
        <v>-0.28106598016832</v>
      </c>
      <c r="M41" s="2">
        <v>-0.28130770972776</v>
      </c>
      <c r="N41" s="2">
        <v>599.17709719659</v>
      </c>
      <c r="O41" s="2">
        <v>674.52740884902</v>
      </c>
    </row>
    <row r="42" spans="1:15">
      <c r="A42" s="2">
        <v>7.4066849390983</v>
      </c>
      <c r="B42" s="2">
        <v>0.020391095914314</v>
      </c>
      <c r="C42" s="2">
        <v>90.276683590783</v>
      </c>
      <c r="D42" s="2">
        <v>0.022451857246307</v>
      </c>
      <c r="E42" s="2">
        <v>6.7570359844542</v>
      </c>
      <c r="F42" s="2">
        <v>0.87870426474727</v>
      </c>
      <c r="G42" s="2">
        <v>34565374.758451</v>
      </c>
      <c r="H42" s="2">
        <v>7186015.221573</v>
      </c>
      <c r="I42" s="2">
        <v>-0.011028378935606</v>
      </c>
      <c r="J42" s="2">
        <v>-0.0096962724827039</v>
      </c>
      <c r="K42" s="2">
        <v>0.021972993038085</v>
      </c>
      <c r="L42" s="2">
        <v>-0.2887631424828</v>
      </c>
      <c r="M42" s="2">
        <v>-0.28848252480756</v>
      </c>
      <c r="N42" s="2">
        <v>600.91702249178</v>
      </c>
      <c r="O42" s="2">
        <v>676.65621334556</v>
      </c>
    </row>
    <row r="43" spans="1:15">
      <c r="A43" s="2">
        <v>7.6066849390983</v>
      </c>
      <c r="B43" s="2">
        <v>0.020995491528183</v>
      </c>
      <c r="C43" s="2">
        <v>90.275556121074</v>
      </c>
      <c r="D43" s="2">
        <v>0.023064559523918</v>
      </c>
      <c r="E43" s="2">
        <v>6.7616946403569</v>
      </c>
      <c r="F43" s="2">
        <v>0.87549822143292</v>
      </c>
      <c r="G43" s="2">
        <v>35200068.556138</v>
      </c>
      <c r="H43" s="2">
        <v>7293921.7039058</v>
      </c>
      <c r="I43" s="2">
        <v>-0.011338674153469</v>
      </c>
      <c r="J43" s="2">
        <v>-0.0099691819717448</v>
      </c>
      <c r="K43" s="2">
        <v>0.022559580588777</v>
      </c>
      <c r="L43" s="2">
        <v>-0.29808315487475</v>
      </c>
      <c r="M43" s="2">
        <v>-0.29884819789325</v>
      </c>
      <c r="N43" s="2">
        <v>602.64496444837</v>
      </c>
      <c r="O43" s="2">
        <v>678.77177240967</v>
      </c>
    </row>
    <row r="44" spans="1:15">
      <c r="A44" s="2">
        <v>7.8066849390983</v>
      </c>
      <c r="B44" s="2">
        <v>0.021599873870448</v>
      </c>
      <c r="C44" s="2">
        <v>90.27442977416</v>
      </c>
      <c r="D44" s="2">
        <v>0.0236772104683</v>
      </c>
      <c r="E44" s="2">
        <v>6.7663611132419</v>
      </c>
      <c r="F44" s="2">
        <v>0.8722975408966</v>
      </c>
      <c r="G44" s="2">
        <v>35838074.943481</v>
      </c>
      <c r="H44" s="2">
        <v>7402335.9565619</v>
      </c>
      <c r="I44" s="2">
        <v>-0.011648780431656</v>
      </c>
      <c r="J44" s="2">
        <v>-0.010241943929452</v>
      </c>
      <c r="K44" s="2">
        <v>0.023145818986624</v>
      </c>
      <c r="L44" s="2">
        <v>-0.30618325255779</v>
      </c>
      <c r="M44" s="2">
        <v>-0.30684710280381</v>
      </c>
      <c r="N44" s="2">
        <v>604.36319516534</v>
      </c>
      <c r="O44" s="2">
        <v>680.87206467512</v>
      </c>
    </row>
    <row r="45" spans="1:15">
      <c r="A45" s="2">
        <v>8.0066849390983</v>
      </c>
      <c r="B45" s="2">
        <v>0.0222042348106</v>
      </c>
      <c r="C45" s="2">
        <v>90.273304751762</v>
      </c>
      <c r="D45" s="2">
        <v>0.024289812264322</v>
      </c>
      <c r="E45" s="2">
        <v>6.7710359766604</v>
      </c>
      <c r="F45" s="2">
        <v>0.86910285398101</v>
      </c>
      <c r="G45" s="2">
        <v>36479348.967102</v>
      </c>
      <c r="H45" s="2">
        <v>7511250.3578019</v>
      </c>
      <c r="I45" s="2">
        <v>-0.011958693763415</v>
      </c>
      <c r="J45" s="2">
        <v>-0.010514570124697</v>
      </c>
      <c r="K45" s="2">
        <v>0.023731708646354</v>
      </c>
      <c r="L45" s="2">
        <v>-0.31425900373574</v>
      </c>
      <c r="M45" s="2">
        <v>-0.31479356251162</v>
      </c>
      <c r="N45" s="2">
        <v>606.07186046847</v>
      </c>
      <c r="O45" s="2">
        <v>682.95883700883</v>
      </c>
    </row>
    <row r="46" spans="1:15">
      <c r="A46" s="2">
        <v>8.2066849390983</v>
      </c>
      <c r="B46" s="2">
        <v>0.022808573038508</v>
      </c>
      <c r="C46" s="2">
        <v>90.27218180803</v>
      </c>
      <c r="D46" s="2">
        <v>0.024902364416985</v>
      </c>
      <c r="E46" s="2">
        <v>6.7757198305437</v>
      </c>
      <c r="F46" s="2">
        <v>0.86591453171311</v>
      </c>
      <c r="G46" s="2">
        <v>37123854.436945</v>
      </c>
      <c r="H46" s="2">
        <v>7620658.7781305</v>
      </c>
      <c r="I46" s="2">
        <v>-0.012268409991653</v>
      </c>
      <c r="J46" s="2">
        <v>-0.010787067112961</v>
      </c>
      <c r="K46" s="2">
        <v>0.024317249964782</v>
      </c>
      <c r="L46" s="2">
        <v>-0.32244363045389</v>
      </c>
      <c r="M46" s="2">
        <v>-0.3228184143549</v>
      </c>
      <c r="N46" s="2">
        <v>607.77026706717</v>
      </c>
      <c r="O46" s="2">
        <v>685.03141212326</v>
      </c>
    </row>
    <row r="47" spans="1:15">
      <c r="A47" s="2">
        <v>8.4066849390983</v>
      </c>
      <c r="B47" s="2">
        <v>0.023412882112858</v>
      </c>
      <c r="C47" s="2">
        <v>90.27105963143</v>
      </c>
      <c r="D47" s="2">
        <v>0.025514864486841</v>
      </c>
      <c r="E47" s="2">
        <v>6.7804133572116</v>
      </c>
      <c r="F47" s="2">
        <v>0.86273266893491</v>
      </c>
      <c r="G47" s="2">
        <v>37771553.755795</v>
      </c>
      <c r="H47" s="2">
        <v>7730554.8774313</v>
      </c>
      <c r="I47" s="2">
        <v>-0.012577920011098</v>
      </c>
      <c r="J47" s="2">
        <v>-0.01105944321659</v>
      </c>
      <c r="K47" s="2">
        <v>0.024902443349568</v>
      </c>
      <c r="L47" s="2">
        <v>-0.33062554878562</v>
      </c>
      <c r="M47" s="2">
        <v>-0.3308703243565</v>
      </c>
      <c r="N47" s="2">
        <v>609.45879290128</v>
      </c>
      <c r="O47" s="2">
        <v>687.08975072425</v>
      </c>
    </row>
    <row r="48" spans="1:15">
      <c r="A48" s="2">
        <v>8.6066849390983</v>
      </c>
      <c r="B48" s="2">
        <v>0.02401715498155</v>
      </c>
      <c r="C48" s="2">
        <v>90.269938113164</v>
      </c>
      <c r="D48" s="2">
        <v>0.026127309695737</v>
      </c>
      <c r="E48" s="2">
        <v>6.7851179441097</v>
      </c>
      <c r="F48" s="2">
        <v>0.85955694703066</v>
      </c>
      <c r="G48" s="2">
        <v>38422410.446325</v>
      </c>
      <c r="H48" s="2">
        <v>7840932.5110014</v>
      </c>
      <c r="I48" s="2">
        <v>-0.012887215000118</v>
      </c>
      <c r="J48" s="2">
        <v>-0.011331707106048</v>
      </c>
      <c r="K48" s="2">
        <v>0.025487289210023</v>
      </c>
      <c r="L48" s="2">
        <v>-0.33882214719513</v>
      </c>
      <c r="M48" s="2">
        <v>-0.33891121923981</v>
      </c>
      <c r="N48" s="2">
        <v>611.13766114517</v>
      </c>
      <c r="O48" s="2">
        <v>689.13390753279</v>
      </c>
    </row>
    <row r="49" spans="1:15">
      <c r="A49" s="2">
        <v>8.8066849390982</v>
      </c>
      <c r="B49" s="2">
        <v>0.024621382906528</v>
      </c>
      <c r="C49" s="2">
        <v>90.268817690002</v>
      </c>
      <c r="D49" s="2">
        <v>0.026739696218133</v>
      </c>
      <c r="E49" s="2">
        <v>6.7898352610987</v>
      </c>
      <c r="F49" s="2">
        <v>0.85638637152638</v>
      </c>
      <c r="G49" s="2">
        <v>39076389.631902</v>
      </c>
      <c r="H49" s="2">
        <v>7951785.8198758</v>
      </c>
      <c r="I49" s="2">
        <v>-0.013196284963654</v>
      </c>
      <c r="J49" s="2">
        <v>-0.011603869173059</v>
      </c>
      <c r="K49" s="2">
        <v>0.026071787946525</v>
      </c>
      <c r="L49" s="2">
        <v>-0.34700658905987</v>
      </c>
      <c r="M49" s="2">
        <v>-0.34695317114108</v>
      </c>
      <c r="N49" s="2">
        <v>612.80686652514</v>
      </c>
      <c r="O49" s="2">
        <v>691.16372656094</v>
      </c>
    </row>
    <row r="50" spans="1:15">
      <c r="A50" s="2">
        <v>9.0066849390982</v>
      </c>
      <c r="B50" s="2">
        <v>0.025225555861846</v>
      </c>
      <c r="C50" s="2">
        <v>90.267698870092</v>
      </c>
      <c r="D50" s="2">
        <v>0.027352019287515</v>
      </c>
      <c r="E50" s="2">
        <v>6.7945676682071</v>
      </c>
      <c r="F50" s="2">
        <v>0.85321961014218</v>
      </c>
      <c r="G50" s="2">
        <v>39733456.27219</v>
      </c>
      <c r="H50" s="2">
        <v>8063108.9371379</v>
      </c>
      <c r="I50" s="2">
        <v>-0.013505116557632</v>
      </c>
      <c r="J50" s="2">
        <v>-0.011875942436691</v>
      </c>
      <c r="K50" s="2">
        <v>0.026655939947839</v>
      </c>
      <c r="L50" s="2">
        <v>-0.35517967583503</v>
      </c>
      <c r="M50" s="2">
        <v>-0.35498286767778</v>
      </c>
      <c r="N50" s="2">
        <v>614.46673628787</v>
      </c>
      <c r="O50" s="2">
        <v>693.17953187615</v>
      </c>
    </row>
    <row r="51" spans="1:15">
      <c r="A51" s="2">
        <v>9.2066849390982</v>
      </c>
      <c r="B51" s="2">
        <v>0.025829666062024</v>
      </c>
      <c r="C51" s="2">
        <v>90.266582288498</v>
      </c>
      <c r="D51" s="2">
        <v>0.027964275689766</v>
      </c>
      <c r="E51" s="2">
        <v>6.7993173592491</v>
      </c>
      <c r="F51" s="2">
        <v>0.8500550495067</v>
      </c>
      <c r="G51" s="2">
        <v>40393570.719763</v>
      </c>
      <c r="H51" s="2">
        <v>8174895.2033863</v>
      </c>
      <c r="I51" s="2">
        <v>-0.013813698344379</v>
      </c>
      <c r="J51" s="2">
        <v>-0.012147937225286</v>
      </c>
      <c r="K51" s="2">
        <v>0.027239745587088</v>
      </c>
      <c r="L51" s="2">
        <v>-0.36340559575989</v>
      </c>
      <c r="M51" s="2">
        <v>-0.36304906556677</v>
      </c>
      <c r="N51" s="2">
        <v>616.1181039215</v>
      </c>
      <c r="O51" s="2">
        <v>695.18254913484</v>
      </c>
    </row>
    <row r="52" spans="1:15">
      <c r="A52" s="2">
        <v>9.4066849390982</v>
      </c>
      <c r="B52" s="2">
        <v>0.026433721222095</v>
      </c>
      <c r="C52" s="2">
        <v>90.265468383465</v>
      </c>
      <c r="D52" s="2">
        <v>0.02857646748634</v>
      </c>
      <c r="E52" s="2">
        <v>6.8040851059241</v>
      </c>
      <c r="F52" s="2">
        <v>0.84689162589695</v>
      </c>
      <c r="G52" s="2">
        <v>41056696.604183</v>
      </c>
      <c r="H52" s="2">
        <v>8287138.4824412</v>
      </c>
      <c r="I52" s="2">
        <v>-0.014122026362509</v>
      </c>
      <c r="J52" s="2">
        <v>-0.012419858060032</v>
      </c>
      <c r="K52" s="2">
        <v>0.027823205221974</v>
      </c>
      <c r="L52" s="2">
        <v>-0.3714452988331</v>
      </c>
      <c r="M52" s="2">
        <v>-0.370988135166</v>
      </c>
      <c r="N52" s="2">
        <v>617.76041953297</v>
      </c>
      <c r="O52" s="2">
        <v>697.172602637</v>
      </c>
    </row>
    <row r="53" spans="1:15">
      <c r="A53" s="2">
        <v>9.6066849390982</v>
      </c>
      <c r="B53" s="2">
        <v>0.02703772377371</v>
      </c>
      <c r="C53" s="2">
        <v>90.264357504162</v>
      </c>
      <c r="D53" s="2">
        <v>0.029188598915888</v>
      </c>
      <c r="E53" s="2">
        <v>6.8088709808845</v>
      </c>
      <c r="F53" s="2">
        <v>0.84372891477924</v>
      </c>
      <c r="G53" s="2">
        <v>41722788.155442</v>
      </c>
      <c r="H53" s="2">
        <v>8399831.0093745</v>
      </c>
      <c r="I53" s="2">
        <v>-0.014430100663186</v>
      </c>
      <c r="J53" s="2">
        <v>-0.012691704650388</v>
      </c>
      <c r="K53" s="2">
        <v>0.028406319218299</v>
      </c>
      <c r="L53" s="2">
        <v>-0.37954250297804</v>
      </c>
      <c r="M53" s="2">
        <v>-0.37893977763341</v>
      </c>
      <c r="N53" s="2">
        <v>619.39441781573</v>
      </c>
      <c r="O53" s="2">
        <v>699.15112320871</v>
      </c>
    </row>
    <row r="54" spans="1:15">
      <c r="A54" s="2">
        <v>9.8066849390982</v>
      </c>
      <c r="B54" s="2">
        <v>0.027641687991507</v>
      </c>
      <c r="C54" s="2">
        <v>90.263250139676</v>
      </c>
      <c r="D54" s="2">
        <v>0.029800676909326</v>
      </c>
      <c r="E54" s="2">
        <v>6.8136724003987</v>
      </c>
      <c r="F54" s="2">
        <v>0.84056726873985</v>
      </c>
      <c r="G54" s="2">
        <v>42391805.239612</v>
      </c>
      <c r="H54" s="2">
        <v>8512965.9723499</v>
      </c>
      <c r="I54" s="2">
        <v>-0.014737928948389</v>
      </c>
      <c r="J54" s="2">
        <v>-0.012963470243247</v>
      </c>
      <c r="K54" s="2">
        <v>0.02898908793098</v>
      </c>
      <c r="L54" s="2">
        <v>-0.38763581071785</v>
      </c>
      <c r="M54" s="2">
        <v>-0.38688621516429</v>
      </c>
      <c r="N54" s="2">
        <v>621.01964827017</v>
      </c>
      <c r="O54" s="2">
        <v>701.11820300105</v>
      </c>
    </row>
    <row r="55" spans="1:15">
      <c r="A55" s="2">
        <v>10.006684939098</v>
      </c>
      <c r="B55" s="2">
        <v>0.028245614190841</v>
      </c>
      <c r="C55" s="2">
        <v>90.262146101276</v>
      </c>
      <c r="D55" s="2">
        <v>0.030412706011893</v>
      </c>
      <c r="E55" s="2">
        <v>6.8184885365695</v>
      </c>
      <c r="F55" s="2">
        <v>0.83740700520812</v>
      </c>
      <c r="G55" s="2">
        <v>43063700.447996</v>
      </c>
      <c r="H55" s="2">
        <v>8626535.3360828</v>
      </c>
      <c r="I55" s="2">
        <v>-0.015045514997254</v>
      </c>
      <c r="J55" s="2">
        <v>-0.013235149298723</v>
      </c>
      <c r="K55" s="2">
        <v>0.029571511736456</v>
      </c>
      <c r="L55" s="2">
        <v>-0.39576863639184</v>
      </c>
      <c r="M55" s="2">
        <v>-0.39485987669666</v>
      </c>
      <c r="N55" s="2">
        <v>622.63729901384</v>
      </c>
      <c r="O55" s="2">
        <v>703.07541291925</v>
      </c>
    </row>
    <row r="56" spans="1:15">
      <c r="A56" s="2">
        <v>10.206684939098</v>
      </c>
      <c r="B56" s="2">
        <v>0.028849508722422</v>
      </c>
      <c r="C56" s="2">
        <v>90.261045163326</v>
      </c>
      <c r="D56" s="2">
        <v>0.031024689997492</v>
      </c>
      <c r="E56" s="2">
        <v>6.1201930176912</v>
      </c>
      <c r="F56" s="2">
        <v>0.834248349961</v>
      </c>
      <c r="G56" s="2">
        <v>43738439.671177</v>
      </c>
      <c r="H56" s="2">
        <v>8740533.3412647</v>
      </c>
      <c r="I56" s="2">
        <v>-0.015352863281955</v>
      </c>
      <c r="J56" s="2">
        <v>-0.013506738447394</v>
      </c>
      <c r="K56" s="2">
        <v>0.030153591023367</v>
      </c>
      <c r="L56" s="2">
        <v>-0.40382749054379</v>
      </c>
      <c r="M56" s="2">
        <v>-0.4027719634343</v>
      </c>
      <c r="N56" s="2">
        <v>624.24679568941</v>
      </c>
      <c r="O56" s="2">
        <v>705.02222675263</v>
      </c>
    </row>
    <row r="57" spans="1:15">
      <c r="A57" s="2">
        <v>10.406684939098</v>
      </c>
      <c r="B57" s="2">
        <v>0.029453374406017</v>
      </c>
      <c r="C57" s="2">
        <v>90.259947469708</v>
      </c>
      <c r="D57" s="2">
        <v>0.031636632661651</v>
      </c>
      <c r="E57" s="2">
        <v>6.1250352056653</v>
      </c>
      <c r="F57" s="2">
        <v>0.83109188516793</v>
      </c>
      <c r="G57" s="2">
        <v>44415983.861014</v>
      </c>
      <c r="H57" s="2">
        <v>8854953.3985293</v>
      </c>
      <c r="I57" s="2">
        <v>-0.015659976743895</v>
      </c>
      <c r="J57" s="2">
        <v>-0.013778235257322</v>
      </c>
      <c r="K57" s="2">
        <v>0.030735326178075</v>
      </c>
      <c r="L57" s="2">
        <v>-0.4119396249024</v>
      </c>
      <c r="M57" s="2">
        <v>-0.41074901079348</v>
      </c>
      <c r="N57" s="2">
        <v>625.84836035057</v>
      </c>
      <c r="O57" s="2">
        <v>706.95919599141</v>
      </c>
    </row>
    <row r="58" spans="1:15">
      <c r="A58" s="2">
        <v>10.606684939098</v>
      </c>
      <c r="B58" s="2">
        <v>0.030057210157073</v>
      </c>
      <c r="C58" s="2">
        <v>90.258852731348</v>
      </c>
      <c r="D58" s="2">
        <v>0.032248536524282</v>
      </c>
      <c r="E58" s="2">
        <v>6.1298895380162</v>
      </c>
      <c r="F58" s="2">
        <v>0.82793780312796</v>
      </c>
      <c r="G58" s="2">
        <v>45096290.868198</v>
      </c>
      <c r="H58" s="2">
        <v>8969788.3986137</v>
      </c>
      <c r="I58" s="2">
        <v>-0.015966858120505</v>
      </c>
      <c r="J58" s="2">
        <v>-0.014049635020138</v>
      </c>
      <c r="K58" s="2">
        <v>0.031316717610947</v>
      </c>
      <c r="L58" s="2">
        <v>-0.42007184638535</v>
      </c>
      <c r="M58" s="2">
        <v>-0.41871961998073</v>
      </c>
      <c r="N58" s="2">
        <v>627.44305932994</v>
      </c>
      <c r="O58" s="2">
        <v>708.8875486649</v>
      </c>
    </row>
    <row r="59" spans="1:15">
      <c r="A59" s="2">
        <v>10.806684939098</v>
      </c>
      <c r="B59" s="2">
        <v>0.030661023564815</v>
      </c>
      <c r="C59" s="2">
        <v>90.257761317671</v>
      </c>
      <c r="D59" s="2">
        <v>0.032860405263063</v>
      </c>
      <c r="E59" s="2">
        <v>5.4316304507849</v>
      </c>
      <c r="F59" s="2">
        <v>0.82478607076875</v>
      </c>
      <c r="G59" s="2">
        <v>45779331.386012</v>
      </c>
      <c r="H59" s="2">
        <v>9085033.4158781</v>
      </c>
      <c r="I59" s="2">
        <v>-0.016273509913192</v>
      </c>
      <c r="J59" s="2">
        <v>-0.014320938038913</v>
      </c>
      <c r="K59" s="2">
        <v>0.031897765735337</v>
      </c>
      <c r="L59" s="2">
        <v>-0.42818790424753</v>
      </c>
      <c r="M59" s="2">
        <v>-0.42667037154803</v>
      </c>
      <c r="N59" s="2">
        <v>629.02967159674</v>
      </c>
      <c r="O59" s="2">
        <v>710.80607191626</v>
      </c>
    </row>
    <row r="60" spans="1:15">
      <c r="A60" s="2">
        <v>11.006684939098</v>
      </c>
      <c r="B60" s="2">
        <v>0.031264812647704</v>
      </c>
      <c r="C60" s="2">
        <v>90.256672900553</v>
      </c>
      <c r="D60" s="2">
        <v>0.033472241144225</v>
      </c>
      <c r="E60" s="2">
        <v>5.4365073173891</v>
      </c>
      <c r="F60" s="2">
        <v>0.82163682912694</v>
      </c>
      <c r="G60" s="2">
        <v>46465064.283973</v>
      </c>
      <c r="H60" s="2">
        <v>9200681.5264132</v>
      </c>
      <c r="I60" s="2">
        <v>-0.01657993232518</v>
      </c>
      <c r="J60" s="2">
        <v>-0.014592142673253</v>
      </c>
      <c r="K60" s="2">
        <v>0.032478470974126</v>
      </c>
      <c r="L60" s="2">
        <v>-0.43632834643534</v>
      </c>
      <c r="M60" s="2">
        <v>-0.43469352034058</v>
      </c>
      <c r="N60" s="2">
        <v>630.6092608681</v>
      </c>
      <c r="O60" s="2">
        <v>712.71603305906</v>
      </c>
    </row>
    <row r="61" spans="1:15">
      <c r="A61" s="2">
        <v>11.206684939098</v>
      </c>
      <c r="B61" s="2">
        <v>0.031868579725218</v>
      </c>
      <c r="C61" s="2">
        <v>90.255587628962</v>
      </c>
      <c r="D61" s="2">
        <v>0.03408404669112</v>
      </c>
      <c r="E61" s="2">
        <v>5.4413945308598</v>
      </c>
      <c r="F61" s="2">
        <v>0.81848999504828</v>
      </c>
      <c r="G61" s="2">
        <v>47153453.533937</v>
      </c>
      <c r="H61" s="2">
        <v>9316726.670874</v>
      </c>
      <c r="I61" s="2">
        <v>-0.016886128078235</v>
      </c>
      <c r="J61" s="2">
        <v>-0.014863246031883</v>
      </c>
      <c r="K61" s="2">
        <v>0.03305883376043</v>
      </c>
      <c r="L61" s="2">
        <v>-0.4444772475006</v>
      </c>
      <c r="M61" s="2">
        <v>-0.44267623213775</v>
      </c>
      <c r="N61" s="2">
        <v>632.18198855778</v>
      </c>
      <c r="O61" s="2">
        <v>714.61769732078</v>
      </c>
    </row>
    <row r="62" spans="1:15">
      <c r="A62" s="2">
        <v>11.406684939098</v>
      </c>
      <c r="B62" s="2">
        <v>0.032472330356012</v>
      </c>
      <c r="C62" s="2">
        <v>90.254505430902</v>
      </c>
      <c r="D62" s="2">
        <v>0.034695825417681</v>
      </c>
      <c r="E62" s="2">
        <v>5.4462914921122</v>
      </c>
      <c r="F62" s="2">
        <v>0.81534571295973</v>
      </c>
      <c r="G62" s="2">
        <v>47844465.372951</v>
      </c>
      <c r="H62" s="2">
        <v>9433163.1820597</v>
      </c>
      <c r="I62" s="2">
        <v>-0.017192098626022</v>
      </c>
      <c r="J62" s="2">
        <v>-0.015134247919192</v>
      </c>
      <c r="K62" s="2">
        <v>0.033638854502016</v>
      </c>
      <c r="L62" s="2">
        <v>-0.45260392132104</v>
      </c>
      <c r="M62" s="2">
        <v>-0.45068709129565</v>
      </c>
      <c r="N62" s="2">
        <v>633.74747588111</v>
      </c>
      <c r="O62" s="2">
        <v>716.5108332801</v>
      </c>
    </row>
    <row r="63" spans="1:15">
      <c r="A63" s="2">
        <v>11.606684939098</v>
      </c>
      <c r="B63" s="2">
        <v>0.03307606362392</v>
      </c>
      <c r="C63" s="2">
        <v>90.253425825556</v>
      </c>
      <c r="D63" s="2">
        <v>0.035307579971224</v>
      </c>
      <c r="E63" s="2">
        <v>5.4511977277015</v>
      </c>
      <c r="F63" s="2">
        <v>0.81220324444567</v>
      </c>
      <c r="G63" s="2">
        <v>48538061.752043</v>
      </c>
      <c r="H63" s="2">
        <v>9549984.6731914</v>
      </c>
      <c r="I63" s="2">
        <v>-0.017497846384899</v>
      </c>
      <c r="J63" s="2">
        <v>-0.0154051448223</v>
      </c>
      <c r="K63" s="2">
        <v>0.034218533617103</v>
      </c>
      <c r="L63" s="2">
        <v>-0.4607771684704</v>
      </c>
      <c r="M63" s="2">
        <v>-0.45869569366775</v>
      </c>
      <c r="N63" s="2">
        <v>635.30652522846</v>
      </c>
      <c r="O63" s="2">
        <v>718.39629822954</v>
      </c>
    </row>
    <row r="64" spans="1:15">
      <c r="A64" s="2">
        <v>11.806684939098</v>
      </c>
      <c r="B64" s="2">
        <v>0.033679787412777</v>
      </c>
      <c r="C64" s="2">
        <v>90.25234921641</v>
      </c>
      <c r="D64" s="2">
        <v>0.035919313784609</v>
      </c>
      <c r="E64" s="2">
        <v>5.4561122691815</v>
      </c>
      <c r="F64" s="2">
        <v>0.80906306817286</v>
      </c>
      <c r="G64" s="2">
        <v>49234212.214941</v>
      </c>
      <c r="H64" s="2">
        <v>9667186.0448832</v>
      </c>
      <c r="I64" s="2">
        <v>-0.017803374343609</v>
      </c>
      <c r="J64" s="2">
        <v>-0.015675935825043</v>
      </c>
      <c r="K64" s="2">
        <v>0.034797871495183</v>
      </c>
      <c r="L64" s="2">
        <v>-0.46897205572605</v>
      </c>
      <c r="M64" s="2">
        <v>-0.46675105552382</v>
      </c>
      <c r="N64" s="2">
        <v>636.8583152765</v>
      </c>
      <c r="O64" s="2">
        <v>720.27346280013</v>
      </c>
    </row>
    <row r="65" spans="1:15">
      <c r="A65" s="2">
        <v>12.006684939098</v>
      </c>
      <c r="B65" s="2">
        <v>0.034283503085349</v>
      </c>
      <c r="C65" s="2">
        <v>90.251275557704</v>
      </c>
      <c r="D65" s="2">
        <v>0.036531029822837</v>
      </c>
      <c r="E65" s="2">
        <v>5.4610350024522</v>
      </c>
      <c r="F65" s="2">
        <v>0.8059250814438</v>
      </c>
      <c r="G65" s="2">
        <v>49932881.148054</v>
      </c>
      <c r="H65" s="2">
        <v>9784761.3394441</v>
      </c>
      <c r="I65" s="2">
        <v>-0.01810868292281</v>
      </c>
      <c r="J65" s="2">
        <v>-0.015946620065393</v>
      </c>
      <c r="K65" s="2">
        <v>0.03537686854659</v>
      </c>
      <c r="L65" s="2">
        <v>-0.47717139617116</v>
      </c>
      <c r="M65" s="2">
        <v>-0.47481987039011</v>
      </c>
      <c r="N65" s="2">
        <v>638.40322450507</v>
      </c>
      <c r="O65" s="2">
        <v>722.14272881297</v>
      </c>
    </row>
    <row r="66" spans="1:15">
      <c r="A66" s="2">
        <v>12.206684939098</v>
      </c>
      <c r="B66" s="2">
        <v>0.034887210975386</v>
      </c>
      <c r="C66" s="2">
        <v>90.250204723667</v>
      </c>
      <c r="D66" s="2">
        <v>0.037142730494541</v>
      </c>
      <c r="E66" s="2">
        <v>5.4659655486464</v>
      </c>
      <c r="F66" s="2">
        <v>0.8027893225429</v>
      </c>
      <c r="G66" s="2">
        <v>50634031.705116</v>
      </c>
      <c r="H66" s="2">
        <v>9902704.3975278</v>
      </c>
      <c r="I66" s="2">
        <v>-0.018413773538768</v>
      </c>
      <c r="J66" s="2">
        <v>-0.016217195329364</v>
      </c>
      <c r="K66" s="2">
        <v>0.035955525158246</v>
      </c>
      <c r="L66" s="2">
        <v>-0.48540106060966</v>
      </c>
      <c r="M66" s="2">
        <v>-0.48291114474325</v>
      </c>
      <c r="N66" s="2">
        <v>639.94188602259</v>
      </c>
      <c r="O66" s="2">
        <v>724.00486775665</v>
      </c>
    </row>
    <row r="67" spans="1:15">
      <c r="A67" s="2">
        <v>12.406684939098</v>
      </c>
      <c r="B67" s="2">
        <v>0.035490912329246</v>
      </c>
      <c r="C67" s="2">
        <v>90.249136566518</v>
      </c>
      <c r="D67" s="2">
        <v>0.037754418265882</v>
      </c>
      <c r="E67" s="2">
        <v>5.4709038666944</v>
      </c>
      <c r="F67" s="2">
        <v>0.79965607996096</v>
      </c>
      <c r="G67" s="2">
        <v>51337630.297369</v>
      </c>
      <c r="H67" s="2">
        <v>10021009.623797</v>
      </c>
      <c r="I67" s="2">
        <v>-0.018718646250383</v>
      </c>
      <c r="J67" s="2">
        <v>-0.016487661409573</v>
      </c>
      <c r="K67" s="2">
        <v>0.036533841716318</v>
      </c>
      <c r="L67" s="2">
        <v>-0.49366444996022</v>
      </c>
      <c r="M67" s="2">
        <v>-0.49104674996334</v>
      </c>
      <c r="N67" s="2">
        <v>641.47458285645</v>
      </c>
      <c r="O67" s="2">
        <v>725.86025690377</v>
      </c>
    </row>
    <row r="68" spans="1:15">
      <c r="A68" s="2">
        <v>12.606684939098</v>
      </c>
      <c r="B68" s="2">
        <v>0.036094613781275</v>
      </c>
      <c r="C68" s="2">
        <v>90.248071364732</v>
      </c>
      <c r="D68" s="2">
        <v>0.038366095673957</v>
      </c>
      <c r="E68" s="2">
        <v>5.4758498804464</v>
      </c>
      <c r="F68" s="2">
        <v>0.79652571188626</v>
      </c>
      <c r="G68" s="2">
        <v>52043650.68853</v>
      </c>
      <c r="H68" s="2">
        <v>10139672.67721</v>
      </c>
      <c r="I68" s="2">
        <v>-0.019023303125588</v>
      </c>
      <c r="J68" s="2">
        <v>-0.0167580177889</v>
      </c>
      <c r="K68" s="2">
        <v>0.037111818620782</v>
      </c>
      <c r="L68" s="2">
        <v>-0.50190517597201</v>
      </c>
      <c r="M68" s="2">
        <v>-0.4991280786413</v>
      </c>
      <c r="N68" s="2">
        <v>643.00057248361</v>
      </c>
      <c r="O68" s="2">
        <v>727.70804151817</v>
      </c>
    </row>
    <row r="69" spans="1:15">
      <c r="A69" s="2">
        <v>12.806684939098</v>
      </c>
      <c r="B69" s="2">
        <v>0.036698313987563</v>
      </c>
      <c r="C69" s="2">
        <v>90.247008985809</v>
      </c>
      <c r="D69" s="2">
        <v>0.038977764226139</v>
      </c>
      <c r="E69" s="2">
        <v>5.4808032317327</v>
      </c>
      <c r="F69" s="2">
        <v>0.79339841345333</v>
      </c>
      <c r="G69" s="2">
        <v>52752059.763575</v>
      </c>
      <c r="H69" s="2">
        <v>10258688.053178</v>
      </c>
      <c r="I69" s="2">
        <v>-0.019327746224338</v>
      </c>
      <c r="J69" s="2">
        <v>-0.017028262453971</v>
      </c>
      <c r="K69" s="2">
        <v>0.037689456265864</v>
      </c>
      <c r="L69" s="2">
        <v>-0.51020013639827</v>
      </c>
      <c r="M69" s="2">
        <v>-0.50730222161668</v>
      </c>
      <c r="N69" s="2">
        <v>644.5202813322</v>
      </c>
      <c r="O69" s="2">
        <v>729.54872100179</v>
      </c>
    </row>
    <row r="70" spans="1:15">
      <c r="A70" s="2">
        <v>13.006684939098</v>
      </c>
      <c r="B70" s="2">
        <v>0.0373020123354</v>
      </c>
      <c r="C70" s="2">
        <v>90.245949573519</v>
      </c>
      <c r="D70" s="2">
        <v>0.039589425472833</v>
      </c>
      <c r="E70" s="2">
        <v>5.4857640791789</v>
      </c>
      <c r="F70" s="2">
        <v>0.79027453525027</v>
      </c>
      <c r="G70" s="2">
        <v>53462825.621876</v>
      </c>
      <c r="H70" s="2">
        <v>10378050.490134</v>
      </c>
      <c r="I70" s="2">
        <v>-0.019631975376546</v>
      </c>
      <c r="J70" s="2">
        <v>-0.01729839443575</v>
      </c>
      <c r="K70" s="2">
        <v>0.038266755064253</v>
      </c>
      <c r="L70" s="2">
        <v>-0.51851706772758</v>
      </c>
      <c r="M70" s="2">
        <v>-0.51549105027933</v>
      </c>
      <c r="N70" s="2">
        <v>646.03434287267</v>
      </c>
      <c r="O70" s="2">
        <v>731.38288875363</v>
      </c>
    </row>
    <row r="71" spans="1:15">
      <c r="A71" s="2">
        <v>13.206684939098</v>
      </c>
      <c r="B71" s="2">
        <v>0.0379057166848</v>
      </c>
      <c r="C71" s="2">
        <v>90.244892924063</v>
      </c>
      <c r="D71" s="2">
        <v>0.040201081719032</v>
      </c>
      <c r="E71" s="2">
        <v>4.0844817250522</v>
      </c>
      <c r="F71" s="2">
        <v>0.7871542160675</v>
      </c>
      <c r="G71" s="2">
        <v>54175926.304234</v>
      </c>
      <c r="H71" s="2">
        <v>10497756.381936</v>
      </c>
      <c r="I71" s="2">
        <v>-0.019935994782889</v>
      </c>
      <c r="J71" s="2">
        <v>-0.017568412272179</v>
      </c>
      <c r="K71" s="2">
        <v>0.038843715384337</v>
      </c>
      <c r="L71" s="2">
        <v>-0.52684802881911</v>
      </c>
      <c r="M71" s="2">
        <v>-0.52367189291544</v>
      </c>
      <c r="N71" s="2">
        <v>647.54152865894</v>
      </c>
      <c r="O71" s="2">
        <v>733.209203044</v>
      </c>
    </row>
    <row r="72" spans="1:15">
      <c r="A72" s="2">
        <v>13.406684939098</v>
      </c>
      <c r="B72" s="2">
        <v>0.03850942502158</v>
      </c>
      <c r="C72" s="2">
        <v>90.243839370669</v>
      </c>
      <c r="D72" s="2">
        <v>0.040812733930051</v>
      </c>
      <c r="E72" s="2">
        <v>4.0894558435523</v>
      </c>
      <c r="F72" s="2">
        <v>0.78403784994255</v>
      </c>
      <c r="G72" s="2">
        <v>54891329.929397</v>
      </c>
      <c r="H72" s="2">
        <v>10617800.463601</v>
      </c>
      <c r="I72" s="2">
        <v>-0.020239805562403</v>
      </c>
      <c r="J72" s="2">
        <v>-0.017838314106386</v>
      </c>
      <c r="K72" s="2">
        <v>0.039420337632666</v>
      </c>
      <c r="L72" s="2">
        <v>-0.53517462569283</v>
      </c>
      <c r="M72" s="2">
        <v>-0.53187587901059</v>
      </c>
      <c r="N72" s="2">
        <v>649.04243670045</v>
      </c>
      <c r="O72" s="2">
        <v>735.02821392871</v>
      </c>
    </row>
    <row r="73" spans="1:15">
      <c r="A73" s="2">
        <v>13.606684939098</v>
      </c>
      <c r="B73" s="2">
        <v>0.039113135136428</v>
      </c>
      <c r="C73" s="2">
        <v>90.242789142254</v>
      </c>
      <c r="D73" s="2">
        <v>0.041424382619323</v>
      </c>
      <c r="E73" s="2">
        <v>4.0944361095621</v>
      </c>
      <c r="F73" s="2">
        <v>0.78092580089405</v>
      </c>
      <c r="G73" s="2">
        <v>55609004.641355</v>
      </c>
      <c r="H73" s="2">
        <v>10738177.49711</v>
      </c>
      <c r="I73" s="2">
        <v>-0.020543410044588</v>
      </c>
      <c r="J73" s="2">
        <v>-0.018108096353398</v>
      </c>
      <c r="K73" s="2">
        <v>0.039996622215853</v>
      </c>
      <c r="L73" s="2">
        <v>-0.54353498382153</v>
      </c>
      <c r="M73" s="2">
        <v>-0.54009555529369</v>
      </c>
      <c r="N73" s="2">
        <v>650.53790069612</v>
      </c>
      <c r="O73" s="2">
        <v>736.84077282178</v>
      </c>
    </row>
    <row r="74" spans="1:15">
      <c r="A74" s="2">
        <v>13.806684939098</v>
      </c>
      <c r="B74" s="2">
        <v>0.039716850969096</v>
      </c>
      <c r="C74" s="2">
        <v>90.241742196574</v>
      </c>
      <c r="D74" s="2">
        <v>0.042036029841881</v>
      </c>
      <c r="E74" s="2">
        <v>4.0994225730782</v>
      </c>
      <c r="F74" s="2">
        <v>0.77781820830177</v>
      </c>
      <c r="G74" s="2">
        <v>56328927.804321</v>
      </c>
      <c r="H74" s="2">
        <v>10858883.803723</v>
      </c>
      <c r="I74" s="2">
        <v>-0.020846810353451</v>
      </c>
      <c r="J74" s="2">
        <v>-0.01837775877182</v>
      </c>
      <c r="K74" s="2">
        <v>0.04057256952362</v>
      </c>
      <c r="L74" s="2">
        <v>-0.55191628794691</v>
      </c>
      <c r="M74" s="2">
        <v>-0.54833524474969</v>
      </c>
      <c r="N74" s="2">
        <v>652.0271909542</v>
      </c>
      <c r="O74" s="2">
        <v>738.6460360642</v>
      </c>
    </row>
    <row r="75" spans="1:15">
      <c r="A75" s="2">
        <v>14.006684939098</v>
      </c>
      <c r="B75" s="2">
        <v>0.040320570825332</v>
      </c>
      <c r="C75" s="2">
        <v>90.240698643742</v>
      </c>
      <c r="D75" s="2">
        <v>0.042647676073964</v>
      </c>
      <c r="E75" s="2">
        <v>4.1044145995445</v>
      </c>
      <c r="F75" s="2">
        <v>0.77471561276875</v>
      </c>
      <c r="G75" s="2">
        <v>57051069.264329</v>
      </c>
      <c r="H75" s="2">
        <v>10979914.435977</v>
      </c>
      <c r="I75" s="2">
        <v>-0.021150008616751</v>
      </c>
      <c r="J75" s="2">
        <v>-0.018647298130793</v>
      </c>
      <c r="K75" s="2">
        <v>0.041148179961225</v>
      </c>
      <c r="L75" s="2">
        <v>-0.56029673859199</v>
      </c>
      <c r="M75" s="2">
        <v>-0.55659800519228</v>
      </c>
      <c r="N75" s="2">
        <v>653.51101188376</v>
      </c>
      <c r="O75" s="2">
        <v>740.44473712668</v>
      </c>
    </row>
    <row r="76" spans="1:15">
      <c r="A76" s="2">
        <v>14.206684939098</v>
      </c>
      <c r="B76" s="2">
        <v>0.040924298259475</v>
      </c>
      <c r="C76" s="2">
        <v>90.239658492505</v>
      </c>
      <c r="D76" s="2">
        <v>0.043259322709123</v>
      </c>
      <c r="E76" s="2">
        <v>4.1094118036172</v>
      </c>
      <c r="F76" s="2">
        <v>0.77161826697647</v>
      </c>
      <c r="G76" s="2">
        <v>57775406.711307</v>
      </c>
      <c r="H76" s="2">
        <v>11101265.781226</v>
      </c>
      <c r="I76" s="2">
        <v>-0.02145300829025</v>
      </c>
      <c r="J76" s="2">
        <v>-0.018916712540016</v>
      </c>
      <c r="K76" s="2">
        <v>0.041723453917649</v>
      </c>
      <c r="L76" s="2">
        <v>-0.56870177771331</v>
      </c>
      <c r="M76" s="2">
        <v>-0.56484424236898</v>
      </c>
      <c r="N76" s="2">
        <v>654.98876790122</v>
      </c>
      <c r="O76" s="2">
        <v>742.23615041168</v>
      </c>
    </row>
    <row r="77" spans="1:15">
      <c r="A77" s="2">
        <v>14.406684939098</v>
      </c>
      <c r="B77" s="2">
        <v>0.041528034601516</v>
      </c>
      <c r="C77" s="2">
        <v>90.238621793298</v>
      </c>
      <c r="D77" s="2">
        <v>0.043870971503358</v>
      </c>
      <c r="E77" s="2">
        <v>4.1144137342242</v>
      </c>
      <c r="F77" s="2">
        <v>0.76852664480374</v>
      </c>
      <c r="G77" s="2">
        <v>58501912.871683</v>
      </c>
      <c r="H77" s="2">
        <v>11222933.383638</v>
      </c>
      <c r="I77" s="2">
        <v>-0.021755810924586</v>
      </c>
      <c r="J77" s="2">
        <v>-0.019186000717063</v>
      </c>
      <c r="K77" s="2">
        <v>0.042298391800482</v>
      </c>
      <c r="L77" s="2">
        <v>-0.57713884238535</v>
      </c>
      <c r="M77" s="2">
        <v>-0.57313763513844</v>
      </c>
      <c r="N77" s="2">
        <v>656.46058233771</v>
      </c>
      <c r="O77" s="2">
        <v>744.02034313468</v>
      </c>
    </row>
    <row r="78" spans="1:15">
      <c r="A78" s="2">
        <v>14.606684939098</v>
      </c>
      <c r="B78" s="2">
        <v>0.042131776310432</v>
      </c>
      <c r="C78" s="2">
        <v>90.237589180394</v>
      </c>
      <c r="D78" s="2">
        <v>0.044482623119035</v>
      </c>
      <c r="E78" s="2">
        <v>4.1194194428414</v>
      </c>
      <c r="F78" s="2">
        <v>0.76544054037271</v>
      </c>
      <c r="G78" s="2">
        <v>59230555.273725</v>
      </c>
      <c r="H78" s="2">
        <v>11344911.897311</v>
      </c>
      <c r="I78" s="2">
        <v>-0.022058419221708</v>
      </c>
      <c r="J78" s="2">
        <v>-0.019455158094878</v>
      </c>
      <c r="K78" s="2">
        <v>0.042872994016005</v>
      </c>
      <c r="L78" s="2">
        <v>-0.58556681871822</v>
      </c>
      <c r="M78" s="2">
        <v>-0.5814157795486</v>
      </c>
      <c r="N78" s="2">
        <v>657.92749029014</v>
      </c>
      <c r="O78" s="2">
        <v>745.79845571961</v>
      </c>
    </row>
    <row r="79" spans="1:15">
      <c r="A79" s="2">
        <v>14.806684939098</v>
      </c>
      <c r="B79" s="2">
        <v>0.042735527772305</v>
      </c>
      <c r="C79" s="2">
        <v>90.236558292579</v>
      </c>
      <c r="D79" s="2">
        <v>0.045094278755656</v>
      </c>
      <c r="E79" s="2">
        <v>4.1244287882834</v>
      </c>
      <c r="F79" s="2">
        <v>0.76236043757283</v>
      </c>
      <c r="G79" s="2">
        <v>59961313.245064</v>
      </c>
      <c r="H79" s="2">
        <v>11467197.990786</v>
      </c>
      <c r="I79" s="2">
        <v>-0.022360834067387</v>
      </c>
      <c r="J79" s="2">
        <v>-0.019724185711918</v>
      </c>
      <c r="K79" s="2">
        <v>0.043447260951476</v>
      </c>
      <c r="L79" s="2">
        <v>-0.59401929397636</v>
      </c>
      <c r="M79" s="2">
        <v>-0.5897219068764</v>
      </c>
      <c r="N79" s="2">
        <v>659.38878415859</v>
      </c>
      <c r="O79" s="2">
        <v>747.56983055887</v>
      </c>
    </row>
    <row r="80" spans="1:15">
      <c r="A80" s="2">
        <v>15.006684939098</v>
      </c>
      <c r="B80" s="2">
        <v>0.043339294601155</v>
      </c>
      <c r="C80" s="2">
        <v>90.23552998297</v>
      </c>
      <c r="D80" s="2">
        <v>0.045705940943722</v>
      </c>
      <c r="E80" s="2">
        <v>4.1294410582228</v>
      </c>
      <c r="F80" s="2">
        <v>0.75928671085275</v>
      </c>
      <c r="G80" s="2">
        <v>60694163.720905</v>
      </c>
      <c r="H80" s="2">
        <v>11589787.906415</v>
      </c>
      <c r="I80" s="2">
        <v>-0.022663059823814</v>
      </c>
      <c r="J80" s="2">
        <v>-0.019993081195592</v>
      </c>
      <c r="K80" s="2">
        <v>0.044021193010267</v>
      </c>
      <c r="L80" s="2">
        <v>-0.60252672894811</v>
      </c>
      <c r="M80" s="2">
        <v>-0.59808021456227</v>
      </c>
      <c r="N80" s="2">
        <v>660.84374030937</v>
      </c>
      <c r="O80" s="2">
        <v>749.33375385406</v>
      </c>
    </row>
    <row r="81" spans="1:15">
      <c r="A81" s="2">
        <v>15.206684939098</v>
      </c>
      <c r="B81" s="2">
        <v>0.043943073221929</v>
      </c>
      <c r="C81" s="2">
        <v>90.234504036752</v>
      </c>
      <c r="D81" s="2">
        <v>0.046317610486941</v>
      </c>
      <c r="E81" s="2">
        <v>4.134455621002</v>
      </c>
      <c r="F81" s="2">
        <v>0.75621956723015</v>
      </c>
      <c r="G81" s="2">
        <v>61429074.286803</v>
      </c>
      <c r="H81" s="2">
        <v>11712676.319766</v>
      </c>
      <c r="I81" s="2">
        <v>-0.022965096466282</v>
      </c>
      <c r="J81" s="2">
        <v>-0.020261842564274</v>
      </c>
      <c r="K81" s="2">
        <v>0.04459479060045</v>
      </c>
      <c r="L81" s="2">
        <v>-0.61103523275552</v>
      </c>
      <c r="M81" s="2">
        <v>-0.60644339942859</v>
      </c>
      <c r="N81" s="2">
        <v>662.29344167277</v>
      </c>
      <c r="O81" s="2">
        <v>751.09133907308</v>
      </c>
    </row>
    <row r="82" spans="1:15">
      <c r="A82" s="2">
        <v>15.406684939098</v>
      </c>
      <c r="B82" s="2">
        <v>0.044546864110415</v>
      </c>
      <c r="C82" s="2">
        <v>90.23348035361</v>
      </c>
      <c r="D82" s="2">
        <v>0.04692928884035</v>
      </c>
      <c r="E82" s="2">
        <v>4.139471792639</v>
      </c>
      <c r="F82" s="2">
        <v>0.75315891990887</v>
      </c>
      <c r="G82" s="2">
        <v>62166018.735428</v>
      </c>
      <c r="H82" s="2">
        <v>11835858.957585</v>
      </c>
      <c r="I82" s="2">
        <v>-0.023266943944193</v>
      </c>
      <c r="J82" s="2">
        <v>-0.02053047011979</v>
      </c>
      <c r="K82" s="2">
        <v>0.045168054112633</v>
      </c>
      <c r="L82" s="2">
        <v>-0.61955178225358</v>
      </c>
      <c r="M82" s="2">
        <v>-0.61480409049904</v>
      </c>
      <c r="N82" s="2">
        <v>663.73797678744</v>
      </c>
      <c r="O82" s="2">
        <v>752.84278150977</v>
      </c>
    </row>
    <row r="83" spans="1:15">
      <c r="A83" s="2">
        <v>15.606684939098</v>
      </c>
      <c r="B83" s="2">
        <v>0.045150673811161</v>
      </c>
      <c r="C83" s="2">
        <v>90.232458779241</v>
      </c>
      <c r="D83" s="2">
        <v>0.047540977828175</v>
      </c>
      <c r="E83" s="2">
        <v>4.1444890939133</v>
      </c>
      <c r="F83" s="2">
        <v>0.75010515077993</v>
      </c>
      <c r="G83" s="2">
        <v>62904976.851988</v>
      </c>
      <c r="H83" s="2">
        <v>11959332.552457</v>
      </c>
      <c r="I83" s="2">
        <v>-0.023568603717773</v>
      </c>
      <c r="J83" s="2">
        <v>-0.020798964836773</v>
      </c>
      <c r="K83" s="2">
        <v>0.045740983959311</v>
      </c>
      <c r="L83" s="2">
        <v>-0.62809208965379</v>
      </c>
      <c r="M83" s="2">
        <v>-0.62319066471611</v>
      </c>
      <c r="N83" s="2">
        <v>665.17638308678</v>
      </c>
      <c r="O83" s="2">
        <v>754.58719930114</v>
      </c>
    </row>
    <row r="84" spans="1:15">
      <c r="A84" s="2">
        <v>15.806684939098</v>
      </c>
      <c r="B84" s="2">
        <v>0.045754497860813</v>
      </c>
      <c r="C84" s="2">
        <v>90.231439114388</v>
      </c>
      <c r="D84" s="2">
        <v>0.048152677959894</v>
      </c>
      <c r="E84" s="2">
        <v>4.149506886352</v>
      </c>
      <c r="F84" s="2">
        <v>0.7470583568979</v>
      </c>
      <c r="G84" s="2">
        <v>63645917.745734</v>
      </c>
      <c r="H84" s="2">
        <v>12083092.057567</v>
      </c>
      <c r="I84" s="2">
        <v>-0.023870075779204</v>
      </c>
      <c r="J84" s="2">
        <v>-0.021067324897632</v>
      </c>
      <c r="K84" s="2">
        <v>0.046313580540969</v>
      </c>
      <c r="L84" s="2">
        <v>-0.63667120402296</v>
      </c>
      <c r="M84" s="2">
        <v>-0.6316063679196</v>
      </c>
      <c r="N84" s="2">
        <v>666.60978488398</v>
      </c>
      <c r="O84" s="2">
        <v>756.32573906072</v>
      </c>
    </row>
    <row r="85" spans="1:15">
      <c r="A85" s="2">
        <v>16.006684939098</v>
      </c>
      <c r="B85" s="2">
        <v>0.046358339902309</v>
      </c>
      <c r="C85" s="2">
        <v>90.230421434898</v>
      </c>
      <c r="D85" s="2">
        <v>0.048764390496782</v>
      </c>
      <c r="E85" s="2">
        <v>4.1545245127675</v>
      </c>
      <c r="F85" s="2">
        <v>0.74401904811816</v>
      </c>
      <c r="G85" s="2">
        <v>64388818.501601</v>
      </c>
      <c r="H85" s="2">
        <v>12207133.755311</v>
      </c>
      <c r="I85" s="2">
        <v>-0.024171359923649</v>
      </c>
      <c r="J85" s="2">
        <v>-0.021335551545772</v>
      </c>
      <c r="K85" s="2">
        <v>0.046885844253623</v>
      </c>
      <c r="L85" s="2">
        <v>-0.64523495586101</v>
      </c>
      <c r="M85" s="2">
        <v>-0.64001254178517</v>
      </c>
      <c r="N85" s="2">
        <v>668.03776223319</v>
      </c>
      <c r="O85" s="2">
        <v>758.0579728676</v>
      </c>
    </row>
    <row r="86" spans="1:15">
      <c r="A86" s="2">
        <v>16.206684939098</v>
      </c>
      <c r="B86" s="2">
        <v>0.04696220173294</v>
      </c>
      <c r="C86" s="2">
        <v>90.229405351633</v>
      </c>
      <c r="D86" s="2">
        <v>0.04937611697044</v>
      </c>
      <c r="E86" s="2">
        <v>4.1595418167575</v>
      </c>
      <c r="F86" s="2">
        <v>0.7409873145534</v>
      </c>
      <c r="G86" s="2">
        <v>65133655.817486</v>
      </c>
      <c r="H86" s="2">
        <v>12331453.876865</v>
      </c>
      <c r="I86" s="2">
        <v>-0.024472456516071</v>
      </c>
      <c r="J86" s="2">
        <v>-0.021603645491346</v>
      </c>
      <c r="K86" s="2">
        <v>0.047457775506202</v>
      </c>
      <c r="L86" s="2">
        <v>-0.65383802388987</v>
      </c>
      <c r="M86" s="2">
        <v>-0.64844981229315</v>
      </c>
      <c r="N86" s="2">
        <v>669.46009604087</v>
      </c>
      <c r="O86" s="2">
        <v>759.7837769158</v>
      </c>
    </row>
    <row r="87" spans="1:15">
      <c r="A87" s="2">
        <v>16.406684939098</v>
      </c>
      <c r="B87" s="2">
        <v>0.047566079386309</v>
      </c>
      <c r="C87" s="2">
        <v>90.228390980735</v>
      </c>
      <c r="D87" s="2">
        <v>0.049987857700986</v>
      </c>
      <c r="E87" s="2">
        <v>4.1645583116609</v>
      </c>
      <c r="F87" s="2">
        <v>0.73796332899296</v>
      </c>
      <c r="G87" s="2">
        <v>65880399.003065</v>
      </c>
      <c r="H87" s="2">
        <v>12456047.412373</v>
      </c>
      <c r="I87" s="2">
        <v>-0.0247733657299</v>
      </c>
      <c r="J87" s="2">
        <v>-0.021871604672913</v>
      </c>
      <c r="K87" s="2">
        <v>0.048029374692281</v>
      </c>
      <c r="L87" s="2">
        <v>-0.66247251861573</v>
      </c>
      <c r="M87" s="2">
        <v>-0.65690569925254</v>
      </c>
      <c r="N87" s="2">
        <v>670.87789298842</v>
      </c>
      <c r="O87" s="2">
        <v>761.50426570442</v>
      </c>
    </row>
    <row r="88" spans="1:15">
      <c r="A88" s="2">
        <v>16.606684939098</v>
      </c>
      <c r="B88" s="2">
        <v>0.048169976542672</v>
      </c>
      <c r="C88" s="2">
        <v>90.227378139998</v>
      </c>
      <c r="D88" s="2">
        <v>0.050599614191434</v>
      </c>
      <c r="E88" s="2">
        <v>4.1695735347601</v>
      </c>
      <c r="F88" s="2">
        <v>0.73494732244657</v>
      </c>
      <c r="G88" s="2">
        <v>66629027.312741</v>
      </c>
      <c r="H88" s="2">
        <v>12580911.013628</v>
      </c>
      <c r="I88" s="2">
        <v>-0.02507408755593</v>
      </c>
      <c r="J88" s="2">
        <v>-0.022139430888458</v>
      </c>
      <c r="K88" s="2">
        <v>0.048600642204435</v>
      </c>
      <c r="L88" s="2">
        <v>-0.67111543875471</v>
      </c>
      <c r="M88" s="2">
        <v>-0.66538887151039</v>
      </c>
      <c r="N88" s="2">
        <v>672.29047724708</v>
      </c>
      <c r="O88" s="2">
        <v>763.21880507017</v>
      </c>
    </row>
    <row r="89" spans="1:15">
      <c r="A89" s="2">
        <v>16.806684939098</v>
      </c>
      <c r="B89" s="2">
        <v>0.048773894968176</v>
      </c>
      <c r="C89" s="2">
        <v>90.226366579794</v>
      </c>
      <c r="D89" s="2">
        <v>0.05121138765752</v>
      </c>
      <c r="E89" s="2">
        <v>4.1745875619883</v>
      </c>
      <c r="F89" s="2">
        <v>0.73193959036438</v>
      </c>
      <c r="G89" s="2">
        <v>67379517.441921</v>
      </c>
      <c r="H89" s="2">
        <v>12706040.91916</v>
      </c>
      <c r="I89" s="2">
        <v>-0.025374624570932</v>
      </c>
      <c r="J89" s="2">
        <v>-0.022407121772489</v>
      </c>
      <c r="K89" s="2">
        <v>0.049171578437413</v>
      </c>
      <c r="L89" s="2">
        <v>-0.67983213167195</v>
      </c>
      <c r="M89" s="2">
        <v>-0.67390206892527</v>
      </c>
      <c r="N89" s="2">
        <v>673.69795789473</v>
      </c>
      <c r="O89" s="2">
        <v>764.92745180456</v>
      </c>
    </row>
    <row r="90" spans="1:15">
      <c r="A90" s="2">
        <v>17</v>
      </c>
      <c r="B90" s="2">
        <v>0.04935753505426</v>
      </c>
      <c r="C90" s="2">
        <v>90.225391172898</v>
      </c>
      <c r="D90" s="2">
        <v>0.051802716070075</v>
      </c>
      <c r="E90" s="2">
        <v>4.179432170554</v>
      </c>
      <c r="F90" s="2">
        <v>0.72904139816928</v>
      </c>
      <c r="G90" s="2">
        <v>68106527.642465</v>
      </c>
      <c r="H90" s="2">
        <v>12827214.127597</v>
      </c>
      <c r="I90" s="2">
        <v>-0.025664915188673</v>
      </c>
      <c r="J90" s="2">
        <v>-0.022665716498742</v>
      </c>
      <c r="K90" s="2">
        <v>0.04972311687529</v>
      </c>
      <c r="L90" s="2">
        <v>-0.687793765581</v>
      </c>
      <c r="M90" s="2">
        <v>-0.68162585985527</v>
      </c>
      <c r="N90" s="2">
        <v>675.0764683486</v>
      </c>
      <c r="O90" s="2">
        <v>766.59731917301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6"/>
  <sheetViews>
    <sheetView workbookViewId="0">
      <selection activeCell="A1" sqref="A1:O90"/>
    </sheetView>
  </sheetViews>
  <sheetFormatPr defaultColWidth="8.81481481481481" defaultRowHeight="15"/>
  <cols>
    <col min="2" max="2" width="12.5037037037037"/>
  </cols>
  <sheetData>
    <row r="1" spans="1:39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>
      <c r="A3" s="2">
        <v>0.0025830812468784</v>
      </c>
      <c r="B3" s="3">
        <v>4.9734611194144e-59</v>
      </c>
      <c r="C3" s="2">
        <v>90.287234003276</v>
      </c>
      <c r="D3" s="3">
        <v>6.8629674595694e-6</v>
      </c>
      <c r="E3" s="2">
        <v>6.6107821995972</v>
      </c>
      <c r="F3" s="2">
        <v>0.9920392498521</v>
      </c>
      <c r="G3" s="2">
        <v>16000000</v>
      </c>
      <c r="H3" s="2">
        <v>4000000</v>
      </c>
      <c r="I3" s="3">
        <v>-2.0508332940263e-6</v>
      </c>
      <c r="J3" s="3">
        <v>-1.8839458297131e-6</v>
      </c>
      <c r="K3" s="3">
        <v>7.7492133919981e-6</v>
      </c>
      <c r="L3" s="3">
        <v>-9.1805925458913e-8</v>
      </c>
      <c r="M3" s="3">
        <v>-9.0437121187697e-8</v>
      </c>
      <c r="N3" s="2">
        <v>1.8236769201752</v>
      </c>
      <c r="O3" s="2">
        <v>1.8934483319625</v>
      </c>
      <c r="P3" s="5"/>
      <c r="Q3" s="5"/>
      <c r="R3" s="5"/>
      <c r="S3" s="5"/>
      <c r="T3" s="5"/>
      <c r="U3" s="4"/>
      <c r="V3" s="5"/>
      <c r="W3" s="5"/>
      <c r="X3" s="5"/>
      <c r="Y3" s="5"/>
      <c r="Z3" s="5"/>
      <c r="AA3" s="5"/>
      <c r="AB3" s="5"/>
      <c r="AC3" s="4"/>
      <c r="AD3" s="4"/>
      <c r="AE3" s="4"/>
      <c r="AF3" s="4"/>
      <c r="AG3" s="5"/>
      <c r="AH3" s="5"/>
      <c r="AI3" s="5"/>
      <c r="AJ3" s="5"/>
      <c r="AK3" s="5"/>
      <c r="AL3" s="4"/>
      <c r="AM3" s="4"/>
    </row>
    <row r="4" spans="1:39">
      <c r="A4" s="2">
        <v>0.018444056862426</v>
      </c>
      <c r="B4" s="3">
        <v>4.0358508874828e-51</v>
      </c>
      <c r="C4" s="2">
        <v>90.287520984663</v>
      </c>
      <c r="D4" s="3">
        <v>4.9005581533314e-5</v>
      </c>
      <c r="E4" s="2">
        <v>6.6107880155523</v>
      </c>
      <c r="F4" s="2">
        <v>0.9920883630982</v>
      </c>
      <c r="G4" s="2">
        <v>16000000</v>
      </c>
      <c r="H4" s="2">
        <v>4000000</v>
      </c>
      <c r="I4" s="3">
        <v>-1.4645712083787e-5</v>
      </c>
      <c r="J4" s="3">
        <v>-1.3453917292182e-5</v>
      </c>
      <c r="K4" s="3">
        <v>5.5330623329729e-5</v>
      </c>
      <c r="L4" s="3">
        <v>-4.6769657803506e-6</v>
      </c>
      <c r="M4" s="3">
        <v>-4.6076741875556e-6</v>
      </c>
      <c r="N4" s="2">
        <v>13.025053372763</v>
      </c>
      <c r="O4" s="2">
        <v>13.523205760564</v>
      </c>
      <c r="P4" s="5"/>
      <c r="Q4" s="5"/>
      <c r="R4" s="5"/>
      <c r="S4" s="5"/>
      <c r="T4" s="5"/>
      <c r="U4" s="4"/>
      <c r="V4" s="5"/>
      <c r="W4" s="5"/>
      <c r="X4" s="5"/>
      <c r="Y4" s="5"/>
      <c r="Z4" s="5"/>
      <c r="AA4" s="5"/>
      <c r="AB4" s="5"/>
      <c r="AC4" s="4"/>
      <c r="AD4" s="4"/>
      <c r="AE4" s="4"/>
      <c r="AF4" s="4"/>
      <c r="AG4" s="5"/>
      <c r="AH4" s="5"/>
      <c r="AI4" s="5"/>
      <c r="AJ4" s="5"/>
      <c r="AK4" s="5"/>
      <c r="AL4" s="4"/>
      <c r="AM4" s="4"/>
    </row>
    <row r="5" spans="1:39">
      <c r="A5" s="2">
        <v>0.1</v>
      </c>
      <c r="B5" s="3">
        <v>3.2515570748057e-35</v>
      </c>
      <c r="C5" s="2">
        <v>90.289037025209</v>
      </c>
      <c r="D5" s="2">
        <v>0.00026574977614505</v>
      </c>
      <c r="E5" s="2">
        <v>6.6108174508126</v>
      </c>
      <c r="F5" s="2">
        <v>0.99234065575988</v>
      </c>
      <c r="G5" s="2">
        <v>16000000</v>
      </c>
      <c r="H5" s="2">
        <v>4000000</v>
      </c>
      <c r="I5" s="3">
        <v>-7.9472521509721e-5</v>
      </c>
      <c r="J5" s="3">
        <v>-7.3005636470203e-5</v>
      </c>
      <c r="K5" s="2">
        <v>0.00029995452417872</v>
      </c>
      <c r="L5" s="2">
        <v>-0.00013597069292346</v>
      </c>
      <c r="M5" s="2">
        <v>-0.00013407438788067</v>
      </c>
      <c r="N5" s="2">
        <v>70.725428155971</v>
      </c>
      <c r="O5" s="2">
        <v>73.425246557148</v>
      </c>
      <c r="P5" s="5"/>
      <c r="Q5" s="5"/>
      <c r="R5" s="5"/>
      <c r="S5" s="5"/>
      <c r="T5" s="5"/>
      <c r="U5" s="4"/>
      <c r="V5" s="5"/>
      <c r="W5" s="5"/>
      <c r="X5" s="5"/>
      <c r="Y5" s="5"/>
      <c r="Z5" s="5"/>
      <c r="AA5" s="5"/>
      <c r="AB5" s="5"/>
      <c r="AC5" s="4"/>
      <c r="AD5" s="4"/>
      <c r="AE5" s="4"/>
      <c r="AF5" s="4"/>
      <c r="AG5" s="5"/>
      <c r="AH5" s="5"/>
      <c r="AI5" s="5"/>
      <c r="AJ5" s="5"/>
      <c r="AK5" s="5"/>
      <c r="AL5" s="4"/>
      <c r="AM5" s="4"/>
    </row>
    <row r="6" spans="1:39">
      <c r="A6" s="2">
        <v>0.20668493909835</v>
      </c>
      <c r="B6" s="3">
        <v>1.4771688235354e-25</v>
      </c>
      <c r="C6" s="2">
        <v>90.291130863109</v>
      </c>
      <c r="D6" s="2">
        <v>0.0005493949509937</v>
      </c>
      <c r="E6" s="2">
        <v>6.6108549432201</v>
      </c>
      <c r="F6" s="2">
        <v>0.99267010185484</v>
      </c>
      <c r="G6" s="2">
        <v>16000000</v>
      </c>
      <c r="H6" s="2">
        <v>4000000</v>
      </c>
      <c r="I6" s="2">
        <v>-0.00016441645889011</v>
      </c>
      <c r="J6" s="2">
        <v>-0.00015103795087922</v>
      </c>
      <c r="K6" s="2">
        <v>0.00061986059329911</v>
      </c>
      <c r="L6" s="2">
        <v>-0.00058464043922903</v>
      </c>
      <c r="M6" s="2">
        <v>-0.00057642558468703</v>
      </c>
      <c r="N6" s="2">
        <v>146.43745190292</v>
      </c>
      <c r="O6" s="2">
        <v>152.01466742594</v>
      </c>
      <c r="P6" s="5"/>
      <c r="Q6" s="5"/>
      <c r="R6" s="5"/>
      <c r="S6" s="5"/>
      <c r="T6" s="5"/>
      <c r="U6" s="4"/>
      <c r="V6" s="5"/>
      <c r="W6" s="5"/>
      <c r="X6" s="5"/>
      <c r="Y6" s="5"/>
      <c r="Z6" s="5"/>
      <c r="AA6" s="5"/>
      <c r="AB6" s="5"/>
      <c r="AC6" s="4"/>
      <c r="AD6" s="4"/>
      <c r="AE6" s="4"/>
      <c r="AF6" s="4"/>
      <c r="AG6" s="5"/>
      <c r="AH6" s="5"/>
      <c r="AI6" s="4"/>
      <c r="AJ6" s="5"/>
      <c r="AK6" s="5"/>
      <c r="AL6" s="4"/>
      <c r="AM6" s="4"/>
    </row>
    <row r="7" spans="1:39">
      <c r="A7" s="2">
        <v>0.40668493909835</v>
      </c>
      <c r="B7" s="3">
        <v>2.294970889697e-13</v>
      </c>
      <c r="C7" s="2">
        <v>90.295452930263</v>
      </c>
      <c r="D7" s="2">
        <v>0.0010815335684718</v>
      </c>
      <c r="E7" s="2">
        <v>6.6109214848639</v>
      </c>
      <c r="F7" s="2">
        <v>0.99328579249402</v>
      </c>
      <c r="G7" s="2">
        <v>16000000.000122</v>
      </c>
      <c r="H7" s="2">
        <v>4000000.0000213</v>
      </c>
      <c r="I7" s="2">
        <v>-0.00032418115262065</v>
      </c>
      <c r="J7" s="2">
        <v>-0.000297804509894</v>
      </c>
      <c r="K7" s="2">
        <v>0.0012193031512571</v>
      </c>
      <c r="L7" s="2">
        <v>-0.0022655821113746</v>
      </c>
      <c r="M7" s="2">
        <v>-0.0022348506225939</v>
      </c>
      <c r="N7" s="2">
        <v>289.20477135265</v>
      </c>
      <c r="O7" s="2">
        <v>300.1682537858</v>
      </c>
      <c r="P7" s="5"/>
      <c r="Q7" s="5"/>
      <c r="R7" s="5"/>
      <c r="S7" s="5"/>
      <c r="T7" s="5"/>
      <c r="U7" s="4"/>
      <c r="V7" s="5"/>
      <c r="W7" s="5"/>
      <c r="X7" s="5"/>
      <c r="Y7" s="5"/>
      <c r="Z7" s="5"/>
      <c r="AA7" s="5"/>
      <c r="AB7" s="5"/>
      <c r="AC7" s="4"/>
      <c r="AD7" s="4"/>
      <c r="AE7" s="4"/>
      <c r="AF7" s="4"/>
      <c r="AG7" s="5"/>
      <c r="AH7" s="5"/>
      <c r="AI7" s="4"/>
      <c r="AJ7" s="4"/>
      <c r="AK7" s="4"/>
      <c r="AL7" s="4"/>
      <c r="AM7" s="4"/>
    </row>
    <row r="8" spans="1:39">
      <c r="A8" s="2">
        <v>0.60668493909835</v>
      </c>
      <c r="B8" s="3">
        <v>2.2970568261309e-6</v>
      </c>
      <c r="C8" s="2">
        <v>90.300400966571</v>
      </c>
      <c r="D8" s="2">
        <v>0.0016145203554301</v>
      </c>
      <c r="E8" s="2">
        <v>6.6109990357972</v>
      </c>
      <c r="F8" s="2">
        <v>0.99386371108979</v>
      </c>
      <c r="G8" s="2">
        <v>16001225.929625</v>
      </c>
      <c r="H8" s="2">
        <v>4000213.0192742</v>
      </c>
      <c r="I8" s="2">
        <v>-0.00048535745007602</v>
      </c>
      <c r="J8" s="2">
        <v>-0.00044541812417401</v>
      </c>
      <c r="K8" s="2">
        <v>0.0018183826987383</v>
      </c>
      <c r="L8" s="2">
        <v>-0.0048126886811946</v>
      </c>
      <c r="M8" s="2">
        <v>-0.0047849555218236</v>
      </c>
      <c r="N8" s="2">
        <v>432.53529387635</v>
      </c>
      <c r="O8" s="2">
        <v>448.88958206018</v>
      </c>
      <c r="P8" s="5"/>
      <c r="Q8" s="5"/>
      <c r="R8" s="5"/>
      <c r="S8" s="5"/>
      <c r="T8" s="5"/>
      <c r="U8" s="4"/>
      <c r="V8" s="5"/>
      <c r="W8" s="5"/>
      <c r="X8" s="5"/>
      <c r="Y8" s="5"/>
      <c r="Z8" s="5"/>
      <c r="AA8" s="5"/>
      <c r="AB8" s="5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>
      <c r="A9" s="2">
        <v>0.80668493909835</v>
      </c>
      <c r="B9" s="2">
        <v>0.00024245336516187</v>
      </c>
      <c r="C9" s="2">
        <v>90.304178468838</v>
      </c>
      <c r="D9" s="2">
        <v>0.0021746236612529</v>
      </c>
      <c r="E9" s="2">
        <v>6.6137613284187</v>
      </c>
      <c r="F9" s="2">
        <v>0.99387145855906</v>
      </c>
      <c r="G9" s="2">
        <v>16133719.818747</v>
      </c>
      <c r="H9" s="2">
        <v>4023223.7482146</v>
      </c>
      <c r="I9" s="2">
        <v>-0.00070121611255535</v>
      </c>
      <c r="J9" s="2">
        <v>-0.00063342359769469</v>
      </c>
      <c r="K9" s="2">
        <v>0.0024170986273316</v>
      </c>
      <c r="L9" s="2">
        <v>-0.013443182599441</v>
      </c>
      <c r="M9" s="2">
        <v>-0.01261094568218</v>
      </c>
      <c r="N9" s="2">
        <v>530.01600509724</v>
      </c>
      <c r="O9" s="2">
        <v>552.93466744328</v>
      </c>
      <c r="P9" s="5"/>
      <c r="Q9" s="5"/>
      <c r="R9" s="5"/>
      <c r="S9" s="5"/>
      <c r="T9" s="5"/>
      <c r="U9" s="4"/>
      <c r="V9" s="5"/>
      <c r="W9" s="5"/>
      <c r="X9" s="5"/>
      <c r="Y9" s="5"/>
      <c r="Z9" s="5"/>
      <c r="AA9" s="5"/>
      <c r="AB9" s="5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>
      <c r="A10" s="2">
        <v>1.0066849390983</v>
      </c>
      <c r="B10" s="2">
        <v>0.00081092747549627</v>
      </c>
      <c r="C10" s="2">
        <v>90.30773435463</v>
      </c>
      <c r="D10" s="2">
        <v>0.0027684807681469</v>
      </c>
      <c r="E10" s="2">
        <v>6.6186770770922</v>
      </c>
      <c r="F10" s="2">
        <v>0.99271989396085</v>
      </c>
      <c r="G10" s="2">
        <v>16472193.751443</v>
      </c>
      <c r="H10" s="2">
        <v>4081959.5062866</v>
      </c>
      <c r="I10" s="2">
        <v>-0.00098576973706427</v>
      </c>
      <c r="J10" s="2">
        <v>-0.00088342110744081</v>
      </c>
      <c r="K10" s="2">
        <v>0.0030154510463252</v>
      </c>
      <c r="L10" s="2">
        <v>-0.022341236571707</v>
      </c>
      <c r="M10" s="2">
        <v>-0.022034823886019</v>
      </c>
      <c r="N10" s="2">
        <v>562.29768659558</v>
      </c>
      <c r="O10" s="2">
        <v>593.56146650975</v>
      </c>
      <c r="P10" s="5"/>
      <c r="Q10" s="5"/>
      <c r="R10" s="5"/>
      <c r="S10" s="5"/>
      <c r="T10" s="5"/>
      <c r="U10" s="4"/>
      <c r="V10" s="5"/>
      <c r="W10" s="5"/>
      <c r="X10" s="5"/>
      <c r="Y10" s="5"/>
      <c r="Z10" s="5"/>
      <c r="AA10" s="5"/>
      <c r="AB10" s="5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>
      <c r="A11" s="2">
        <v>1.2066849390983</v>
      </c>
      <c r="B11" s="2">
        <v>0.0014243384518327</v>
      </c>
      <c r="C11" s="2">
        <v>90.309549149988</v>
      </c>
      <c r="D11" s="2">
        <v>0.0033734655028383</v>
      </c>
      <c r="E11" s="2">
        <v>6.6218370432303</v>
      </c>
      <c r="F11" s="2">
        <v>0.99014553289342</v>
      </c>
      <c r="G11" s="2">
        <v>16869418.492263</v>
      </c>
      <c r="H11" s="2">
        <v>4150824.465341</v>
      </c>
      <c r="I11" s="2">
        <v>-0.0012867154780396</v>
      </c>
      <c r="J11" s="2">
        <v>-0.001144806997848</v>
      </c>
      <c r="K11" s="2">
        <v>0.0036134403697441</v>
      </c>
      <c r="L11" s="2">
        <v>-0.032345793222716</v>
      </c>
      <c r="M11" s="2">
        <v>-0.03231222811716</v>
      </c>
      <c r="N11" s="2">
        <v>580.47864096825</v>
      </c>
      <c r="O11" s="2">
        <v>620.25063277927</v>
      </c>
      <c r="P11" s="5"/>
      <c r="Q11" s="5"/>
      <c r="R11" s="5"/>
      <c r="S11" s="5"/>
      <c r="T11" s="5"/>
      <c r="U11" s="4"/>
      <c r="V11" s="5"/>
      <c r="W11" s="5"/>
      <c r="X11" s="5"/>
      <c r="Y11" s="5"/>
      <c r="Z11" s="5"/>
      <c r="AA11" s="5"/>
      <c r="AB11" s="5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>
      <c r="A12" s="2">
        <v>1.4066849390983</v>
      </c>
      <c r="B12" s="2">
        <v>0.002039614570256</v>
      </c>
      <c r="C12" s="2">
        <v>90.310072563628</v>
      </c>
      <c r="D12" s="2">
        <v>0.0039843258898202</v>
      </c>
      <c r="E12" s="2">
        <v>6.625197856529</v>
      </c>
      <c r="F12" s="2">
        <v>0.98690459163675</v>
      </c>
      <c r="G12" s="2">
        <v>17298874.087917</v>
      </c>
      <c r="H12" s="2">
        <v>4225216.76077</v>
      </c>
      <c r="I12" s="2">
        <v>-0.0015940397363633</v>
      </c>
      <c r="J12" s="2">
        <v>-0.0014110647471221</v>
      </c>
      <c r="K12" s="2">
        <v>0.0042110635674342</v>
      </c>
      <c r="L12" s="2">
        <v>-0.038203417634901</v>
      </c>
      <c r="M12" s="2">
        <v>-0.037866191233275</v>
      </c>
      <c r="N12" s="2">
        <v>592.83472758954</v>
      </c>
      <c r="O12" s="2">
        <v>640.07948929555</v>
      </c>
      <c r="P12" s="5"/>
      <c r="Q12" s="5"/>
      <c r="R12" s="5"/>
      <c r="S12" s="5"/>
      <c r="T12" s="5"/>
      <c r="U12" s="4"/>
      <c r="V12" s="5"/>
      <c r="W12" s="5"/>
      <c r="X12" s="5"/>
      <c r="Y12" s="5"/>
      <c r="Z12" s="5"/>
      <c r="AA12" s="5"/>
      <c r="AB12" s="5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>
      <c r="A13" s="2">
        <v>1.6066849390983</v>
      </c>
      <c r="B13" s="2">
        <v>0.0026520808797286</v>
      </c>
      <c r="C13" s="2">
        <v>90.309996709821</v>
      </c>
      <c r="D13" s="2">
        <v>0.0045982273362906</v>
      </c>
      <c r="E13" s="2">
        <v>6.6289338891781</v>
      </c>
      <c r="F13" s="2">
        <v>0.98306173437418</v>
      </c>
      <c r="G13" s="2">
        <v>17752853.649163</v>
      </c>
      <c r="H13" s="2">
        <v>4303800.8063154</v>
      </c>
      <c r="I13" s="2">
        <v>-0.0019026449760557</v>
      </c>
      <c r="J13" s="2">
        <v>-0.0016826263814837</v>
      </c>
      <c r="K13" s="2">
        <v>0.0048083206226222</v>
      </c>
      <c r="L13" s="2">
        <v>-0.047937283436103</v>
      </c>
      <c r="M13" s="2">
        <v>-0.047172106259884</v>
      </c>
      <c r="N13" s="2">
        <v>601.69155566828</v>
      </c>
      <c r="O13" s="2">
        <v>654.97348739576</v>
      </c>
      <c r="P13" s="5"/>
      <c r="Q13" s="5"/>
      <c r="R13" s="5"/>
      <c r="S13" s="5"/>
      <c r="T13" s="5"/>
      <c r="U13" s="4"/>
      <c r="V13" s="5"/>
      <c r="W13" s="5"/>
      <c r="X13" s="5"/>
      <c r="Y13" s="5"/>
      <c r="Z13" s="5"/>
      <c r="AA13" s="5"/>
      <c r="AB13" s="5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>
      <c r="A14" s="2">
        <v>1.8066849390983</v>
      </c>
      <c r="B14" s="2">
        <v>0.0032608265093638</v>
      </c>
      <c r="C14" s="2">
        <v>90.309421039589</v>
      </c>
      <c r="D14" s="2">
        <v>0.0052136596524393</v>
      </c>
      <c r="E14" s="2">
        <v>6.6327890048975</v>
      </c>
      <c r="F14" s="2">
        <v>0.97899598324129</v>
      </c>
      <c r="G14" s="2">
        <v>18227008.946011</v>
      </c>
      <c r="H14" s="2">
        <v>4385821.9858299</v>
      </c>
      <c r="I14" s="2">
        <v>-0.0022128614920343</v>
      </c>
      <c r="J14" s="2">
        <v>-0.001956817046901</v>
      </c>
      <c r="K14" s="2">
        <v>0.0054052139500751</v>
      </c>
      <c r="L14" s="2">
        <v>-0.06007296080912</v>
      </c>
      <c r="M14" s="2">
        <v>-0.059743283791725</v>
      </c>
      <c r="N14" s="2">
        <v>608.20404573601</v>
      </c>
      <c r="O14" s="2">
        <v>665.98276387032</v>
      </c>
      <c r="P14" s="5"/>
      <c r="Q14" s="5"/>
      <c r="R14" s="5"/>
      <c r="S14" s="5"/>
      <c r="T14" s="5"/>
      <c r="U14" s="4"/>
      <c r="V14" s="5"/>
      <c r="W14" s="5"/>
      <c r="X14" s="5"/>
      <c r="Y14" s="5"/>
      <c r="Z14" s="5"/>
      <c r="AA14" s="5"/>
      <c r="AB14" s="5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>
      <c r="A15" s="2">
        <v>2.0066849390983</v>
      </c>
      <c r="B15" s="2">
        <v>0.0038675658877763</v>
      </c>
      <c r="C15" s="2">
        <v>90.308550969762</v>
      </c>
      <c r="D15" s="2">
        <v>0.0058298132089608</v>
      </c>
      <c r="E15" s="2">
        <v>6.6366740108684</v>
      </c>
      <c r="F15" s="2">
        <v>0.97494007427025</v>
      </c>
      <c r="G15" s="2">
        <v>18715905.889761</v>
      </c>
      <c r="H15" s="2">
        <v>4470335.478976</v>
      </c>
      <c r="I15" s="2">
        <v>-0.0025247050344085</v>
      </c>
      <c r="J15" s="2">
        <v>-0.0022316552722227</v>
      </c>
      <c r="K15" s="2">
        <v>0.0060017438944169</v>
      </c>
      <c r="L15" s="2">
        <v>-0.071279188014046</v>
      </c>
      <c r="M15" s="2">
        <v>-0.071271418906536</v>
      </c>
      <c r="N15" s="2">
        <v>613.35913244111</v>
      </c>
      <c r="O15" s="2">
        <v>674.57469348639</v>
      </c>
      <c r="P15" s="5"/>
      <c r="Q15" s="5"/>
      <c r="R15" s="4"/>
      <c r="S15" s="5"/>
      <c r="T15" s="5"/>
      <c r="U15" s="4"/>
      <c r="V15" s="5"/>
      <c r="W15" s="5"/>
      <c r="X15" s="5"/>
      <c r="Y15" s="5"/>
      <c r="Z15" s="5"/>
      <c r="AA15" s="5"/>
      <c r="AB15" s="5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>
      <c r="A16" s="2">
        <v>2.2066849390983</v>
      </c>
      <c r="B16" s="2">
        <v>0.0044730391595827</v>
      </c>
      <c r="C16" s="2">
        <v>90.307485552032</v>
      </c>
      <c r="D16" s="2">
        <v>0.0064461579102743</v>
      </c>
      <c r="E16" s="2">
        <v>6.6406112346077</v>
      </c>
      <c r="F16" s="2">
        <v>0.97082705332788</v>
      </c>
      <c r="G16" s="2">
        <v>19216337.92415</v>
      </c>
      <c r="H16" s="2">
        <v>4556783.7595582</v>
      </c>
      <c r="I16" s="2">
        <v>-0.0028379621685197</v>
      </c>
      <c r="J16" s="2">
        <v>-0.0025063345181055</v>
      </c>
      <c r="K16" s="2">
        <v>0.0065979116353202</v>
      </c>
      <c r="L16" s="2">
        <v>-0.081563771576264</v>
      </c>
      <c r="M16" s="2">
        <v>-0.0819478865242</v>
      </c>
      <c r="N16" s="2">
        <v>617.67402499964</v>
      </c>
      <c r="O16" s="2">
        <v>681.58779883262</v>
      </c>
      <c r="P16" s="5"/>
      <c r="Q16" s="4"/>
      <c r="R16" s="4"/>
      <c r="S16" s="5"/>
      <c r="T16" s="4"/>
      <c r="U16" s="4"/>
      <c r="V16" s="5"/>
      <c r="W16" s="5"/>
      <c r="X16" s="5"/>
      <c r="Y16" s="5"/>
      <c r="Z16" s="5"/>
      <c r="AA16" s="5"/>
      <c r="AB16" s="5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>
      <c r="A17" s="2">
        <v>2.4066849390983</v>
      </c>
      <c r="B17" s="2">
        <v>0.0050778115075202</v>
      </c>
      <c r="C17" s="2">
        <v>90.306327598497</v>
      </c>
      <c r="D17" s="2">
        <v>0.0070624368936877</v>
      </c>
      <c r="E17" s="2">
        <v>6.6445739086064</v>
      </c>
      <c r="F17" s="2">
        <v>0.9667323667492</v>
      </c>
      <c r="G17" s="2">
        <v>19726264.109098</v>
      </c>
      <c r="H17" s="2">
        <v>4644811.6760257</v>
      </c>
      <c r="I17" s="2">
        <v>-0.0031523412624649</v>
      </c>
      <c r="J17" s="2">
        <v>-0.0027805868208481</v>
      </c>
      <c r="K17" s="2">
        <v>0.0071937192423746</v>
      </c>
      <c r="L17" s="2">
        <v>-0.089556210268188</v>
      </c>
      <c r="M17" s="2">
        <v>-0.090028099364585</v>
      </c>
      <c r="N17" s="2">
        <v>621.43170962067</v>
      </c>
      <c r="O17" s="2">
        <v>687.52652605014</v>
      </c>
      <c r="P17" s="5"/>
      <c r="Q17" s="4"/>
      <c r="R17" s="4"/>
      <c r="S17" s="5"/>
      <c r="T17" s="4"/>
      <c r="U17" s="4"/>
      <c r="V17" s="5"/>
      <c r="W17" s="5"/>
      <c r="X17" s="5"/>
      <c r="Y17" s="5"/>
      <c r="Z17" s="5"/>
      <c r="AA17" s="5"/>
      <c r="AB17" s="5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>
      <c r="A18" s="2">
        <v>2.6066849390983</v>
      </c>
      <c r="B18" s="2">
        <v>0.005682435553706</v>
      </c>
      <c r="C18" s="2">
        <v>90.305147984849</v>
      </c>
      <c r="D18" s="2">
        <v>0.0076785670314047</v>
      </c>
      <c r="E18" s="2">
        <v>6.648544703353</v>
      </c>
      <c r="F18" s="2">
        <v>0.96274889626593</v>
      </c>
      <c r="G18" s="2">
        <v>20243980.401051</v>
      </c>
      <c r="H18" s="2">
        <v>4734122.8953328</v>
      </c>
      <c r="I18" s="2">
        <v>-0.00346732525306</v>
      </c>
      <c r="J18" s="2">
        <v>-0.0030545755675455</v>
      </c>
      <c r="K18" s="2">
        <v>0.0077891672295567</v>
      </c>
      <c r="L18" s="2">
        <v>-0.1015172317889</v>
      </c>
      <c r="M18" s="2">
        <v>-0.10390643481493</v>
      </c>
      <c r="N18" s="2">
        <v>624.83342494376</v>
      </c>
      <c r="O18" s="2">
        <v>692.79234427129</v>
      </c>
      <c r="P18" s="5"/>
      <c r="Q18" s="4"/>
      <c r="R18" s="4"/>
      <c r="S18" s="5"/>
      <c r="T18" s="4"/>
      <c r="U18" s="4"/>
      <c r="V18" s="5"/>
      <c r="W18" s="5"/>
      <c r="X18" s="5"/>
      <c r="Y18" s="5"/>
      <c r="Z18" s="5"/>
      <c r="AA18" s="5"/>
      <c r="AB18" s="5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>
      <c r="A19" s="2">
        <v>2.8066849390983</v>
      </c>
      <c r="B19" s="2">
        <v>0.0062870904931462</v>
      </c>
      <c r="C19" s="2">
        <v>90.303946738595</v>
      </c>
      <c r="D19" s="2">
        <v>0.0082945233907947</v>
      </c>
      <c r="E19" s="2">
        <v>6.6525287657897</v>
      </c>
      <c r="F19" s="2">
        <v>0.95881171098979</v>
      </c>
      <c r="G19" s="2">
        <v>20768500.80548</v>
      </c>
      <c r="H19" s="2">
        <v>4824545.934891</v>
      </c>
      <c r="I19" s="2">
        <v>-0.0037825398431243</v>
      </c>
      <c r="J19" s="2">
        <v>-0.003328419235869</v>
      </c>
      <c r="K19" s="2">
        <v>0.0083842553837064</v>
      </c>
      <c r="L19" s="2">
        <v>-0.11126615354509</v>
      </c>
      <c r="M19" s="2">
        <v>-0.1135370664373</v>
      </c>
      <c r="N19" s="2">
        <v>627.99489110472</v>
      </c>
      <c r="O19" s="2">
        <v>697.58705852945</v>
      </c>
      <c r="P19" s="5"/>
      <c r="Q19" s="4"/>
      <c r="R19" s="4"/>
      <c r="S19" s="5"/>
      <c r="T19" s="4"/>
      <c r="U19" s="4"/>
      <c r="V19" s="5"/>
      <c r="W19" s="5"/>
      <c r="X19" s="5"/>
      <c r="Y19" s="5"/>
      <c r="Z19" s="5"/>
      <c r="AA19" s="5"/>
      <c r="AB19" s="5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>
      <c r="A20" s="2">
        <v>3.0066849390983</v>
      </c>
      <c r="B20" s="2">
        <v>0.0068917437636</v>
      </c>
      <c r="C20" s="2">
        <v>90.302729407475</v>
      </c>
      <c r="D20" s="2">
        <v>0.008910286837446</v>
      </c>
      <c r="E20" s="2">
        <v>6.656544973906</v>
      </c>
      <c r="F20" s="2">
        <v>0.95490248361854</v>
      </c>
      <c r="G20" s="2">
        <v>21299237.64004</v>
      </c>
      <c r="H20" s="2">
        <v>4915978.6938412</v>
      </c>
      <c r="I20" s="2">
        <v>-0.0040976964526161</v>
      </c>
      <c r="J20" s="2">
        <v>-0.0036023245553375</v>
      </c>
      <c r="K20" s="2">
        <v>0.0089789838308887</v>
      </c>
      <c r="L20" s="2">
        <v>-0.12438266463457</v>
      </c>
      <c r="M20" s="2">
        <v>-0.12662042750534</v>
      </c>
      <c r="N20" s="2">
        <v>630.97401146735</v>
      </c>
      <c r="O20" s="2">
        <v>702.02457553473</v>
      </c>
      <c r="P20" s="5"/>
      <c r="Q20" s="4"/>
      <c r="R20" s="4"/>
      <c r="S20" s="5"/>
      <c r="T20" s="4"/>
      <c r="U20" s="4"/>
      <c r="V20" s="5"/>
      <c r="W20" s="5"/>
      <c r="X20" s="5"/>
      <c r="Y20" s="5"/>
      <c r="Z20" s="5"/>
      <c r="AA20" s="5"/>
      <c r="AB20" s="5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>
      <c r="A21" s="2">
        <v>3.2066849390983</v>
      </c>
      <c r="B21" s="2">
        <v>0.0074963594012234</v>
      </c>
      <c r="C21" s="2">
        <v>90.30150441971</v>
      </c>
      <c r="D21" s="2">
        <v>0.0095258508250589</v>
      </c>
      <c r="E21" s="2">
        <v>6.6605901326451</v>
      </c>
      <c r="F21" s="2">
        <v>0.95104467255275</v>
      </c>
      <c r="G21" s="2">
        <v>21835827.436755</v>
      </c>
      <c r="H21" s="2">
        <v>5008358.1979855</v>
      </c>
      <c r="I21" s="2">
        <v>-0.0044125977472287</v>
      </c>
      <c r="J21" s="2">
        <v>-0.0038763821794522</v>
      </c>
      <c r="K21" s="2">
        <v>0.0095733531171132</v>
      </c>
      <c r="L21" s="2">
        <v>-0.13344901589901</v>
      </c>
      <c r="M21" s="2">
        <v>-0.13711689840797</v>
      </c>
      <c r="N21" s="2">
        <v>633.81129289513</v>
      </c>
      <c r="O21" s="2">
        <v>706.16405194252</v>
      </c>
      <c r="P21" s="5"/>
      <c r="Q21" s="4"/>
      <c r="R21" s="4"/>
      <c r="S21" s="4"/>
      <c r="T21" s="4"/>
      <c r="U21" s="4"/>
      <c r="V21" s="5"/>
      <c r="W21" s="5"/>
      <c r="X21" s="5"/>
      <c r="Y21" s="5"/>
      <c r="Z21" s="5"/>
      <c r="AA21" s="5"/>
      <c r="AB21" s="5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>
      <c r="A22" s="2">
        <v>3.4066849390983</v>
      </c>
      <c r="B22" s="2">
        <v>0.0081008738971116</v>
      </c>
      <c r="C22" s="2">
        <v>90.300281146319</v>
      </c>
      <c r="D22" s="2">
        <v>0.010141232133907</v>
      </c>
      <c r="E22" s="2">
        <v>6.6646605743883</v>
      </c>
      <c r="F22" s="2">
        <v>0.94725750229904</v>
      </c>
      <c r="G22" s="2">
        <v>22378012.879325</v>
      </c>
      <c r="H22" s="2">
        <v>5101639.9316129</v>
      </c>
      <c r="I22" s="2">
        <v>-0.0047271523703763</v>
      </c>
      <c r="J22" s="2">
        <v>-0.004150638283991</v>
      </c>
      <c r="K22" s="2">
        <v>0.010167363882046</v>
      </c>
      <c r="L22" s="2">
        <v>-0.14164207429173</v>
      </c>
      <c r="M22" s="2">
        <v>-0.14529618842706</v>
      </c>
      <c r="N22" s="2">
        <v>636.53376941475</v>
      </c>
      <c r="O22" s="2">
        <v>710.04631921405</v>
      </c>
      <c r="P22" s="5"/>
      <c r="Q22" s="4"/>
      <c r="R22" s="4"/>
      <c r="S22" s="4"/>
      <c r="T22" s="4"/>
      <c r="U22" s="4"/>
      <c r="V22" s="5"/>
      <c r="W22" s="5"/>
      <c r="X22" s="5"/>
      <c r="Y22" s="5"/>
      <c r="Z22" s="5"/>
      <c r="AA22" s="5"/>
      <c r="AB22" s="5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15">
      <c r="A23" s="2">
        <v>3.6066849390983</v>
      </c>
      <c r="B23" s="2">
        <v>0.0087052376715349</v>
      </c>
      <c r="C23" s="2">
        <v>90.299065524668</v>
      </c>
      <c r="D23" s="2">
        <v>0.010756428303955</v>
      </c>
      <c r="E23" s="2">
        <v>6.6687575846878</v>
      </c>
      <c r="F23" s="2">
        <v>0.94355605135687</v>
      </c>
      <c r="G23" s="2">
        <v>22925569.980435</v>
      </c>
      <c r="H23" s="2">
        <v>5195785.1339437</v>
      </c>
      <c r="I23" s="2">
        <v>-0.0050413437621461</v>
      </c>
      <c r="J23" s="2">
        <v>-0.0044250918330133</v>
      </c>
      <c r="K23" s="2">
        <v>0.01076101675662</v>
      </c>
      <c r="L23" s="2">
        <v>-0.15214590357482</v>
      </c>
      <c r="M23" s="2">
        <v>-0.15484953499958</v>
      </c>
      <c r="N23" s="2">
        <v>639.15849531024</v>
      </c>
      <c r="O23" s="2">
        <v>713.70583218564</v>
      </c>
    </row>
    <row r="24" spans="1:15">
      <c r="A24" s="2">
        <v>3.8066849390983</v>
      </c>
      <c r="B24" s="2">
        <v>0.0093095124690485</v>
      </c>
      <c r="C24" s="2">
        <v>90.297863855734</v>
      </c>
      <c r="D24" s="2">
        <v>0.011371456880272</v>
      </c>
      <c r="E24" s="2">
        <v>6.6728833717687</v>
      </c>
      <c r="F24" s="2">
        <v>0.93993633644469</v>
      </c>
      <c r="G24" s="2">
        <v>23478193.780463</v>
      </c>
      <c r="H24" s="2">
        <v>5290740.8543475</v>
      </c>
      <c r="I24" s="2">
        <v>-0.0053551467910847</v>
      </c>
      <c r="J24" s="2">
        <v>-0.004699710558003</v>
      </c>
      <c r="K24" s="2">
        <v>0.011354312126727</v>
      </c>
      <c r="L24" s="2">
        <v>-0.15973117901795</v>
      </c>
      <c r="M24" s="2">
        <v>-0.16273092731929</v>
      </c>
      <c r="N24" s="2">
        <v>641.7071740507</v>
      </c>
      <c r="O24" s="2">
        <v>717.18962477089</v>
      </c>
    </row>
    <row r="25" spans="1:15">
      <c r="A25" s="2">
        <v>4.0066849390983</v>
      </c>
      <c r="B25" s="2">
        <v>0.0099137650822928</v>
      </c>
      <c r="C25" s="2">
        <v>90.296679755999</v>
      </c>
      <c r="D25" s="2">
        <v>0.011986356711527</v>
      </c>
      <c r="E25" s="2">
        <v>6.6770452460541</v>
      </c>
      <c r="F25" s="2">
        <v>0.93637362437546</v>
      </c>
      <c r="G25" s="2">
        <v>24035605.313275</v>
      </c>
      <c r="H25" s="2">
        <v>5386458.6315785</v>
      </c>
      <c r="I25" s="2">
        <v>-0.0056685970457567</v>
      </c>
      <c r="J25" s="2">
        <v>-0.0049744584490673</v>
      </c>
      <c r="K25" s="2">
        <v>0.011947250303455</v>
      </c>
      <c r="L25" s="2">
        <v>-0.17117506913994</v>
      </c>
      <c r="M25" s="2">
        <v>-0.17467056289638</v>
      </c>
      <c r="N25" s="2">
        <v>644.19494386542</v>
      </c>
      <c r="O25" s="2">
        <v>720.54599490787</v>
      </c>
    </row>
    <row r="26" spans="1:15">
      <c r="A26" s="2">
        <v>4.2066849390983</v>
      </c>
      <c r="B26" s="2">
        <v>0.010518019690969</v>
      </c>
      <c r="C26" s="2">
        <v>90.29551477044</v>
      </c>
      <c r="D26" s="2">
        <v>0.012601122234455</v>
      </c>
      <c r="E26" s="2">
        <v>6.6812495652235</v>
      </c>
      <c r="F26" s="2">
        <v>0.93285375495639</v>
      </c>
      <c r="G26" s="2">
        <v>24597632.827474</v>
      </c>
      <c r="H26" s="2">
        <v>5482908.5863325</v>
      </c>
      <c r="I26" s="2">
        <v>-0.0059816944030995</v>
      </c>
      <c r="J26" s="2">
        <v>-0.005249280272707</v>
      </c>
      <c r="K26" s="2">
        <v>0.012539831795081</v>
      </c>
      <c r="L26" s="2">
        <v>-0.17953582099937</v>
      </c>
      <c r="M26" s="2">
        <v>-0.18204891953248</v>
      </c>
      <c r="N26" s="2">
        <v>646.63385257467</v>
      </c>
      <c r="O26" s="2">
        <v>723.79362340393</v>
      </c>
    </row>
    <row r="27" spans="1:15">
      <c r="A27" s="2">
        <v>4.4066849390983</v>
      </c>
      <c r="B27" s="2">
        <v>0.011122249439987</v>
      </c>
      <c r="C27" s="2">
        <v>90.294365352624</v>
      </c>
      <c r="D27" s="2">
        <v>0.013215755520057</v>
      </c>
      <c r="E27" s="2">
        <v>6.6854997894173</v>
      </c>
      <c r="F27" s="2">
        <v>0.9293735317129</v>
      </c>
      <c r="G27" s="2">
        <v>25164154.178106</v>
      </c>
      <c r="H27" s="2">
        <v>5580069.4591606</v>
      </c>
      <c r="I27" s="2">
        <v>-0.006294450429198</v>
      </c>
      <c r="J27" s="2">
        <v>-0.005524184735916</v>
      </c>
      <c r="K27" s="2">
        <v>0.013132057255677</v>
      </c>
      <c r="L27" s="2">
        <v>-0.18903302019952</v>
      </c>
      <c r="M27" s="2">
        <v>-0.19328555509516</v>
      </c>
      <c r="N27" s="2">
        <v>649.02759144882</v>
      </c>
      <c r="O27" s="2">
        <v>726.94812495768</v>
      </c>
    </row>
    <row r="28" spans="1:15">
      <c r="A28" s="2">
        <v>4.6066849390983</v>
      </c>
      <c r="B28" s="2">
        <v>0.011726460999721</v>
      </c>
      <c r="C28" s="2">
        <v>90.293227259411</v>
      </c>
      <c r="D28" s="2">
        <v>0.013830257695699</v>
      </c>
      <c r="E28" s="2">
        <v>6.6897969462851</v>
      </c>
      <c r="F28" s="2">
        <v>0.92592715526994</v>
      </c>
      <c r="G28" s="2">
        <v>25735028.377061</v>
      </c>
      <c r="H28" s="2">
        <v>5677916.6666295</v>
      </c>
      <c r="I28" s="2">
        <v>-0.006606897706456</v>
      </c>
      <c r="J28" s="2">
        <v>-0.005799120265576</v>
      </c>
      <c r="K28" s="2">
        <v>0.01372392721251</v>
      </c>
      <c r="L28" s="2">
        <v>-0.20101123752009</v>
      </c>
      <c r="M28" s="2">
        <v>-0.20380971985928</v>
      </c>
      <c r="N28" s="2">
        <v>651.38299333791</v>
      </c>
      <c r="O28" s="2">
        <v>730.0249693306</v>
      </c>
    </row>
    <row r="29" spans="1:15">
      <c r="A29" s="2">
        <v>4.8066849390983</v>
      </c>
      <c r="B29" s="2">
        <v>0.012330652476907</v>
      </c>
      <c r="C29" s="2">
        <v>90.292098963453</v>
      </c>
      <c r="D29" s="2">
        <v>0.014444626694237</v>
      </c>
      <c r="E29" s="2">
        <v>6.6941378909644</v>
      </c>
      <c r="F29" s="2">
        <v>0.92251234507001</v>
      </c>
      <c r="G29" s="2">
        <v>26310132.229133</v>
      </c>
      <c r="H29" s="2">
        <v>5776428.8049643</v>
      </c>
      <c r="I29" s="2">
        <v>-0.00691907032311</v>
      </c>
      <c r="J29" s="2">
        <v>-0.0060740141494587</v>
      </c>
      <c r="K29" s="2">
        <v>0.014315442143254</v>
      </c>
      <c r="L29" s="2">
        <v>-0.20672920428767</v>
      </c>
      <c r="M29" s="2">
        <v>-0.20972097174017</v>
      </c>
      <c r="N29" s="2">
        <v>653.70679037046</v>
      </c>
      <c r="O29" s="2">
        <v>733.03298284482</v>
      </c>
    </row>
    <row r="30" spans="1:15">
      <c r="A30" s="2">
        <v>5.0066849390983</v>
      </c>
      <c r="B30" s="2">
        <v>0.012934772887648</v>
      </c>
      <c r="C30" s="2">
        <v>90.290973469131</v>
      </c>
      <c r="D30" s="2">
        <v>0.015058863206157</v>
      </c>
      <c r="E30" s="2">
        <v>6.698522013037</v>
      </c>
      <c r="F30" s="2">
        <v>0.91912521076097</v>
      </c>
      <c r="G30" s="2">
        <v>26889417.576278</v>
      </c>
      <c r="H30" s="2">
        <v>5875597.6004536</v>
      </c>
      <c r="I30" s="2">
        <v>-0.00723109323072</v>
      </c>
      <c r="J30" s="2">
        <v>-0.0063488039647025</v>
      </c>
      <c r="K30" s="2">
        <v>0.014906602662355</v>
      </c>
      <c r="L30" s="2">
        <v>-0.21920916252984</v>
      </c>
      <c r="M30" s="2">
        <v>-0.2234861812958</v>
      </c>
      <c r="N30" s="2">
        <v>655.99493188537</v>
      </c>
      <c r="O30" s="2">
        <v>735.979477931</v>
      </c>
    </row>
    <row r="31" spans="1:15">
      <c r="A31" s="2">
        <v>5.2066849390983</v>
      </c>
      <c r="B31" s="2">
        <v>0.013538810243852</v>
      </c>
      <c r="C31" s="2">
        <v>90.2898471272</v>
      </c>
      <c r="D31" s="2">
        <v>0.01567293738085</v>
      </c>
      <c r="E31" s="2">
        <v>6.7029426904844</v>
      </c>
      <c r="F31" s="2">
        <v>0.91576888620932</v>
      </c>
      <c r="G31" s="2">
        <v>27472816.404232</v>
      </c>
      <c r="H31" s="2">
        <v>5975411.3196879</v>
      </c>
      <c r="I31" s="2">
        <v>-0.0075429974425317</v>
      </c>
      <c r="J31" s="2">
        <v>-0.0066233854191831</v>
      </c>
      <c r="K31" s="2">
        <v>0.015497409385893</v>
      </c>
      <c r="L31" s="2">
        <v>-0.22720319351578</v>
      </c>
      <c r="M31" s="2">
        <v>-0.22938212209156</v>
      </c>
      <c r="N31" s="2">
        <v>658.25570554631</v>
      </c>
      <c r="O31" s="2">
        <v>738.86307591819</v>
      </c>
    </row>
    <row r="32" spans="1:15">
      <c r="A32" s="2">
        <v>5.4066849390983</v>
      </c>
      <c r="B32" s="2">
        <v>0.014142779750201</v>
      </c>
      <c r="C32" s="2">
        <v>90.288719967136</v>
      </c>
      <c r="D32" s="2">
        <v>0.016286882225861</v>
      </c>
      <c r="E32" s="2">
        <v>6.7073955259466</v>
      </c>
      <c r="F32" s="2">
        <v>0.91244730070438</v>
      </c>
      <c r="G32" s="2">
        <v>28060224.17077</v>
      </c>
      <c r="H32" s="2">
        <v>6075851.912985</v>
      </c>
      <c r="I32" s="2">
        <v>-0.0078547785939002</v>
      </c>
      <c r="J32" s="2">
        <v>-0.0068978060427861</v>
      </c>
      <c r="K32" s="2">
        <v>0.016087862662223</v>
      </c>
      <c r="L32" s="2">
        <v>-0.23635056430051</v>
      </c>
      <c r="M32" s="2">
        <v>-0.24033215698647</v>
      </c>
      <c r="N32" s="2">
        <v>660.48776318539</v>
      </c>
      <c r="O32" s="2">
        <v>741.69791274492</v>
      </c>
    </row>
    <row r="33" spans="1:15">
      <c r="A33" s="2">
        <v>5.6066849390983</v>
      </c>
      <c r="B33" s="2">
        <v>0.014746678294397</v>
      </c>
      <c r="C33" s="2">
        <v>90.287593432341</v>
      </c>
      <c r="D33" s="2">
        <v>0.016900693549339</v>
      </c>
      <c r="E33" s="2">
        <v>6.7118797577542</v>
      </c>
      <c r="F33" s="2">
        <v>0.90915910107224</v>
      </c>
      <c r="G33" s="2">
        <v>28651580.589941</v>
      </c>
      <c r="H33" s="2">
        <v>6176909.0996306</v>
      </c>
      <c r="I33" s="2">
        <v>-0.0081664367767465</v>
      </c>
      <c r="J33" s="2">
        <v>-0.0071720466271299</v>
      </c>
      <c r="K33" s="2">
        <v>0.016677962937225</v>
      </c>
      <c r="L33" s="2">
        <v>-0.24713163424037</v>
      </c>
      <c r="M33" s="2">
        <v>-0.25014051004233</v>
      </c>
      <c r="N33" s="2">
        <v>662.69478791946</v>
      </c>
      <c r="O33" s="2">
        <v>744.48634419488</v>
      </c>
    </row>
    <row r="34" spans="1:15">
      <c r="A34" s="2">
        <v>5.8066849390983</v>
      </c>
      <c r="B34" s="2">
        <v>0.015350487668615</v>
      </c>
      <c r="C34" s="2">
        <v>90.286464835679</v>
      </c>
      <c r="D34" s="2">
        <v>0.017514360699837</v>
      </c>
      <c r="E34" s="2">
        <v>6.7163925449631</v>
      </c>
      <c r="F34" s="2">
        <v>0.90590235983888</v>
      </c>
      <c r="G34" s="2">
        <v>29246834.523721</v>
      </c>
      <c r="H34" s="2">
        <v>6278574.2239657</v>
      </c>
      <c r="I34" s="2">
        <v>-0.0084779485897342</v>
      </c>
      <c r="J34" s="2">
        <v>-0.0074461143556378</v>
      </c>
      <c r="K34" s="2">
        <v>0.017267710715007</v>
      </c>
      <c r="L34" s="2">
        <v>-0.25513408422633</v>
      </c>
      <c r="M34" s="2">
        <v>-0.25797902141237</v>
      </c>
      <c r="N34" s="2">
        <v>664.87950694028</v>
      </c>
      <c r="O34" s="2">
        <v>747.22873779799</v>
      </c>
    </row>
    <row r="35" spans="1:15">
      <c r="A35" s="2">
        <v>6.0066849390983</v>
      </c>
      <c r="B35" s="2">
        <v>0.015954212044139</v>
      </c>
      <c r="C35" s="2">
        <v>90.285332113652</v>
      </c>
      <c r="D35" s="2">
        <v>0.018127894277257</v>
      </c>
      <c r="E35" s="2">
        <v>6.7209330863203</v>
      </c>
      <c r="F35" s="2">
        <v>0.90267100215404</v>
      </c>
      <c r="G35" s="2">
        <v>29845931.735211</v>
      </c>
      <c r="H35" s="2">
        <v>6380838.0321345</v>
      </c>
      <c r="I35" s="2">
        <v>-0.008789308965419</v>
      </c>
      <c r="J35" s="2">
        <v>-0.0077200436830281</v>
      </c>
      <c r="K35" s="2">
        <v>0.01785710638283</v>
      </c>
      <c r="L35" s="2">
        <v>-0.26590756639609</v>
      </c>
      <c r="M35" s="2">
        <v>-0.26966798354778</v>
      </c>
      <c r="N35" s="2">
        <v>667.03945628773</v>
      </c>
      <c r="O35" s="2">
        <v>749.929703495</v>
      </c>
    </row>
    <row r="36" spans="1:15">
      <c r="A36" s="2">
        <v>6.2066849390983</v>
      </c>
      <c r="B36" s="2">
        <v>0.016557855627192</v>
      </c>
      <c r="C36" s="2">
        <v>90.284196369395</v>
      </c>
      <c r="D36" s="2">
        <v>0.018741296048229</v>
      </c>
      <c r="E36" s="2">
        <v>6.725497829372</v>
      </c>
      <c r="F36" s="2">
        <v>0.89946033816384</v>
      </c>
      <c r="G36" s="2">
        <v>30448786.81245</v>
      </c>
      <c r="H36" s="2">
        <v>6483685.8454456</v>
      </c>
      <c r="I36" s="2">
        <v>-0.0091004956330899</v>
      </c>
      <c r="J36" s="2">
        <v>-0.0079938224674034</v>
      </c>
      <c r="K36" s="2">
        <v>0.018446150310882</v>
      </c>
      <c r="L36" s="2">
        <v>-0.27505205507048</v>
      </c>
      <c r="M36" s="2">
        <v>-0.27917429250751</v>
      </c>
      <c r="N36" s="2">
        <v>669.18105292723</v>
      </c>
      <c r="O36" s="2">
        <v>752.59372156413</v>
      </c>
    </row>
    <row r="37" spans="1:15">
      <c r="A37" s="2">
        <v>6.4066849390983</v>
      </c>
      <c r="B37" s="2">
        <v>0.017161448376381</v>
      </c>
      <c r="C37" s="2">
        <v>90.283056495665</v>
      </c>
      <c r="D37" s="2">
        <v>0.019354584474885</v>
      </c>
      <c r="E37" s="2">
        <v>6.7300824294418</v>
      </c>
      <c r="F37" s="2">
        <v>0.89626581517115</v>
      </c>
      <c r="G37" s="2">
        <v>31055322.995468</v>
      </c>
      <c r="H37" s="2">
        <v>6587104.3670587</v>
      </c>
      <c r="I37" s="2">
        <v>-0.0094115067806074</v>
      </c>
      <c r="J37" s="2">
        <v>-0.0082674512942134</v>
      </c>
      <c r="K37" s="2">
        <v>0.019034842755877</v>
      </c>
      <c r="L37" s="2">
        <v>-0.28321440496834</v>
      </c>
      <c r="M37" s="2">
        <v>-0.28529768892162</v>
      </c>
      <c r="N37" s="2">
        <v>671.30470423453</v>
      </c>
      <c r="O37" s="2">
        <v>755.22446185256</v>
      </c>
    </row>
    <row r="38" spans="1:15">
      <c r="A38" s="2">
        <v>6.6066849390983</v>
      </c>
      <c r="B38" s="2">
        <v>0.01776500021276</v>
      </c>
      <c r="C38" s="2">
        <v>90.281912557114</v>
      </c>
      <c r="D38" s="2">
        <v>0.019967783934718</v>
      </c>
      <c r="E38" s="2">
        <v>6.73468153133</v>
      </c>
      <c r="F38" s="2">
        <v>0.89308592443476</v>
      </c>
      <c r="G38" s="2">
        <v>31665459.198638</v>
      </c>
      <c r="H38" s="2">
        <v>6691079.5838598</v>
      </c>
      <c r="I38" s="2">
        <v>-0.0097223430028982</v>
      </c>
      <c r="J38" s="2">
        <v>-0.0085409488945167</v>
      </c>
      <c r="K38" s="2">
        <v>0.019623183973309</v>
      </c>
      <c r="L38" s="2">
        <v>-0.2922715712102</v>
      </c>
      <c r="M38" s="2">
        <v>-0.2951456187623</v>
      </c>
      <c r="N38" s="2">
        <v>673.41054766874</v>
      </c>
      <c r="O38" s="2">
        <v>757.82834760971</v>
      </c>
    </row>
    <row r="39" spans="1:15">
      <c r="A39" s="2">
        <v>6.8066849390983</v>
      </c>
      <c r="B39" s="2">
        <v>0.018368523285061</v>
      </c>
      <c r="C39" s="2">
        <v>90.28076432558</v>
      </c>
      <c r="D39" s="2">
        <v>0.020580902802209</v>
      </c>
      <c r="E39" s="2">
        <v>6.7392918173132</v>
      </c>
      <c r="F39" s="2">
        <v>0.88991707160803</v>
      </c>
      <c r="G39" s="2">
        <v>32279130.379593</v>
      </c>
      <c r="H39" s="2">
        <v>6795600.2436466</v>
      </c>
      <c r="I39" s="2">
        <v>-0.010033011927479</v>
      </c>
      <c r="J39" s="2">
        <v>-0.0088142905856759</v>
      </c>
      <c r="K39" s="2">
        <v>0.020211174255087</v>
      </c>
      <c r="L39" s="2">
        <v>-0.30092680914412</v>
      </c>
      <c r="M39" s="2">
        <v>-0.30382878773358</v>
      </c>
      <c r="N39" s="2">
        <v>675.50074444291</v>
      </c>
      <c r="O39" s="2">
        <v>760.40530938317</v>
      </c>
    </row>
    <row r="40" spans="1:15">
      <c r="A40" s="2">
        <v>7.0066849390983</v>
      </c>
      <c r="B40" s="2">
        <v>0.018972020150212</v>
      </c>
      <c r="C40" s="2">
        <v>90.279611786631</v>
      </c>
      <c r="D40" s="2">
        <v>0.021193955761128</v>
      </c>
      <c r="E40" s="2">
        <v>6.7439108649245</v>
      </c>
      <c r="F40" s="2">
        <v>0.88675591603928</v>
      </c>
      <c r="G40" s="2">
        <v>32896269.061918</v>
      </c>
      <c r="H40" s="2">
        <v>6900654.7006302</v>
      </c>
      <c r="I40" s="2">
        <v>-0.010343523241583</v>
      </c>
      <c r="J40" s="2">
        <v>-0.0090874772361149</v>
      </c>
      <c r="K40" s="2">
        <v>0.020798813908219</v>
      </c>
      <c r="L40" s="2">
        <v>-0.31155913567273</v>
      </c>
      <c r="M40" s="2">
        <v>-0.31417195235322</v>
      </c>
      <c r="N40" s="2">
        <v>677.575804322</v>
      </c>
      <c r="O40" s="2">
        <v>762.9593103399</v>
      </c>
    </row>
    <row r="41" spans="1:15">
      <c r="A41" s="2">
        <v>7.2066849390983</v>
      </c>
      <c r="B41" s="2">
        <v>0.019575505257196</v>
      </c>
      <c r="C41" s="2">
        <v>90.278456399345</v>
      </c>
      <c r="D41" s="2">
        <v>0.021806950268853</v>
      </c>
      <c r="E41" s="2">
        <v>6.7485361382396</v>
      </c>
      <c r="F41" s="2">
        <v>0.88360126650428</v>
      </c>
      <c r="G41" s="2">
        <v>33516816.257679</v>
      </c>
      <c r="H41" s="2">
        <v>7006232.7890994</v>
      </c>
      <c r="I41" s="2">
        <v>-0.010653872947327</v>
      </c>
      <c r="J41" s="2">
        <v>-0.0093605066342316</v>
      </c>
      <c r="K41" s="2">
        <v>0.021386103320335</v>
      </c>
      <c r="L41" s="2">
        <v>-0.32206681983902</v>
      </c>
      <c r="M41" s="2">
        <v>-0.3256014897147</v>
      </c>
      <c r="N41" s="2">
        <v>679.63625138815</v>
      </c>
      <c r="O41" s="2">
        <v>765.49157439085</v>
      </c>
    </row>
    <row r="42" spans="1:15">
      <c r="A42" s="2">
        <v>7.4066849390983</v>
      </c>
      <c r="B42" s="2">
        <v>0.020178985755399</v>
      </c>
      <c r="C42" s="2">
        <v>90.277299305963</v>
      </c>
      <c r="D42" s="2">
        <v>0.022419884311032</v>
      </c>
      <c r="E42" s="2">
        <v>6.7531660952706</v>
      </c>
      <c r="F42" s="2">
        <v>0.88045153580858</v>
      </c>
      <c r="G42" s="2">
        <v>34140711.770306</v>
      </c>
      <c r="H42" s="2">
        <v>7112324.1622572</v>
      </c>
      <c r="I42" s="2">
        <v>-0.010964054485269</v>
      </c>
      <c r="J42" s="2">
        <v>-0.0096333528388735</v>
      </c>
      <c r="K42" s="2">
        <v>0.021973042892054</v>
      </c>
      <c r="L42" s="2">
        <v>-0.32861879192329</v>
      </c>
      <c r="M42" s="2">
        <v>-0.33004729439442</v>
      </c>
      <c r="N42" s="2">
        <v>681.68601549725</v>
      </c>
      <c r="O42" s="2">
        <v>768.00192742294</v>
      </c>
    </row>
    <row r="43" spans="1:15">
      <c r="A43" s="2">
        <v>7.6066849390983</v>
      </c>
      <c r="B43" s="2">
        <v>0.020782464431995</v>
      </c>
      <c r="C43" s="2">
        <v>90.276140488031</v>
      </c>
      <c r="D43" s="2">
        <v>0.023032783051092</v>
      </c>
      <c r="E43" s="2">
        <v>6.7578005899442</v>
      </c>
      <c r="F43" s="2">
        <v>0.87730668049276</v>
      </c>
      <c r="G43" s="2">
        <v>34767899.556426</v>
      </c>
      <c r="H43" s="2">
        <v>7218919.2330154</v>
      </c>
      <c r="I43" s="2">
        <v>-0.011274076973332</v>
      </c>
      <c r="J43" s="2">
        <v>-0.0099060625916337</v>
      </c>
      <c r="K43" s="2">
        <v>0.022559632970422</v>
      </c>
      <c r="L43" s="2">
        <v>-0.33904037484345</v>
      </c>
      <c r="M43" s="2">
        <v>-0.3414537034105</v>
      </c>
      <c r="N43" s="2">
        <v>683.72052737246</v>
      </c>
      <c r="O43" s="2">
        <v>770.49741626242</v>
      </c>
    </row>
    <row r="44" spans="1:15">
      <c r="A44" s="2">
        <v>7.8066849390983</v>
      </c>
      <c r="B44" s="2">
        <v>0.021385945932592</v>
      </c>
      <c r="C44" s="2">
        <v>90.274980941627</v>
      </c>
      <c r="D44" s="2">
        <v>0.023645639318581</v>
      </c>
      <c r="E44" s="2">
        <v>6.7624389288997</v>
      </c>
      <c r="F44" s="2">
        <v>0.87416580891257</v>
      </c>
      <c r="G44" s="2">
        <v>35398332.541497</v>
      </c>
      <c r="H44" s="2">
        <v>7326009.9691528</v>
      </c>
      <c r="I44" s="2">
        <v>-0.01158393211014</v>
      </c>
      <c r="J44" s="2">
        <v>-0.010178611054352</v>
      </c>
      <c r="K44" s="2">
        <v>0.023145873985647</v>
      </c>
      <c r="L44" s="2">
        <v>-0.3487739493716</v>
      </c>
      <c r="M44" s="2">
        <v>-0.35165017250553</v>
      </c>
      <c r="N44" s="2">
        <v>685.74309081117</v>
      </c>
      <c r="O44" s="2">
        <v>772.97584950994</v>
      </c>
    </row>
    <row r="45" spans="1:15">
      <c r="A45" s="2">
        <v>8.0066849390983</v>
      </c>
      <c r="B45" s="2">
        <v>0.021989431912289</v>
      </c>
      <c r="C45" s="2">
        <v>90.27382128432</v>
      </c>
      <c r="D45" s="2">
        <v>0.024258453828035</v>
      </c>
      <c r="E45" s="2">
        <v>6.7670811262947</v>
      </c>
      <c r="F45" s="2">
        <v>0.87102877651192</v>
      </c>
      <c r="G45" s="2">
        <v>36031963.384477</v>
      </c>
      <c r="H45" s="2">
        <v>7433588.3179123</v>
      </c>
      <c r="I45" s="2">
        <v>-0.011893615762638</v>
      </c>
      <c r="J45" s="2">
        <v>-0.010450994175969</v>
      </c>
      <c r="K45" s="2">
        <v>0.023731766347195</v>
      </c>
      <c r="L45" s="2">
        <v>-0.35701663243403</v>
      </c>
      <c r="M45" s="2">
        <v>-0.3584533683701</v>
      </c>
      <c r="N45" s="2">
        <v>687.75486610234</v>
      </c>
      <c r="O45" s="2">
        <v>775.43740731832</v>
      </c>
    </row>
    <row r="46" spans="1:15">
      <c r="A46" s="2">
        <v>8.2066849390983</v>
      </c>
      <c r="B46" s="2">
        <v>0.022592918568221</v>
      </c>
      <c r="C46" s="2">
        <v>90.272661425137</v>
      </c>
      <c r="D46" s="2">
        <v>0.02487123445859</v>
      </c>
      <c r="E46" s="2">
        <v>6.7717271843019</v>
      </c>
      <c r="F46" s="2">
        <v>0.86789563282036</v>
      </c>
      <c r="G46" s="2">
        <v>36668745.31584</v>
      </c>
      <c r="H46" s="2">
        <v>7541646.332766</v>
      </c>
      <c r="I46" s="2">
        <v>-0.012203129385614</v>
      </c>
      <c r="J46" s="2">
        <v>-0.010723228623765</v>
      </c>
      <c r="K46" s="2">
        <v>0.024317310460063</v>
      </c>
      <c r="L46" s="2">
        <v>-0.36609136297592</v>
      </c>
      <c r="M46" s="2">
        <v>-0.36684803931173</v>
      </c>
      <c r="N46" s="2">
        <v>689.75478716553</v>
      </c>
      <c r="O46" s="2">
        <v>777.88488925244</v>
      </c>
    </row>
    <row r="47" spans="1:15">
      <c r="A47" s="2">
        <v>8.4066849390983</v>
      </c>
      <c r="B47" s="2">
        <v>0.023196407930758</v>
      </c>
      <c r="C47" s="2">
        <v>90.271501799918</v>
      </c>
      <c r="D47" s="2">
        <v>0.025483983194452</v>
      </c>
      <c r="E47" s="2">
        <v>6.7763771345079</v>
      </c>
      <c r="F47" s="2">
        <v>0.86476642320784</v>
      </c>
      <c r="G47" s="2">
        <v>37308640.42849</v>
      </c>
      <c r="H47" s="2">
        <v>7650177.6132703</v>
      </c>
      <c r="I47" s="2">
        <v>-0.012512468729141</v>
      </c>
      <c r="J47" s="2">
        <v>-0.010995322421218</v>
      </c>
      <c r="K47" s="2">
        <v>0.024902506743453</v>
      </c>
      <c r="L47" s="2">
        <v>-0.37608498270554</v>
      </c>
      <c r="M47" s="2">
        <v>-0.37764637096716</v>
      </c>
      <c r="N47" s="2">
        <v>691.74212480744</v>
      </c>
      <c r="O47" s="2">
        <v>780.31807901471</v>
      </c>
    </row>
    <row r="48" spans="1:15">
      <c r="A48" s="2">
        <v>8.6066849390983</v>
      </c>
      <c r="B48" s="2">
        <v>0.023799896231302</v>
      </c>
      <c r="C48" s="2">
        <v>90.270342781547</v>
      </c>
      <c r="D48" s="2">
        <v>0.026096695981869</v>
      </c>
      <c r="E48" s="2">
        <v>6.7810314642875</v>
      </c>
      <c r="F48" s="2">
        <v>0.86164113484461</v>
      </c>
      <c r="G48" s="2">
        <v>37951604.308748</v>
      </c>
      <c r="H48" s="2">
        <v>7759174.6533751</v>
      </c>
      <c r="I48" s="2">
        <v>-0.012821628216248</v>
      </c>
      <c r="J48" s="2">
        <v>-0.011267266723212</v>
      </c>
      <c r="K48" s="2">
        <v>0.025487355609727</v>
      </c>
      <c r="L48" s="2">
        <v>-0.3857293603368</v>
      </c>
      <c r="M48" s="2">
        <v>-0.38726440250644</v>
      </c>
      <c r="N48" s="2">
        <v>693.71914783926</v>
      </c>
      <c r="O48" s="2">
        <v>782.73693269075</v>
      </c>
    </row>
    <row r="49" spans="1:15">
      <c r="A49" s="2">
        <v>8.8066849390982</v>
      </c>
      <c r="B49" s="2">
        <v>0.024403379783821</v>
      </c>
      <c r="C49" s="2">
        <v>90.269184737128</v>
      </c>
      <c r="D49" s="2">
        <v>0.026709373675745</v>
      </c>
      <c r="E49" s="2">
        <v>6.7856905762878</v>
      </c>
      <c r="F49" s="2">
        <v>0.85851952296186</v>
      </c>
      <c r="G49" s="2">
        <v>38597599.404086</v>
      </c>
      <c r="H49" s="2">
        <v>7868631.135345</v>
      </c>
      <c r="I49" s="2">
        <v>-0.01313060516359</v>
      </c>
      <c r="J49" s="2">
        <v>-0.011539069132803</v>
      </c>
      <c r="K49" s="2">
        <v>0.026071857475184</v>
      </c>
      <c r="L49" s="2">
        <v>-0.39543143157868</v>
      </c>
      <c r="M49" s="2">
        <v>-0.39705913054046</v>
      </c>
      <c r="N49" s="2">
        <v>695.68549403016</v>
      </c>
      <c r="O49" s="2">
        <v>785.14184403866</v>
      </c>
    </row>
    <row r="50" spans="1:15">
      <c r="A50" s="2">
        <v>9.0066849390982</v>
      </c>
      <c r="B50" s="2">
        <v>0.025006857791736</v>
      </c>
      <c r="C50" s="2">
        <v>90.268027787475</v>
      </c>
      <c r="D50" s="2">
        <v>0.027322015907937</v>
      </c>
      <c r="E50" s="2">
        <v>6.790354698771</v>
      </c>
      <c r="F50" s="2">
        <v>0.85540212692196</v>
      </c>
      <c r="G50" s="2">
        <v>39246588.32543</v>
      </c>
      <c r="H50" s="2">
        <v>7978540.7803034</v>
      </c>
      <c r="I50" s="2">
        <v>-0.013439396263695</v>
      </c>
      <c r="J50" s="2">
        <v>-0.01181073309311</v>
      </c>
      <c r="K50" s="2">
        <v>0.026656012755637</v>
      </c>
      <c r="L50" s="2">
        <v>-0.40521816379637</v>
      </c>
      <c r="M50" s="2">
        <v>-0.4070811424161</v>
      </c>
      <c r="N50" s="2">
        <v>697.64133658291</v>
      </c>
      <c r="O50" s="2">
        <v>787.53291794709</v>
      </c>
    </row>
    <row r="51" spans="1:15">
      <c r="A51" s="2">
        <v>9.2066849390982</v>
      </c>
      <c r="B51" s="2">
        <v>0.025610327716991</v>
      </c>
      <c r="C51" s="2">
        <v>90.266872121549</v>
      </c>
      <c r="D51" s="2">
        <v>0.027934618535496</v>
      </c>
      <c r="E51" s="2">
        <v>6.7950248445775</v>
      </c>
      <c r="F51" s="2">
        <v>0.85228879957193</v>
      </c>
      <c r="G51" s="2">
        <v>39898538.597163</v>
      </c>
      <c r="H51" s="2">
        <v>8088898.1613031</v>
      </c>
      <c r="I51" s="2">
        <v>-0.013747997126997</v>
      </c>
      <c r="J51" s="2">
        <v>-0.012082253809613</v>
      </c>
      <c r="K51" s="2">
        <v>0.027239821837067</v>
      </c>
      <c r="L51" s="2">
        <v>-0.41402149987074</v>
      </c>
      <c r="M51" s="2">
        <v>-0.41461648430898</v>
      </c>
      <c r="N51" s="2">
        <v>699.58741506591</v>
      </c>
      <c r="O51" s="2">
        <v>789.90857596325</v>
      </c>
    </row>
    <row r="52" spans="1:15">
      <c r="A52" s="2">
        <v>9.4066849390982</v>
      </c>
      <c r="B52" s="2">
        <v>0.02621378175307</v>
      </c>
      <c r="C52" s="2">
        <v>90.265717397987</v>
      </c>
      <c r="D52" s="2">
        <v>0.028547184697146</v>
      </c>
      <c r="E52" s="2">
        <v>6.7997011722354</v>
      </c>
      <c r="F52" s="2">
        <v>0.84918057563092</v>
      </c>
      <c r="G52" s="2">
        <v>40553411.402657</v>
      </c>
      <c r="H52" s="2">
        <v>8199696.7627715</v>
      </c>
      <c r="I52" s="2">
        <v>-0.014056403463731</v>
      </c>
      <c r="J52" s="2">
        <v>-0.012353650459597</v>
      </c>
      <c r="K52" s="2">
        <v>0.027823285131504</v>
      </c>
      <c r="L52" s="2">
        <v>-0.423565875156</v>
      </c>
      <c r="M52" s="2">
        <v>-0.42399442967203</v>
      </c>
      <c r="N52" s="2">
        <v>701.52292787504</v>
      </c>
      <c r="O52" s="2">
        <v>792.27093131368</v>
      </c>
    </row>
    <row r="53" spans="1:15">
      <c r="A53" s="2">
        <v>9.6066849390982</v>
      </c>
      <c r="B53" s="2">
        <v>0.026817216842748</v>
      </c>
      <c r="C53" s="2">
        <v>90.264563606599</v>
      </c>
      <c r="D53" s="2">
        <v>0.029159710867593</v>
      </c>
      <c r="E53" s="2">
        <v>6.8043845781609</v>
      </c>
      <c r="F53" s="2">
        <v>0.84607720816611</v>
      </c>
      <c r="G53" s="2">
        <v>41211175.369779</v>
      </c>
      <c r="H53" s="2">
        <v>8310931.3518558</v>
      </c>
      <c r="I53" s="2">
        <v>-0.014364608963578</v>
      </c>
      <c r="J53" s="2">
        <v>-0.012624924505693</v>
      </c>
      <c r="K53" s="2">
        <v>0.028406403041067</v>
      </c>
      <c r="L53" s="2">
        <v>-0.43328016707308</v>
      </c>
      <c r="M53" s="2">
        <v>-0.43360479814908</v>
      </c>
      <c r="N53" s="2">
        <v>703.44815124448</v>
      </c>
      <c r="O53" s="2">
        <v>794.61891083472</v>
      </c>
    </row>
    <row r="54" spans="1:15">
      <c r="A54" s="2">
        <v>9.8066849390982</v>
      </c>
      <c r="B54" s="2">
        <v>0.027420626564578</v>
      </c>
      <c r="C54" s="2">
        <v>90.26341043282</v>
      </c>
      <c r="D54" s="2">
        <v>0.029772194916502</v>
      </c>
      <c r="E54" s="2">
        <v>6.8090760367614</v>
      </c>
      <c r="F54" s="2">
        <v>0.84297858751711</v>
      </c>
      <c r="G54" s="2">
        <v>41871796.579394</v>
      </c>
      <c r="H54" s="2">
        <v>8422596.266646</v>
      </c>
      <c r="I54" s="2">
        <v>-0.014672606864427</v>
      </c>
      <c r="J54" s="2">
        <v>-0.01289608331171</v>
      </c>
      <c r="K54" s="2">
        <v>0.028989175956563</v>
      </c>
      <c r="L54" s="2">
        <v>-0.44328687737914</v>
      </c>
      <c r="M54" s="2">
        <v>-0.44368092319414</v>
      </c>
      <c r="N54" s="2">
        <v>705.36334037484</v>
      </c>
      <c r="O54" s="2">
        <v>796.95284452714</v>
      </c>
    </row>
    <row r="55" spans="1:15">
      <c r="A55" s="2">
        <v>10.006684939098</v>
      </c>
      <c r="B55" s="2">
        <v>0.028024002330357</v>
      </c>
      <c r="C55" s="2">
        <v>90.262257950806</v>
      </c>
      <c r="D55" s="2">
        <v>0.030384634192932</v>
      </c>
      <c r="E55" s="2">
        <v>6.8137772423221</v>
      </c>
      <c r="F55" s="2">
        <v>0.83988412835978</v>
      </c>
      <c r="G55" s="2">
        <v>42535240.745225</v>
      </c>
      <c r="H55" s="2">
        <v>8534685.8061135</v>
      </c>
      <c r="I55" s="2">
        <v>-0.014980388260226</v>
      </c>
      <c r="J55" s="2">
        <v>-0.013167136414077</v>
      </c>
      <c r="K55" s="2">
        <v>0.029571604261291</v>
      </c>
      <c r="L55" s="2">
        <v>-0.45375321467495</v>
      </c>
      <c r="M55" s="2">
        <v>-0.45452520606297</v>
      </c>
      <c r="N55" s="2">
        <v>707.26887458562</v>
      </c>
      <c r="O55" s="2">
        <v>799.27334060755</v>
      </c>
    </row>
    <row r="56" spans="1:15">
      <c r="A56" s="2">
        <v>10.206684939098</v>
      </c>
      <c r="B56" s="2">
        <v>0.028627339591308</v>
      </c>
      <c r="C56" s="2">
        <v>90.26110726951</v>
      </c>
      <c r="D56" s="2">
        <v>0.030997017429259</v>
      </c>
      <c r="E56" s="2">
        <v>6.1153659621337</v>
      </c>
      <c r="F56" s="2">
        <v>0.83679222224491</v>
      </c>
      <c r="G56" s="2">
        <v>43201485.109959</v>
      </c>
      <c r="H56" s="2">
        <v>8647196.2563628</v>
      </c>
      <c r="I56" s="2">
        <v>-0.015287934502838</v>
      </c>
      <c r="J56" s="2">
        <v>-0.013438083213159</v>
      </c>
      <c r="K56" s="2">
        <v>0.030153688366061</v>
      </c>
      <c r="L56" s="2">
        <v>-0.46157371128392</v>
      </c>
      <c r="M56" s="2">
        <v>-0.46102462943378</v>
      </c>
      <c r="N56" s="2">
        <v>709.16581971939</v>
      </c>
      <c r="O56" s="2">
        <v>801.57724292362</v>
      </c>
    </row>
    <row r="57" spans="1:15">
      <c r="A57" s="2">
        <v>10.406684939098</v>
      </c>
      <c r="B57" s="2">
        <v>0.029230628539958</v>
      </c>
      <c r="C57" s="2">
        <v>90.259958468272</v>
      </c>
      <c r="D57" s="2">
        <v>0.0316093496048</v>
      </c>
      <c r="E57" s="2">
        <v>6.1200952319944</v>
      </c>
      <c r="F57" s="2">
        <v>0.83370152679685</v>
      </c>
      <c r="G57" s="2">
        <v>43870496.326973</v>
      </c>
      <c r="H57" s="2">
        <v>8760122.1075489</v>
      </c>
      <c r="I57" s="2">
        <v>-0.015595239935609</v>
      </c>
      <c r="J57" s="2">
        <v>-0.01370895681323</v>
      </c>
      <c r="K57" s="2">
        <v>0.030735428613863</v>
      </c>
      <c r="L57" s="2">
        <v>-0.47092713981044</v>
      </c>
      <c r="M57" s="2">
        <v>-0.47000177915061</v>
      </c>
      <c r="N57" s="2">
        <v>711.05229225784</v>
      </c>
      <c r="O57" s="2">
        <v>803.86818656325</v>
      </c>
    </row>
    <row r="58" spans="1:15">
      <c r="A58" s="2">
        <v>10.606684939098</v>
      </c>
      <c r="B58" s="2">
        <v>0.029833871974067</v>
      </c>
      <c r="C58" s="2">
        <v>90.258812434667</v>
      </c>
      <c r="D58" s="2">
        <v>0.032221627030262</v>
      </c>
      <c r="E58" s="2">
        <v>6.124841074556</v>
      </c>
      <c r="F58" s="2">
        <v>0.83061078758669</v>
      </c>
      <c r="G58" s="2">
        <v>44542239.381005</v>
      </c>
      <c r="H58" s="2">
        <v>8873457.5190455</v>
      </c>
      <c r="I58" s="2">
        <v>-0.015902293713494</v>
      </c>
      <c r="J58" s="2">
        <v>-0.013979756230792</v>
      </c>
      <c r="K58" s="2">
        <v>0.031316825363914</v>
      </c>
      <c r="L58" s="2">
        <v>-0.48004401105286</v>
      </c>
      <c r="M58" s="2">
        <v>-0.47867279280499</v>
      </c>
      <c r="N58" s="2">
        <v>712.92952054627</v>
      </c>
      <c r="O58" s="2">
        <v>806.14576292778</v>
      </c>
    </row>
    <row r="59" spans="1:15">
      <c r="A59" s="2">
        <v>10.806684939098</v>
      </c>
      <c r="B59" s="2">
        <v>0.030437077074564</v>
      </c>
      <c r="C59" s="2">
        <v>90.257669785895</v>
      </c>
      <c r="D59" s="2">
        <v>0.032833855333858</v>
      </c>
      <c r="E59" s="2">
        <v>5.426477930267</v>
      </c>
      <c r="F59" s="2">
        <v>0.82751936042247</v>
      </c>
      <c r="G59" s="2">
        <v>45216671.552565</v>
      </c>
      <c r="H59" s="2">
        <v>8987195.2853602</v>
      </c>
      <c r="I59" s="2">
        <v>-0.016209097391537</v>
      </c>
      <c r="J59" s="2">
        <v>-0.01425047990071</v>
      </c>
      <c r="K59" s="2">
        <v>0.031897878970605</v>
      </c>
      <c r="L59" s="2">
        <v>-0.48906840612278</v>
      </c>
      <c r="M59" s="2">
        <v>-0.48709654106419</v>
      </c>
      <c r="N59" s="2">
        <v>714.79791854434</v>
      </c>
      <c r="O59" s="2">
        <v>808.4111736698</v>
      </c>
    </row>
    <row r="60" spans="1:15">
      <c r="A60" s="2">
        <v>11.006684939098</v>
      </c>
      <c r="B60" s="2">
        <v>0.031040254545748</v>
      </c>
      <c r="C60" s="2">
        <v>90.256530174562</v>
      </c>
      <c r="D60" s="2">
        <v>0.033446046615369</v>
      </c>
      <c r="E60" s="2">
        <v>5.4312544610318</v>
      </c>
      <c r="F60" s="2">
        <v>0.8244275228557</v>
      </c>
      <c r="G60" s="2">
        <v>45893755.090182</v>
      </c>
      <c r="H60" s="2">
        <v>9101329.0434756</v>
      </c>
      <c r="I60" s="2">
        <v>-0.016515659704383</v>
      </c>
      <c r="J60" s="2">
        <v>-0.014521136925175</v>
      </c>
      <c r="K60" s="2">
        <v>0.032478589782442</v>
      </c>
      <c r="L60" s="2">
        <v>-0.50026602335109</v>
      </c>
      <c r="M60" s="2">
        <v>-0.499394473852</v>
      </c>
      <c r="N60" s="2">
        <v>716.6555282404</v>
      </c>
      <c r="O60" s="2">
        <v>810.66617617444</v>
      </c>
    </row>
    <row r="61" spans="1:15">
      <c r="A61" s="2">
        <v>11.206684939098</v>
      </c>
      <c r="B61" s="2">
        <v>0.031643409411919</v>
      </c>
      <c r="C61" s="2">
        <v>90.255393979934</v>
      </c>
      <c r="D61" s="2">
        <v>0.034058198310608</v>
      </c>
      <c r="E61" s="2">
        <v>5.4360440236477</v>
      </c>
      <c r="F61" s="2">
        <v>0.82133556916292</v>
      </c>
      <c r="G61" s="2">
        <v>46573446.289837</v>
      </c>
      <c r="H61" s="2">
        <v>9215851.4121365</v>
      </c>
      <c r="I61" s="2">
        <v>-0.016821979041216</v>
      </c>
      <c r="J61" s="2">
        <v>-0.014791700828962</v>
      </c>
      <c r="K61" s="2">
        <v>0.033058958190684</v>
      </c>
      <c r="L61" s="2">
        <v>-0.5099440566295</v>
      </c>
      <c r="M61" s="2">
        <v>-0.50897899313925</v>
      </c>
      <c r="N61" s="2">
        <v>718.50570339737</v>
      </c>
      <c r="O61" s="2">
        <v>812.90940440258</v>
      </c>
    </row>
    <row r="62" spans="1:15">
      <c r="A62" s="2">
        <v>11.406684939098</v>
      </c>
      <c r="B62" s="2">
        <v>0.03224654749813</v>
      </c>
      <c r="C62" s="2">
        <v>90.254261063254</v>
      </c>
      <c r="D62" s="2">
        <v>0.034670319074576</v>
      </c>
      <c r="E62" s="2">
        <v>5.4408455515533</v>
      </c>
      <c r="F62" s="2">
        <v>0.81824381468737</v>
      </c>
      <c r="G62" s="2">
        <v>47255708.848267</v>
      </c>
      <c r="H62" s="2">
        <v>9330756.2915602</v>
      </c>
      <c r="I62" s="2">
        <v>-0.017128064191683</v>
      </c>
      <c r="J62" s="2">
        <v>-0.015062174655259</v>
      </c>
      <c r="K62" s="2">
        <v>0.033638984543512</v>
      </c>
      <c r="L62" s="2">
        <v>-0.51964029479943</v>
      </c>
      <c r="M62" s="2">
        <v>-0.51860499261005</v>
      </c>
      <c r="N62" s="2">
        <v>720.34727792079</v>
      </c>
      <c r="O62" s="2">
        <v>815.14212632837</v>
      </c>
    </row>
    <row r="63" spans="1:15">
      <c r="A63" s="2">
        <v>11.606684939098</v>
      </c>
      <c r="B63" s="2">
        <v>0.032849670053999</v>
      </c>
      <c r="C63" s="2">
        <v>90.253131247473</v>
      </c>
      <c r="D63" s="2">
        <v>0.035282412983581</v>
      </c>
      <c r="E63" s="2">
        <v>5.4456580625327</v>
      </c>
      <c r="F63" s="2">
        <v>0.81515252498274</v>
      </c>
      <c r="G63" s="2">
        <v>47940503.099639</v>
      </c>
      <c r="H63" s="2">
        <v>9446037.0218755</v>
      </c>
      <c r="I63" s="2">
        <v>-0.017433919782714</v>
      </c>
      <c r="J63" s="2">
        <v>-0.015332552881667</v>
      </c>
      <c r="K63" s="2">
        <v>0.034218669207244</v>
      </c>
      <c r="L63" s="2">
        <v>-0.52937715535421</v>
      </c>
      <c r="M63" s="2">
        <v>-0.5282998593298</v>
      </c>
      <c r="N63" s="2">
        <v>722.18096477098</v>
      </c>
      <c r="O63" s="2">
        <v>817.36533143907</v>
      </c>
    </row>
    <row r="64" spans="1:15">
      <c r="A64" s="2">
        <v>11.806684939098</v>
      </c>
      <c r="B64" s="2">
        <v>0.033452780861807</v>
      </c>
      <c r="C64" s="2">
        <v>90.252004408528</v>
      </c>
      <c r="D64" s="2">
        <v>0.035894482986175</v>
      </c>
      <c r="E64" s="2">
        <v>5.4504810997717</v>
      </c>
      <c r="F64" s="2">
        <v>0.81206197126579</v>
      </c>
      <c r="G64" s="2">
        <v>48627797.962561</v>
      </c>
      <c r="H64" s="2">
        <v>9561688.4137277</v>
      </c>
      <c r="I64" s="2">
        <v>-0.01773955000465</v>
      </c>
      <c r="J64" s="2">
        <v>-0.015602832306875</v>
      </c>
      <c r="K64" s="2">
        <v>0.03479801256493</v>
      </c>
      <c r="L64" s="2">
        <v>-0.53918235113237</v>
      </c>
      <c r="M64" s="2">
        <v>-0.53807989615501</v>
      </c>
      <c r="N64" s="2">
        <v>724.00649571906</v>
      </c>
      <c r="O64" s="2">
        <v>819.57875137049</v>
      </c>
    </row>
    <row r="65" spans="1:15">
      <c r="A65" s="2">
        <v>12.006684939098</v>
      </c>
      <c r="B65" s="2">
        <v>0.034055882200907</v>
      </c>
      <c r="C65" s="2">
        <v>90.25088047124</v>
      </c>
      <c r="D65" s="2">
        <v>0.036506532007629</v>
      </c>
      <c r="E65" s="2">
        <v>5.4553141932706</v>
      </c>
      <c r="F65" s="2">
        <v>0.80897213078386</v>
      </c>
      <c r="G65" s="2">
        <v>49317559.813953</v>
      </c>
      <c r="H65" s="2">
        <v>9677704.8505307</v>
      </c>
      <c r="I65" s="2">
        <v>-0.018044959331004</v>
      </c>
      <c r="J65" s="2">
        <v>-0.015873008940024</v>
      </c>
      <c r="K65" s="2">
        <v>0.035377015002253</v>
      </c>
      <c r="L65" s="2">
        <v>-0.5491037657125</v>
      </c>
      <c r="M65" s="2">
        <v>-0.54799982120229</v>
      </c>
      <c r="N65" s="2">
        <v>725.82394276765</v>
      </c>
      <c r="O65" s="2">
        <v>821.78267416378</v>
      </c>
    </row>
    <row r="66" spans="1:15">
      <c r="A66" s="2">
        <v>12.206684939098</v>
      </c>
      <c r="B66" s="2">
        <v>0.034658976106846</v>
      </c>
      <c r="C66" s="2">
        <v>90.249759514543</v>
      </c>
      <c r="D66" s="2">
        <v>0.037118562320406</v>
      </c>
      <c r="E66" s="2">
        <v>5.4601569743851</v>
      </c>
      <c r="F66" s="2">
        <v>0.80588292522198</v>
      </c>
      <c r="G66" s="2">
        <v>50009756.661375</v>
      </c>
      <c r="H66" s="2">
        <v>9794080.9963381</v>
      </c>
      <c r="I66" s="2">
        <v>-0.01835015088721</v>
      </c>
      <c r="J66" s="2">
        <v>-0.01614307952861</v>
      </c>
      <c r="K66" s="2">
        <v>0.035955676916892</v>
      </c>
      <c r="L66" s="2">
        <v>-0.55904097243844</v>
      </c>
      <c r="M66" s="2">
        <v>-0.55797288192465</v>
      </c>
      <c r="N66" s="2">
        <v>727.63336821589</v>
      </c>
      <c r="O66" s="2">
        <v>823.97709178211</v>
      </c>
    </row>
    <row r="67" spans="1:15">
      <c r="A67" s="2">
        <v>12.406684939098</v>
      </c>
      <c r="B67" s="2">
        <v>0.035262062124949</v>
      </c>
      <c r="C67" s="2">
        <v>90.24864136129</v>
      </c>
      <c r="D67" s="2">
        <v>0.037730575755762</v>
      </c>
      <c r="E67" s="2">
        <v>5.4650092487644</v>
      </c>
      <c r="F67" s="2">
        <v>0.80279420131223</v>
      </c>
      <c r="G67" s="2">
        <v>50704355.66962</v>
      </c>
      <c r="H67" s="2">
        <v>9910811.3803524</v>
      </c>
      <c r="I67" s="2">
        <v>-0.018655126769426</v>
      </c>
      <c r="J67" s="2">
        <v>-0.016413041871527</v>
      </c>
      <c r="K67" s="2">
        <v>0.036533998726203</v>
      </c>
      <c r="L67" s="2">
        <v>-0.56904522076351</v>
      </c>
      <c r="M67" s="2">
        <v>-0.56803441762438</v>
      </c>
      <c r="N67" s="2">
        <v>729.43513789117</v>
      </c>
      <c r="O67" s="2">
        <v>826.16241452458</v>
      </c>
    </row>
    <row r="68" spans="1:15">
      <c r="A68" s="2">
        <v>12.606684939098</v>
      </c>
      <c r="B68" s="2">
        <v>0.035865142309489</v>
      </c>
      <c r="C68" s="2">
        <v>90.247526131014</v>
      </c>
      <c r="D68" s="2">
        <v>0.038342574529268</v>
      </c>
      <c r="E68" s="2">
        <v>5.4698702334944</v>
      </c>
      <c r="F68" s="2">
        <v>0.79970581782379</v>
      </c>
      <c r="G68" s="2">
        <v>51401324.284758</v>
      </c>
      <c r="H68" s="2">
        <v>10027890.576174</v>
      </c>
      <c r="I68" s="2">
        <v>-0.018959890740737</v>
      </c>
      <c r="J68" s="2">
        <v>-0.016682891893374</v>
      </c>
      <c r="K68" s="2">
        <v>0.037111980845011</v>
      </c>
      <c r="L68" s="2">
        <v>-0.57906945411508</v>
      </c>
      <c r="M68" s="2">
        <v>-0.57806258118743</v>
      </c>
      <c r="N68" s="2">
        <v>731.22942552648</v>
      </c>
      <c r="O68" s="2">
        <v>828.33876120926</v>
      </c>
    </row>
    <row r="69" spans="1:15">
      <c r="A69" s="2">
        <v>12.806684939098</v>
      </c>
      <c r="B69" s="2">
        <v>0.036468218411229</v>
      </c>
      <c r="C69" s="2">
        <v>90.246413861699</v>
      </c>
      <c r="D69" s="2">
        <v>0.038954555492229</v>
      </c>
      <c r="E69" s="2">
        <v>5.474739901374</v>
      </c>
      <c r="F69" s="2">
        <v>0.79661729492907</v>
      </c>
      <c r="G69" s="2">
        <v>52100630.970298</v>
      </c>
      <c r="H69" s="2">
        <v>10145313.332361</v>
      </c>
      <c r="I69" s="2">
        <v>-0.019264438834263</v>
      </c>
      <c r="J69" s="2">
        <v>-0.01695261800618</v>
      </c>
      <c r="K69" s="2">
        <v>0.037689623714444</v>
      </c>
      <c r="L69" s="2">
        <v>-0.58676404187072</v>
      </c>
      <c r="M69" s="2">
        <v>-0.58440185443135</v>
      </c>
      <c r="N69" s="2">
        <v>733.01786588674</v>
      </c>
      <c r="O69" s="2">
        <v>830.50490041761</v>
      </c>
    </row>
    <row r="70" spans="1:15">
      <c r="A70" s="2">
        <v>13.006684939098</v>
      </c>
      <c r="B70" s="2">
        <v>0.037071294182372</v>
      </c>
      <c r="C70" s="2">
        <v>90.245304314174</v>
      </c>
      <c r="D70" s="2">
        <v>0.039566531368836</v>
      </c>
      <c r="E70" s="2">
        <v>5.4796177237798</v>
      </c>
      <c r="F70" s="2">
        <v>0.79352882783265</v>
      </c>
      <c r="G70" s="2">
        <v>52802244.26517</v>
      </c>
      <c r="H70" s="2">
        <v>10263074.419804</v>
      </c>
      <c r="I70" s="2">
        <v>-0.019568784209777</v>
      </c>
      <c r="J70" s="2">
        <v>-0.017222237414967</v>
      </c>
      <c r="K70" s="2">
        <v>0.038266927709614</v>
      </c>
      <c r="L70" s="2">
        <v>-0.59653979204888</v>
      </c>
      <c r="M70" s="2">
        <v>-0.59400704652515</v>
      </c>
      <c r="N70" s="2">
        <v>734.79751566218</v>
      </c>
      <c r="O70" s="2">
        <v>832.6636513853</v>
      </c>
    </row>
    <row r="71" spans="1:15">
      <c r="A71" s="2">
        <v>13.206684939098</v>
      </c>
      <c r="B71" s="2">
        <v>0.037674372043349</v>
      </c>
      <c r="C71" s="2">
        <v>90.24419739447</v>
      </c>
      <c r="D71" s="2">
        <v>0.040178500150992</v>
      </c>
      <c r="E71" s="2">
        <v>5.4845034074311</v>
      </c>
      <c r="F71" s="2">
        <v>0.79044016082939</v>
      </c>
      <c r="G71" s="2">
        <v>53506130.796263</v>
      </c>
      <c r="H71" s="2">
        <v>10381168.275682</v>
      </c>
      <c r="I71" s="2">
        <v>-0.019872923538621</v>
      </c>
      <c r="J71" s="2">
        <v>-0.017491738797892</v>
      </c>
      <c r="K71" s="2">
        <v>0.038843893241771</v>
      </c>
      <c r="L71" s="2">
        <v>-0.60624499931287</v>
      </c>
      <c r="M71" s="2">
        <v>-0.60353210391703</v>
      </c>
      <c r="N71" s="2">
        <v>736.57008190567</v>
      </c>
      <c r="O71" s="2">
        <v>834.8141181646</v>
      </c>
    </row>
    <row r="72" spans="1:15">
      <c r="A72" s="2">
        <v>13.406684939098</v>
      </c>
      <c r="B72" s="2">
        <v>0.038277453868986</v>
      </c>
      <c r="C72" s="2">
        <v>90.24309333736</v>
      </c>
      <c r="D72" s="2">
        <v>0.040790464483274</v>
      </c>
      <c r="E72" s="2">
        <v>4.0831467199849</v>
      </c>
      <c r="F72" s="2">
        <v>0.78735113131493</v>
      </c>
      <c r="G72" s="2">
        <v>54212258.77186</v>
      </c>
      <c r="H72" s="2">
        <v>10499589.612263</v>
      </c>
      <c r="I72" s="2">
        <v>-0.020176857651095</v>
      </c>
      <c r="J72" s="2">
        <v>-0.0177611219024</v>
      </c>
      <c r="K72" s="2">
        <v>0.03942052069714</v>
      </c>
      <c r="L72" s="2">
        <v>-0.61597058566507</v>
      </c>
      <c r="M72" s="2">
        <v>-0.61308662847831</v>
      </c>
      <c r="N72" s="2">
        <v>738.33568573713</v>
      </c>
      <c r="O72" s="2">
        <v>836.9565502522</v>
      </c>
    </row>
    <row r="73" spans="1:15">
      <c r="A73" s="2">
        <v>13.606684939098</v>
      </c>
      <c r="B73" s="2">
        <v>0.038880544001583</v>
      </c>
      <c r="C73" s="2">
        <v>90.241991786731</v>
      </c>
      <c r="D73" s="2">
        <v>0.04140242749631</v>
      </c>
      <c r="E73" s="2">
        <v>4.0880477942062</v>
      </c>
      <c r="F73" s="2">
        <v>0.78426202243762</v>
      </c>
      <c r="G73" s="2">
        <v>54920600.116703</v>
      </c>
      <c r="H73" s="2">
        <v>10618333.784904</v>
      </c>
      <c r="I73" s="2">
        <v>-0.020480589100648</v>
      </c>
      <c r="J73" s="2">
        <v>-0.018030385607826</v>
      </c>
      <c r="K73" s="2">
        <v>0.039996810471959</v>
      </c>
      <c r="L73" s="2">
        <v>-0.62575345150941</v>
      </c>
      <c r="M73" s="2">
        <v>-0.62269376303608</v>
      </c>
      <c r="N73" s="2">
        <v>740.09387487167</v>
      </c>
      <c r="O73" s="2">
        <v>839.09056760912</v>
      </c>
    </row>
    <row r="74" spans="1:15">
      <c r="A74" s="2">
        <v>13.806684939098</v>
      </c>
      <c r="B74" s="2">
        <v>0.039483644736392</v>
      </c>
      <c r="C74" s="2">
        <v>90.240892932081</v>
      </c>
      <c r="D74" s="2">
        <v>0.042014391582516</v>
      </c>
      <c r="E74" s="2">
        <v>4.0929561362607</v>
      </c>
      <c r="F74" s="2">
        <v>0.78117335543615</v>
      </c>
      <c r="G74" s="2">
        <v>55631120.545501</v>
      </c>
      <c r="H74" s="2">
        <v>10737395.101269</v>
      </c>
      <c r="I74" s="2">
        <v>-0.020784119338363</v>
      </c>
      <c r="J74" s="2">
        <v>-0.018299527510926</v>
      </c>
      <c r="K74" s="2">
        <v>0.040572762962058</v>
      </c>
      <c r="L74" s="2">
        <v>-0.63553756610013</v>
      </c>
      <c r="M74" s="2">
        <v>-0.63235429483586</v>
      </c>
      <c r="N74" s="2">
        <v>741.84525642603</v>
      </c>
      <c r="O74" s="2">
        <v>841.21702995741</v>
      </c>
    </row>
    <row r="75" spans="1:15">
      <c r="A75" s="2">
        <v>14.006684939098</v>
      </c>
      <c r="B75" s="2">
        <v>0.040086756322348</v>
      </c>
      <c r="C75" s="2">
        <v>90.239796396041</v>
      </c>
      <c r="D75" s="2">
        <v>0.042626359464468</v>
      </c>
      <c r="E75" s="2">
        <v>4.0978712334846</v>
      </c>
      <c r="F75" s="2">
        <v>0.77808485559223</v>
      </c>
      <c r="G75" s="2">
        <v>56343787.488246</v>
      </c>
      <c r="H75" s="2">
        <v>10856768.15647</v>
      </c>
      <c r="I75" s="2">
        <v>-0.021087449392723</v>
      </c>
      <c r="J75" s="2">
        <v>-0.018568546272376</v>
      </c>
      <c r="K75" s="2">
        <v>0.041148378548791</v>
      </c>
      <c r="L75" s="2">
        <v>-0.64539667912515</v>
      </c>
      <c r="M75" s="2">
        <v>-0.64205081228026</v>
      </c>
      <c r="N75" s="2">
        <v>743.59026241555</v>
      </c>
      <c r="O75" s="2">
        <v>843.3363249911</v>
      </c>
    </row>
    <row r="76" spans="1:15">
      <c r="A76" s="2">
        <v>14.206684939098</v>
      </c>
      <c r="B76" s="2">
        <v>0.040689887002113</v>
      </c>
      <c r="C76" s="2">
        <v>90.238702215304</v>
      </c>
      <c r="D76" s="2">
        <v>0.043238333505962</v>
      </c>
      <c r="E76" s="2">
        <v>4.1027928008967</v>
      </c>
      <c r="F76" s="2">
        <v>0.77499666290014</v>
      </c>
      <c r="G76" s="2">
        <v>57058581.012108</v>
      </c>
      <c r="H76" s="2">
        <v>10976449.709315</v>
      </c>
      <c r="I76" s="2">
        <v>-0.02139058281972</v>
      </c>
      <c r="J76" s="2">
        <v>-0.018837441447139</v>
      </c>
      <c r="K76" s="2">
        <v>0.041723657621335</v>
      </c>
      <c r="L76" s="2">
        <v>-0.65529001566812</v>
      </c>
      <c r="M76" s="2">
        <v>-0.65178993074719</v>
      </c>
      <c r="N76" s="2">
        <v>745.32746348632</v>
      </c>
      <c r="O76" s="2">
        <v>845.44711000562</v>
      </c>
    </row>
    <row r="77" spans="1:15">
      <c r="A77" s="2">
        <v>14.406684939098</v>
      </c>
      <c r="B77" s="2">
        <v>0.041293032939818</v>
      </c>
      <c r="C77" s="2">
        <v>90.237610260038</v>
      </c>
      <c r="D77" s="2">
        <v>0.043850314920208</v>
      </c>
      <c r="E77" s="2">
        <v>4.1077203929201</v>
      </c>
      <c r="F77" s="2">
        <v>0.7719090908791</v>
      </c>
      <c r="G77" s="2">
        <v>57775466.793942</v>
      </c>
      <c r="H77" s="2">
        <v>11096434.09817</v>
      </c>
      <c r="I77" s="2">
        <v>-0.021693519984823</v>
      </c>
      <c r="J77" s="2">
        <v>-0.019106210517408</v>
      </c>
      <c r="K77" s="2">
        <v>0.042298600564669</v>
      </c>
      <c r="L77" s="2">
        <v>-0.66518280566725</v>
      </c>
      <c r="M77" s="2">
        <v>-0.66152965119919</v>
      </c>
      <c r="N77" s="2">
        <v>747.05807849272</v>
      </c>
      <c r="O77" s="2">
        <v>847.55051297331</v>
      </c>
    </row>
    <row r="78" spans="1:15">
      <c r="A78" s="2">
        <v>14.606684939098</v>
      </c>
      <c r="B78" s="2">
        <v>0.041896193567346</v>
      </c>
      <c r="C78" s="2">
        <v>90.236520653826</v>
      </c>
      <c r="D78" s="2">
        <v>0.044462304894667</v>
      </c>
      <c r="E78" s="2">
        <v>4.1126535344398</v>
      </c>
      <c r="F78" s="2">
        <v>0.76882247726961</v>
      </c>
      <c r="G78" s="2">
        <v>58494415.079072</v>
      </c>
      <c r="H78" s="2">
        <v>11216716.443087</v>
      </c>
      <c r="I78" s="2">
        <v>-0.021996262913629</v>
      </c>
      <c r="J78" s="2">
        <v>-0.019374851024179</v>
      </c>
      <c r="K78" s="2">
        <v>0.042873207774993</v>
      </c>
      <c r="L78" s="2">
        <v>-0.67511080869304</v>
      </c>
      <c r="M78" s="2">
        <v>-0.67131657040968</v>
      </c>
      <c r="N78" s="2">
        <v>748.78262505466</v>
      </c>
      <c r="O78" s="2">
        <v>849.64711638678</v>
      </c>
    </row>
    <row r="79" spans="1:15">
      <c r="A79" s="2">
        <v>14.806684939098</v>
      </c>
      <c r="B79" s="2">
        <v>0.04249937473862</v>
      </c>
      <c r="C79" s="2">
        <v>90.235433601407</v>
      </c>
      <c r="D79" s="2">
        <v>0.045074305109367</v>
      </c>
      <c r="E79" s="2">
        <v>4.1175922149594</v>
      </c>
      <c r="F79" s="2">
        <v>0.76573672226092</v>
      </c>
      <c r="G79" s="2">
        <v>59215406.959295</v>
      </c>
      <c r="H79" s="2">
        <v>11337293.709824</v>
      </c>
      <c r="I79" s="2">
        <v>-0.022298814971822</v>
      </c>
      <c r="J79" s="2">
        <v>-0.019643361624873</v>
      </c>
      <c r="K79" s="2">
        <v>0.043447479647321</v>
      </c>
      <c r="L79" s="2">
        <v>-0.68501995361054</v>
      </c>
      <c r="M79" s="2">
        <v>-0.68104832953122</v>
      </c>
      <c r="N79" s="2">
        <v>750.50007782908</v>
      </c>
      <c r="O79" s="2">
        <v>851.73569133114</v>
      </c>
    </row>
    <row r="80" spans="1:15">
      <c r="A80" s="2">
        <v>15.006684939098</v>
      </c>
      <c r="B80" s="2">
        <v>0.043102575697188</v>
      </c>
      <c r="C80" s="2">
        <v>90.234349410126</v>
      </c>
      <c r="D80" s="2">
        <v>0.045686317244962</v>
      </c>
      <c r="E80" s="2">
        <v>4.1225366729341</v>
      </c>
      <c r="F80" s="2">
        <v>0.76265271189408</v>
      </c>
      <c r="G80" s="2">
        <v>59938414.530221</v>
      </c>
      <c r="H80" s="2">
        <v>11458161.360781</v>
      </c>
      <c r="I80" s="2">
        <v>-0.022601176682018</v>
      </c>
      <c r="J80" s="2">
        <v>-0.019911742016453</v>
      </c>
      <c r="K80" s="2">
        <v>0.044021416578687</v>
      </c>
      <c r="L80" s="2">
        <v>-0.69503991529394</v>
      </c>
      <c r="M80" s="2">
        <v>-0.69092320610698</v>
      </c>
      <c r="N80" s="2">
        <v>752.21087451052</v>
      </c>
      <c r="O80" s="2">
        <v>853.81676582547</v>
      </c>
    </row>
    <row r="81" spans="1:15">
      <c r="A81" s="2">
        <v>15.206684939098</v>
      </c>
      <c r="B81" s="2">
        <v>0.043705798057384</v>
      </c>
      <c r="C81" s="2">
        <v>90.233267791926</v>
      </c>
      <c r="D81" s="2">
        <v>0.046298341360385</v>
      </c>
      <c r="E81" s="2">
        <v>4.1274866673161</v>
      </c>
      <c r="F81" s="2">
        <v>0.75957059535999</v>
      </c>
      <c r="G81" s="2">
        <v>60663416.480614</v>
      </c>
      <c r="H81" s="2">
        <v>11579315.979887</v>
      </c>
      <c r="I81" s="2">
        <v>-0.022903351171087</v>
      </c>
      <c r="J81" s="2">
        <v>-0.020179988989803</v>
      </c>
      <c r="K81" s="2">
        <v>0.04459501896708</v>
      </c>
      <c r="L81" s="2">
        <v>-0.70503856896361</v>
      </c>
      <c r="M81" s="2">
        <v>-0.70072799121498</v>
      </c>
      <c r="N81" s="2">
        <v>753.91487624703</v>
      </c>
      <c r="O81" s="2">
        <v>855.88990215966</v>
      </c>
    </row>
    <row r="82" spans="1:15">
      <c r="A82" s="2">
        <v>15.406684939098</v>
      </c>
      <c r="B82" s="2">
        <v>0.044309035167648</v>
      </c>
      <c r="C82" s="2">
        <v>90.232188915752</v>
      </c>
      <c r="D82" s="2">
        <v>0.046910376862479</v>
      </c>
      <c r="E82" s="2">
        <v>4.1324416248595</v>
      </c>
      <c r="F82" s="2">
        <v>0.75649039747019</v>
      </c>
      <c r="G82" s="2">
        <v>61390381.27694</v>
      </c>
      <c r="H82" s="2">
        <v>11700752.433673</v>
      </c>
      <c r="I82" s="2">
        <v>-0.023205340149311</v>
      </c>
      <c r="J82" s="2">
        <v>-0.020448098597576</v>
      </c>
      <c r="K82" s="2">
        <v>0.045168287207612</v>
      </c>
      <c r="L82" s="2">
        <v>-0.71506364070402</v>
      </c>
      <c r="M82" s="2">
        <v>-0.71061080280967</v>
      </c>
      <c r="N82" s="2">
        <v>755.61362059515</v>
      </c>
      <c r="O82" s="2">
        <v>857.95661950133</v>
      </c>
    </row>
    <row r="83" spans="1:15">
      <c r="A83" s="2">
        <v>15.606684939098</v>
      </c>
      <c r="B83" s="2">
        <v>0.044912298592005</v>
      </c>
      <c r="C83" s="2">
        <v>90.231113558076</v>
      </c>
      <c r="D83" s="2">
        <v>0.047522426464245</v>
      </c>
      <c r="E83" s="2">
        <v>4.137401099306</v>
      </c>
      <c r="F83" s="2">
        <v>0.7534128419356</v>
      </c>
      <c r="G83" s="2">
        <v>62119299.480203</v>
      </c>
      <c r="H83" s="2">
        <v>11822469.301544</v>
      </c>
      <c r="I83" s="2">
        <v>-0.023507147554523</v>
      </c>
      <c r="J83" s="2">
        <v>-0.020716071951538</v>
      </c>
      <c r="K83" s="2">
        <v>0.045741221722407</v>
      </c>
      <c r="L83" s="2">
        <v>-0.72509575729582</v>
      </c>
      <c r="M83" s="2">
        <v>-0.72047913420552</v>
      </c>
      <c r="N83" s="2">
        <v>757.30461509414</v>
      </c>
      <c r="O83" s="2">
        <v>860.01417543663</v>
      </c>
    </row>
    <row r="84" spans="1:15">
      <c r="A84" s="2">
        <v>15.806684939098</v>
      </c>
      <c r="B84" s="2">
        <v>0.045515579067337</v>
      </c>
      <c r="C84" s="2">
        <v>90.230042482648</v>
      </c>
      <c r="D84" s="2">
        <v>0.048134489338727</v>
      </c>
      <c r="E84" s="2">
        <v>4.1423652154917</v>
      </c>
      <c r="F84" s="2">
        <v>0.75033826366141</v>
      </c>
      <c r="G84" s="2">
        <v>62850137.329828</v>
      </c>
      <c r="H84" s="2">
        <v>11944461.089223</v>
      </c>
      <c r="I84" s="2">
        <v>-0.023808771516716</v>
      </c>
      <c r="J84" s="2">
        <v>-0.020983907533769</v>
      </c>
      <c r="K84" s="2">
        <v>0.04631382291064</v>
      </c>
      <c r="L84" s="2">
        <v>-0.73514269727319</v>
      </c>
      <c r="M84" s="2">
        <v>-0.73034742094404</v>
      </c>
      <c r="N84" s="2">
        <v>758.98982980311</v>
      </c>
      <c r="O84" s="2">
        <v>862.06453361339</v>
      </c>
    </row>
    <row r="85" spans="1:15">
      <c r="A85" s="2">
        <v>16.006684939098</v>
      </c>
      <c r="B85" s="2">
        <v>0.046118880468053</v>
      </c>
      <c r="C85" s="2">
        <v>90.228974983418</v>
      </c>
      <c r="D85" s="2">
        <v>0.0487465664239</v>
      </c>
      <c r="E85" s="2">
        <v>4.1473329703804</v>
      </c>
      <c r="F85" s="2">
        <v>0.74726705693439</v>
      </c>
      <c r="G85" s="2">
        <v>63582872.054911</v>
      </c>
      <c r="H85" s="2">
        <v>12066724.128938</v>
      </c>
      <c r="I85" s="2">
        <v>-0.024110214384713</v>
      </c>
      <c r="J85" s="2">
        <v>-0.021251604250955</v>
      </c>
      <c r="K85" s="2">
        <v>0.046886091173845</v>
      </c>
      <c r="L85" s="2">
        <v>-0.74525099018547</v>
      </c>
      <c r="M85" s="2">
        <v>-0.74028749504548</v>
      </c>
      <c r="N85" s="2">
        <v>760.66894046697</v>
      </c>
      <c r="O85" s="2">
        <v>864.10751905454</v>
      </c>
    </row>
    <row r="86" spans="1:15">
      <c r="A86" s="2">
        <v>16.206684939098</v>
      </c>
      <c r="B86" s="2">
        <v>0.046722205569979</v>
      </c>
      <c r="C86" s="2">
        <v>90.227910959822</v>
      </c>
      <c r="D86" s="2">
        <v>0.049358658586003</v>
      </c>
      <c r="E86" s="2">
        <v>4.1523042418126</v>
      </c>
      <c r="F86" s="2">
        <v>0.74419966482355</v>
      </c>
      <c r="G86" s="2">
        <v>64317485.284397</v>
      </c>
      <c r="H86" s="2">
        <v>12189255.504244</v>
      </c>
      <c r="I86" s="2">
        <v>-0.024411477170475</v>
      </c>
      <c r="J86" s="2">
        <v>-0.021519162514151</v>
      </c>
      <c r="K86" s="2">
        <v>0.047458026918249</v>
      </c>
      <c r="L86" s="2">
        <v>-0.75539270948463</v>
      </c>
      <c r="M86" s="2">
        <v>-0.75026389630306</v>
      </c>
      <c r="N86" s="2">
        <v>762.34133444708</v>
      </c>
      <c r="O86" s="2">
        <v>866.14248153348</v>
      </c>
    </row>
    <row r="87" spans="1:15">
      <c r="A87" s="2">
        <v>16.406684939098</v>
      </c>
      <c r="B87" s="2">
        <v>0.047325551297226</v>
      </c>
      <c r="C87" s="2">
        <v>90.226850874765</v>
      </c>
      <c r="D87" s="2">
        <v>0.049970766315549</v>
      </c>
      <c r="E87" s="2">
        <v>4.1572786472148</v>
      </c>
      <c r="F87" s="2">
        <v>0.74113651183418</v>
      </c>
      <c r="G87" s="2">
        <v>65053947.612115</v>
      </c>
      <c r="H87" s="2">
        <v>12312050.437844</v>
      </c>
      <c r="I87" s="2">
        <v>-0.024712559349897</v>
      </c>
      <c r="J87" s="2">
        <v>-0.021786581457556</v>
      </c>
      <c r="K87" s="2">
        <v>0.048029630570027</v>
      </c>
      <c r="L87" s="2">
        <v>-0.76553304263281</v>
      </c>
      <c r="M87" s="2">
        <v>-0.76024106032248</v>
      </c>
      <c r="N87" s="2">
        <v>764.00788920573</v>
      </c>
      <c r="O87" s="2">
        <v>868.17041823581</v>
      </c>
    </row>
    <row r="88" spans="1:15">
      <c r="A88" s="2">
        <v>16.606684939098</v>
      </c>
      <c r="B88" s="2">
        <v>0.047928920003106</v>
      </c>
      <c r="C88" s="2">
        <v>90.225794244853</v>
      </c>
      <c r="D88" s="2">
        <v>0.050582890433728</v>
      </c>
      <c r="E88" s="2">
        <v>4.1622551482255</v>
      </c>
      <c r="F88" s="2">
        <v>0.7380780084774</v>
      </c>
      <c r="G88" s="2">
        <v>65792237.485323</v>
      </c>
      <c r="H88" s="2">
        <v>12435105.460879</v>
      </c>
      <c r="I88" s="2">
        <v>-0.025013459953338</v>
      </c>
      <c r="J88" s="2">
        <v>-0.022053863080892</v>
      </c>
      <c r="K88" s="2">
        <v>0.048600902502147</v>
      </c>
      <c r="L88" s="2">
        <v>-0.77568322672158</v>
      </c>
      <c r="M88" s="2">
        <v>-0.770201185788</v>
      </c>
      <c r="N88" s="2">
        <v>765.66826310027</v>
      </c>
      <c r="O88" s="2">
        <v>870.19102125136</v>
      </c>
    </row>
    <row r="89" spans="1:15">
      <c r="A89" s="2">
        <v>16.806684939098</v>
      </c>
      <c r="B89" s="2">
        <v>0.048532311311235</v>
      </c>
      <c r="C89" s="2">
        <v>90.224741186282</v>
      </c>
      <c r="D89" s="2">
        <v>0.051195032145092</v>
      </c>
      <c r="E89" s="2">
        <v>4.1672333823069</v>
      </c>
      <c r="F89" s="2">
        <v>0.73502447357575</v>
      </c>
      <c r="G89" s="2">
        <v>66532329.686919</v>
      </c>
      <c r="H89" s="2">
        <v>12558416.502545</v>
      </c>
      <c r="I89" s="2">
        <v>-0.025314178814005</v>
      </c>
      <c r="J89" s="2">
        <v>-0.022321007805941</v>
      </c>
      <c r="K89" s="2">
        <v>0.04917184314239</v>
      </c>
      <c r="L89" s="2">
        <v>-0.78589217257166</v>
      </c>
      <c r="M89" s="2">
        <v>-0.78022142637549</v>
      </c>
      <c r="N89" s="2">
        <v>767.32268992441</v>
      </c>
      <c r="O89" s="2">
        <v>872.20469711545</v>
      </c>
    </row>
    <row r="90" spans="1:15">
      <c r="A90" s="2">
        <v>17</v>
      </c>
      <c r="B90" s="2">
        <v>0.049115460853542</v>
      </c>
      <c r="C90" s="2">
        <v>90.223727870848</v>
      </c>
      <c r="D90" s="2">
        <v>0.051786718201519</v>
      </c>
      <c r="E90" s="2">
        <v>4.1720457325801</v>
      </c>
      <c r="F90" s="2">
        <v>0.73207884341063</v>
      </c>
      <c r="G90" s="2">
        <v>67249257.059361</v>
      </c>
      <c r="H90" s="2">
        <v>12677825.958537</v>
      </c>
      <c r="I90" s="2">
        <v>-0.025604651211781</v>
      </c>
      <c r="J90" s="2">
        <v>-0.022579076086433</v>
      </c>
      <c r="K90" s="2">
        <v>0.049723385850114</v>
      </c>
      <c r="L90" s="2">
        <v>-0.79523342424413</v>
      </c>
      <c r="M90" s="2">
        <v>-0.78929257067524</v>
      </c>
      <c r="N90" s="2">
        <v>768.93686023397</v>
      </c>
      <c r="O90" s="2">
        <v>874.16593864981</v>
      </c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6"/>
  <sheetViews>
    <sheetView workbookViewId="0">
      <selection activeCell="A1" sqref="A1:A48"/>
    </sheetView>
  </sheetViews>
  <sheetFormatPr defaultColWidth="8.8" defaultRowHeight="15"/>
  <sheetData>
    <row r="1" spans="1:1">
      <c r="A1" s="1"/>
    </row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22" spans="1:1">
      <c r="A22" s="1"/>
    </row>
    <row r="23" spans="1:1">
      <c r="A23" s="1"/>
    </row>
    <row r="24" spans="1:1">
      <c r="A24" s="1"/>
    </row>
    <row r="26" spans="1:1">
      <c r="A26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6" spans="1:1">
      <c r="A4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Exp</vt:lpstr>
      <vt:lpstr>Graph</vt:lpstr>
      <vt:lpstr>923K</vt:lpstr>
      <vt:lpstr>873K</vt:lpstr>
      <vt:lpstr>823K</vt:lpstr>
      <vt:lpstr>773K</vt:lpstr>
      <vt:lpstr>723K</vt:lpstr>
      <vt:lpstr>673K</vt:lpstr>
      <vt:lpstr>573K</vt:lpstr>
      <vt:lpstr>473K</vt:lpstr>
      <vt:lpstr>props-723to923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</cp:lastModifiedBy>
  <dcterms:created xsi:type="dcterms:W3CDTF">2025-01-26T14:53:00Z</dcterms:created>
  <dcterms:modified xsi:type="dcterms:W3CDTF">2025-05-27T13:22:08Z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