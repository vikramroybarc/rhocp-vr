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135" windowHeight="12450" tabRatio="500"/>
  </bookViews>
  <sheets>
    <sheet name="DDD" sheetId="1" r:id="rId1"/>
  </sheets>
  <calcPr calcId="144525"/>
</workbook>
</file>

<file path=xl/sharedStrings.xml><?xml version="1.0" encoding="utf-8"?>
<sst xmlns="http://schemas.openxmlformats.org/spreadsheetml/2006/main" count="2" uniqueCount="2">
  <si>
    <t>SR 20</t>
  </si>
  <si>
    <t>SR20LEM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</si>
</sst>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2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0"/>
      <name val="Arial"/>
      <charset val="134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9" borderId="5" applyNumberFormat="0" applyAlignment="0" applyProtection="0">
      <alignment vertical="center"/>
    </xf>
    <xf numFmtId="44" fontId="3" fillId="0" borderId="0" applyBorder="0" applyAlignment="0" applyProtection="0"/>
    <xf numFmtId="0" fontId="11" fillId="8" borderId="0" applyNumberFormat="0" applyBorder="0" applyAlignment="0" applyProtection="0">
      <alignment vertical="center"/>
    </xf>
    <xf numFmtId="0" fontId="10" fillId="6" borderId="4" applyNumberFormat="0" applyFont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1" fontId="3" fillId="0" borderId="0" applyBorder="0" applyAlignment="0" applyProtection="0"/>
    <xf numFmtId="0" fontId="11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3" fillId="0" borderId="0" applyBorder="0" applyAlignment="0" applyProtection="0"/>
    <xf numFmtId="0" fontId="2" fillId="2" borderId="1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1" fontId="0" fillId="0" borderId="0" xfId="0" applyNumberFormat="1" applyFont="1" applyAlignment="1">
      <alignment horizontal="center" vertical="center"/>
    </xf>
    <xf numFmtId="11" fontId="0" fillId="0" borderId="0" xfId="0" applyNumberFormat="1"/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20E"/>
      <rgbColor rgb="00666699"/>
      <rgbColor rgb="00969696"/>
      <rgbColor rgb="0000458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DDD!$A$1</c:f>
              <c:strCache>
                <c:ptCount val="1"/>
                <c:pt idx="0">
                  <c:v>SR 20</c:v>
                </c:pt>
              </c:strCache>
            </c:strRef>
          </c:tx>
          <c:spPr>
            <a:ln w="28800" cap="rnd" cmpd="sng" algn="ctr">
              <a:solidFill>
                <a:srgbClr val="004586"/>
              </a:solidFill>
              <a:prstDash val="solid"/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DDD!$C$2:$C$19</c:f>
              <c:numCache>
                <c:formatCode>General</c:formatCode>
                <c:ptCount val="18"/>
                <c:pt idx="0">
                  <c:v>0.101359</c:v>
                </c:pt>
                <c:pt idx="1">
                  <c:v>0.14971</c:v>
                </c:pt>
                <c:pt idx="2">
                  <c:v>0.200327</c:v>
                </c:pt>
                <c:pt idx="3">
                  <c:v>0.252881</c:v>
                </c:pt>
                <c:pt idx="4">
                  <c:v>0.299359</c:v>
                </c:pt>
                <c:pt idx="5">
                  <c:v>0.348469</c:v>
                </c:pt>
                <c:pt idx="6">
                  <c:v>0.399164</c:v>
                </c:pt>
                <c:pt idx="7">
                  <c:v>0.450945</c:v>
                </c:pt>
                <c:pt idx="8">
                  <c:v>0.499519</c:v>
                </c:pt>
                <c:pt idx="9">
                  <c:v>0.553187</c:v>
                </c:pt>
                <c:pt idx="10">
                  <c:v>0.598978</c:v>
                </c:pt>
                <c:pt idx="11">
                  <c:v>0.651782</c:v>
                </c:pt>
                <c:pt idx="12">
                  <c:v>0.698893</c:v>
                </c:pt>
                <c:pt idx="13">
                  <c:v>0.748853</c:v>
                </c:pt>
                <c:pt idx="14">
                  <c:v>0.801168</c:v>
                </c:pt>
                <c:pt idx="15">
                  <c:v>0.850076</c:v>
                </c:pt>
                <c:pt idx="16">
                  <c:v>0.899895</c:v>
                </c:pt>
                <c:pt idx="17">
                  <c:v>0.94714</c:v>
                </c:pt>
              </c:numCache>
            </c:numRef>
          </c:xVal>
          <c:yVal>
            <c:numRef>
              <c:f>DDD!$D$2:$D$19</c:f>
              <c:numCache>
                <c:formatCode>General</c:formatCode>
                <c:ptCount val="18"/>
                <c:pt idx="0">
                  <c:v>80.9873</c:v>
                </c:pt>
                <c:pt idx="1">
                  <c:v>90.0252</c:v>
                </c:pt>
                <c:pt idx="2">
                  <c:v>92.5012</c:v>
                </c:pt>
                <c:pt idx="3">
                  <c:v>99.379</c:v>
                </c:pt>
                <c:pt idx="4">
                  <c:v>105.631</c:v>
                </c:pt>
                <c:pt idx="5">
                  <c:v>102.439</c:v>
                </c:pt>
                <c:pt idx="6">
                  <c:v>102.156</c:v>
                </c:pt>
                <c:pt idx="7">
                  <c:v>93.1856</c:v>
                </c:pt>
                <c:pt idx="8">
                  <c:v>95.4408</c:v>
                </c:pt>
                <c:pt idx="9">
                  <c:v>85.0029</c:v>
                </c:pt>
                <c:pt idx="10">
                  <c:v>106.543</c:v>
                </c:pt>
                <c:pt idx="11">
                  <c:v>102.291</c:v>
                </c:pt>
                <c:pt idx="12">
                  <c:v>99.1801</c:v>
                </c:pt>
                <c:pt idx="13">
                  <c:v>93.0124</c:v>
                </c:pt>
                <c:pt idx="14">
                  <c:v>94.3274</c:v>
                </c:pt>
                <c:pt idx="15">
                  <c:v>105.809</c:v>
                </c:pt>
                <c:pt idx="16">
                  <c:v>103.681</c:v>
                </c:pt>
                <c:pt idx="17">
                  <c:v>109.542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DDD!$F$1</c:f>
              <c:strCache>
                <c:ptCount val="1"/>
                <c:pt idx="0">
                  <c:v>SR20LEM</c:v>
                </c:pt>
              </c:strCache>
            </c:strRef>
          </c:tx>
          <c:spPr>
            <a:ln w="28800" cap="rnd" cmpd="sng" algn="ctr">
              <a:solidFill>
                <a:srgbClr val="FF420E"/>
              </a:solidFill>
              <a:prstDash val="solid"/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DDD!$H$2:$H$40</c:f>
              <c:numCache>
                <c:formatCode>General</c:formatCode>
                <c:ptCount val="39"/>
                <c:pt idx="0">
                  <c:v>0.0987985</c:v>
                </c:pt>
                <c:pt idx="1">
                  <c:v>0.149588</c:v>
                </c:pt>
                <c:pt idx="2">
                  <c:v>0.204002</c:v>
                </c:pt>
                <c:pt idx="3">
                  <c:v>0.251199</c:v>
                </c:pt>
                <c:pt idx="4">
                  <c:v>0.301329</c:v>
                </c:pt>
                <c:pt idx="5">
                  <c:v>0.348496</c:v>
                </c:pt>
                <c:pt idx="6">
                  <c:v>0.402078</c:v>
                </c:pt>
                <c:pt idx="7">
                  <c:v>0.449464</c:v>
                </c:pt>
                <c:pt idx="8">
                  <c:v>0.498004</c:v>
                </c:pt>
                <c:pt idx="9">
                  <c:v>0.551375</c:v>
                </c:pt>
                <c:pt idx="10">
                  <c:v>0.599642</c:v>
                </c:pt>
                <c:pt idx="11">
                  <c:v>0.651884</c:v>
                </c:pt>
                <c:pt idx="12">
                  <c:v>0.701979</c:v>
                </c:pt>
                <c:pt idx="13">
                  <c:v>0.748689</c:v>
                </c:pt>
                <c:pt idx="14">
                  <c:v>0.801234</c:v>
                </c:pt>
                <c:pt idx="15">
                  <c:v>0.846542</c:v>
                </c:pt>
                <c:pt idx="16">
                  <c:v>0.90038</c:v>
                </c:pt>
                <c:pt idx="17">
                  <c:v>0.95038</c:v>
                </c:pt>
                <c:pt idx="18">
                  <c:v>0.995544</c:v>
                </c:pt>
                <c:pt idx="19">
                  <c:v>1.0503</c:v>
                </c:pt>
                <c:pt idx="20">
                  <c:v>1.09963</c:v>
                </c:pt>
                <c:pt idx="21">
                  <c:v>1.14765</c:v>
                </c:pt>
                <c:pt idx="22">
                  <c:v>1.2008</c:v>
                </c:pt>
                <c:pt idx="23">
                  <c:v>1.24789</c:v>
                </c:pt>
                <c:pt idx="24">
                  <c:v>1.30078</c:v>
                </c:pt>
                <c:pt idx="25">
                  <c:v>1.35224</c:v>
                </c:pt>
                <c:pt idx="26">
                  <c:v>1.39891</c:v>
                </c:pt>
                <c:pt idx="27">
                  <c:v>1.44923</c:v>
                </c:pt>
                <c:pt idx="28">
                  <c:v>1.49915</c:v>
                </c:pt>
                <c:pt idx="29">
                  <c:v>1.5486</c:v>
                </c:pt>
                <c:pt idx="30">
                  <c:v>1.60115</c:v>
                </c:pt>
                <c:pt idx="31">
                  <c:v>1.65074</c:v>
                </c:pt>
                <c:pt idx="32">
                  <c:v>1.70462</c:v>
                </c:pt>
                <c:pt idx="33">
                  <c:v>1.75031</c:v>
                </c:pt>
                <c:pt idx="34">
                  <c:v>1.79977</c:v>
                </c:pt>
                <c:pt idx="35">
                  <c:v>1.85137</c:v>
                </c:pt>
                <c:pt idx="36">
                  <c:v>1.8891</c:v>
                </c:pt>
                <c:pt idx="37">
                  <c:v>1.94993</c:v>
                </c:pt>
                <c:pt idx="38">
                  <c:v>1.9955</c:v>
                </c:pt>
              </c:numCache>
            </c:numRef>
          </c:xVal>
          <c:yVal>
            <c:numRef>
              <c:f>DDD!$I$2:$I$40</c:f>
              <c:numCache>
                <c:formatCode>General</c:formatCode>
                <c:ptCount val="39"/>
                <c:pt idx="0">
                  <c:v>83.8845</c:v>
                </c:pt>
                <c:pt idx="1">
                  <c:v>82.6319</c:v>
                </c:pt>
                <c:pt idx="2">
                  <c:v>88.0563</c:v>
                </c:pt>
                <c:pt idx="3">
                  <c:v>94.8463</c:v>
                </c:pt>
                <c:pt idx="4">
                  <c:v>104.519</c:v>
                </c:pt>
                <c:pt idx="5">
                  <c:v>112.57</c:v>
                </c:pt>
                <c:pt idx="6">
                  <c:v>103.988</c:v>
                </c:pt>
                <c:pt idx="7">
                  <c:v>109.167</c:v>
                </c:pt>
                <c:pt idx="8">
                  <c:v>108.475</c:v>
                </c:pt>
                <c:pt idx="9">
                  <c:v>105.867</c:v>
                </c:pt>
                <c:pt idx="10">
                  <c:v>114.418</c:v>
                </c:pt>
                <c:pt idx="11">
                  <c:v>105.158</c:v>
                </c:pt>
                <c:pt idx="12">
                  <c:v>99.47</c:v>
                </c:pt>
                <c:pt idx="13">
                  <c:v>101.999</c:v>
                </c:pt>
                <c:pt idx="14">
                  <c:v>101.697</c:v>
                </c:pt>
                <c:pt idx="15">
                  <c:v>102.14</c:v>
                </c:pt>
                <c:pt idx="16">
                  <c:v>105.142</c:v>
                </c:pt>
                <c:pt idx="17">
                  <c:v>111.358</c:v>
                </c:pt>
                <c:pt idx="18">
                  <c:v>100.186</c:v>
                </c:pt>
                <c:pt idx="19">
                  <c:v>102.601</c:v>
                </c:pt>
                <c:pt idx="20">
                  <c:v>99.1877</c:v>
                </c:pt>
                <c:pt idx="21">
                  <c:v>107.582</c:v>
                </c:pt>
                <c:pt idx="22">
                  <c:v>106.376</c:v>
                </c:pt>
                <c:pt idx="23">
                  <c:v>109.336</c:v>
                </c:pt>
                <c:pt idx="24">
                  <c:v>106.964</c:v>
                </c:pt>
                <c:pt idx="25">
                  <c:v>109.579</c:v>
                </c:pt>
                <c:pt idx="26">
                  <c:v>119.78</c:v>
                </c:pt>
                <c:pt idx="27">
                  <c:v>111.786</c:v>
                </c:pt>
                <c:pt idx="28">
                  <c:v>111.202</c:v>
                </c:pt>
                <c:pt idx="29">
                  <c:v>108.635</c:v>
                </c:pt>
                <c:pt idx="30">
                  <c:v>107.729</c:v>
                </c:pt>
                <c:pt idx="31">
                  <c:v>104.959</c:v>
                </c:pt>
                <c:pt idx="32">
                  <c:v>96.8485</c:v>
                </c:pt>
                <c:pt idx="33">
                  <c:v>109.455</c:v>
                </c:pt>
                <c:pt idx="34">
                  <c:v>104.105</c:v>
                </c:pt>
                <c:pt idx="35">
                  <c:v>96.318</c:v>
                </c:pt>
                <c:pt idx="36">
                  <c:v>108.945</c:v>
                </c:pt>
                <c:pt idx="37">
                  <c:v>112.707</c:v>
                </c:pt>
                <c:pt idx="38">
                  <c:v>116.991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46826749"/>
        <c:axId val="86688213"/>
      </c:scatterChart>
      <c:valAx>
        <c:axId val="468267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</a:p>
        </c:txPr>
        <c:crossAx val="86688213"/>
        <c:crosses val="autoZero"/>
        <c:crossBetween val="midCat"/>
      </c:valAx>
      <c:valAx>
        <c:axId val="8668821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</a:p>
        </c:txPr>
        <c:crossAx val="468267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</a:p>
      </c:txPr>
    </c:legend>
    <c:plotVisOnly val="1"/>
    <c:dispBlanksAs val="span"/>
    <c:showDLblsOverMax val="0"/>
  </c:chart>
  <c:spPr>
    <a:solidFill>
      <a:srgbClr val="FFFFFF"/>
    </a:solidFill>
    <a:ln w="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493395</xdr:colOff>
      <xdr:row>27</xdr:row>
      <xdr:rowOff>152400</xdr:rowOff>
    </xdr:from>
    <xdr:to>
      <xdr:col>16</xdr:col>
      <xdr:colOff>463515</xdr:colOff>
      <xdr:row>68</xdr:row>
      <xdr:rowOff>158995</xdr:rowOff>
    </xdr:to>
    <xdr:graphicFrame>
      <xdr:nvGraphicFramePr>
        <xdr:cNvPr id="2" name="Chart 1"/>
        <xdr:cNvGraphicFramePr/>
      </xdr:nvGraphicFramePr>
      <xdr:xfrm>
        <a:off x="4008755" y="4524375"/>
        <a:ext cx="10515600" cy="6645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8"/>
  <sheetViews>
    <sheetView tabSelected="1" workbookViewId="0">
      <selection activeCell="A1" sqref="$A1:$XFD1048576"/>
    </sheetView>
  </sheetViews>
  <sheetFormatPr defaultColWidth="11.5333333333333" defaultRowHeight="12.75"/>
  <sheetData>
    <row r="1" spans="1:9">
      <c r="A1" s="1" t="s">
        <v>0</v>
      </c>
      <c r="B1" s="1"/>
      <c r="C1" s="1"/>
      <c r="D1" s="1"/>
      <c r="F1" s="3" t="s">
        <v>1</v>
      </c>
      <c r="G1" s="3"/>
      <c r="H1" s="3"/>
      <c r="I1" s="3"/>
    </row>
    <row r="2" spans="1:9">
      <c r="A2" s="2">
        <v>0.00101359</v>
      </c>
      <c r="B2" s="2">
        <v>80987300</v>
      </c>
      <c r="C2">
        <f t="shared" ref="C2:C19" si="0">A2*100</f>
        <v>0.101359</v>
      </c>
      <c r="D2">
        <f t="shared" ref="D2:D19" si="1">B2*0.000001</f>
        <v>80.9873</v>
      </c>
      <c r="F2" s="2">
        <v>0.000987985</v>
      </c>
      <c r="G2" s="2">
        <v>83884500</v>
      </c>
      <c r="H2">
        <f t="shared" ref="H2:H65" si="2">F2*100</f>
        <v>0.0987985</v>
      </c>
      <c r="I2">
        <f t="shared" ref="I2:I65" si="3">G2*0.000001</f>
        <v>83.8845</v>
      </c>
    </row>
    <row r="3" spans="1:9">
      <c r="A3" s="2">
        <v>0.0014971</v>
      </c>
      <c r="B3" s="2">
        <v>90025200</v>
      </c>
      <c r="C3">
        <f t="shared" si="0"/>
        <v>0.14971</v>
      </c>
      <c r="D3">
        <f t="shared" si="1"/>
        <v>90.0252</v>
      </c>
      <c r="F3" s="2">
        <v>0.00149588</v>
      </c>
      <c r="G3" s="2">
        <v>82631900</v>
      </c>
      <c r="H3">
        <f t="shared" si="2"/>
        <v>0.149588</v>
      </c>
      <c r="I3">
        <f t="shared" si="3"/>
        <v>82.6319</v>
      </c>
    </row>
    <row r="4" spans="1:9">
      <c r="A4" s="2">
        <v>0.00200327</v>
      </c>
      <c r="B4" s="2">
        <v>92501200</v>
      </c>
      <c r="C4">
        <f t="shared" si="0"/>
        <v>0.200327</v>
      </c>
      <c r="D4">
        <f t="shared" si="1"/>
        <v>92.5012</v>
      </c>
      <c r="F4" s="2">
        <v>0.00204002</v>
      </c>
      <c r="G4" s="2">
        <v>88056300</v>
      </c>
      <c r="H4">
        <f t="shared" si="2"/>
        <v>0.204002</v>
      </c>
      <c r="I4">
        <f t="shared" si="3"/>
        <v>88.0563</v>
      </c>
    </row>
    <row r="5" spans="1:9">
      <c r="A5" s="2">
        <v>0.00252881</v>
      </c>
      <c r="B5" s="2">
        <v>99379000</v>
      </c>
      <c r="C5">
        <f t="shared" si="0"/>
        <v>0.252881</v>
      </c>
      <c r="D5">
        <f t="shared" si="1"/>
        <v>99.379</v>
      </c>
      <c r="F5" s="2">
        <v>0.00251199</v>
      </c>
      <c r="G5" s="2">
        <v>94846300</v>
      </c>
      <c r="H5">
        <f t="shared" si="2"/>
        <v>0.251199</v>
      </c>
      <c r="I5">
        <f t="shared" si="3"/>
        <v>94.8463</v>
      </c>
    </row>
    <row r="6" spans="1:9">
      <c r="A6" s="2">
        <v>0.00299359</v>
      </c>
      <c r="B6" s="2">
        <v>105631000</v>
      </c>
      <c r="C6">
        <f t="shared" si="0"/>
        <v>0.299359</v>
      </c>
      <c r="D6">
        <f t="shared" si="1"/>
        <v>105.631</v>
      </c>
      <c r="F6" s="2">
        <v>0.00301329</v>
      </c>
      <c r="G6" s="2">
        <v>104519000</v>
      </c>
      <c r="H6">
        <f t="shared" si="2"/>
        <v>0.301329</v>
      </c>
      <c r="I6">
        <f t="shared" si="3"/>
        <v>104.519</v>
      </c>
    </row>
    <row r="7" spans="1:9">
      <c r="A7" s="2">
        <v>0.00348469</v>
      </c>
      <c r="B7" s="2">
        <v>102439000</v>
      </c>
      <c r="C7">
        <f t="shared" si="0"/>
        <v>0.348469</v>
      </c>
      <c r="D7">
        <f t="shared" si="1"/>
        <v>102.439</v>
      </c>
      <c r="F7" s="2">
        <v>0.00348496</v>
      </c>
      <c r="G7" s="2">
        <v>112570000</v>
      </c>
      <c r="H7">
        <f t="shared" si="2"/>
        <v>0.348496</v>
      </c>
      <c r="I7">
        <f t="shared" si="3"/>
        <v>112.57</v>
      </c>
    </row>
    <row r="8" spans="1:9">
      <c r="A8" s="2">
        <v>0.00399164</v>
      </c>
      <c r="B8" s="2">
        <v>102156000</v>
      </c>
      <c r="C8">
        <f t="shared" si="0"/>
        <v>0.399164</v>
      </c>
      <c r="D8">
        <f t="shared" si="1"/>
        <v>102.156</v>
      </c>
      <c r="F8" s="2">
        <v>0.00402078</v>
      </c>
      <c r="G8" s="2">
        <v>103988000</v>
      </c>
      <c r="H8">
        <f t="shared" si="2"/>
        <v>0.402078</v>
      </c>
      <c r="I8">
        <f t="shared" si="3"/>
        <v>103.988</v>
      </c>
    </row>
    <row r="9" spans="1:9">
      <c r="A9" s="2">
        <v>0.00450945</v>
      </c>
      <c r="B9" s="2">
        <v>93185600</v>
      </c>
      <c r="C9">
        <f t="shared" si="0"/>
        <v>0.450945</v>
      </c>
      <c r="D9">
        <f t="shared" si="1"/>
        <v>93.1856</v>
      </c>
      <c r="F9" s="2">
        <v>0.00449464</v>
      </c>
      <c r="G9" s="2">
        <v>109167000</v>
      </c>
      <c r="H9">
        <f t="shared" si="2"/>
        <v>0.449464</v>
      </c>
      <c r="I9">
        <f t="shared" si="3"/>
        <v>109.167</v>
      </c>
    </row>
    <row r="10" spans="1:9">
      <c r="A10" s="2">
        <v>0.00499519</v>
      </c>
      <c r="B10" s="2">
        <v>95440800</v>
      </c>
      <c r="C10">
        <f t="shared" si="0"/>
        <v>0.499519</v>
      </c>
      <c r="D10">
        <f t="shared" si="1"/>
        <v>95.4408</v>
      </c>
      <c r="F10" s="2">
        <v>0.00498004</v>
      </c>
      <c r="G10" s="2">
        <v>108475000</v>
      </c>
      <c r="H10">
        <f t="shared" si="2"/>
        <v>0.498004</v>
      </c>
      <c r="I10">
        <f t="shared" si="3"/>
        <v>108.475</v>
      </c>
    </row>
    <row r="11" spans="1:9">
      <c r="A11" s="2">
        <v>0.00553187</v>
      </c>
      <c r="B11" s="2">
        <v>85002900</v>
      </c>
      <c r="C11">
        <f t="shared" si="0"/>
        <v>0.553187</v>
      </c>
      <c r="D11">
        <f t="shared" si="1"/>
        <v>85.0029</v>
      </c>
      <c r="F11" s="2">
        <v>0.00551375</v>
      </c>
      <c r="G11" s="2">
        <v>105867000</v>
      </c>
      <c r="H11">
        <f t="shared" si="2"/>
        <v>0.551375</v>
      </c>
      <c r="I11">
        <f t="shared" si="3"/>
        <v>105.867</v>
      </c>
    </row>
    <row r="12" spans="1:9">
      <c r="A12" s="2">
        <v>0.00598978</v>
      </c>
      <c r="B12" s="2">
        <v>106543000</v>
      </c>
      <c r="C12">
        <f t="shared" si="0"/>
        <v>0.598978</v>
      </c>
      <c r="D12">
        <f t="shared" si="1"/>
        <v>106.543</v>
      </c>
      <c r="F12" s="2">
        <v>0.00599642</v>
      </c>
      <c r="G12" s="2">
        <v>114418000</v>
      </c>
      <c r="H12">
        <f t="shared" si="2"/>
        <v>0.599642</v>
      </c>
      <c r="I12">
        <f t="shared" si="3"/>
        <v>114.418</v>
      </c>
    </row>
    <row r="13" spans="1:9">
      <c r="A13" s="2">
        <v>0.00651782</v>
      </c>
      <c r="B13" s="2">
        <v>102291000</v>
      </c>
      <c r="C13">
        <f t="shared" si="0"/>
        <v>0.651782</v>
      </c>
      <c r="D13">
        <f t="shared" si="1"/>
        <v>102.291</v>
      </c>
      <c r="F13" s="2">
        <v>0.00651884</v>
      </c>
      <c r="G13" s="2">
        <v>105158000</v>
      </c>
      <c r="H13">
        <f t="shared" si="2"/>
        <v>0.651884</v>
      </c>
      <c r="I13">
        <f t="shared" si="3"/>
        <v>105.158</v>
      </c>
    </row>
    <row r="14" spans="1:9">
      <c r="A14" s="2">
        <v>0.00698893</v>
      </c>
      <c r="B14" s="2">
        <v>99180100</v>
      </c>
      <c r="C14">
        <f t="shared" si="0"/>
        <v>0.698893</v>
      </c>
      <c r="D14">
        <f t="shared" si="1"/>
        <v>99.1801</v>
      </c>
      <c r="F14" s="2">
        <v>0.00701979</v>
      </c>
      <c r="G14" s="2">
        <v>99470000</v>
      </c>
      <c r="H14">
        <f t="shared" si="2"/>
        <v>0.701979</v>
      </c>
      <c r="I14">
        <f t="shared" si="3"/>
        <v>99.47</v>
      </c>
    </row>
    <row r="15" spans="1:9">
      <c r="A15" s="2">
        <v>0.00748853</v>
      </c>
      <c r="B15" s="2">
        <v>93012400</v>
      </c>
      <c r="C15">
        <f t="shared" si="0"/>
        <v>0.748853</v>
      </c>
      <c r="D15">
        <f t="shared" si="1"/>
        <v>93.0124</v>
      </c>
      <c r="F15" s="2">
        <v>0.00748689</v>
      </c>
      <c r="G15" s="2">
        <v>101999000</v>
      </c>
      <c r="H15">
        <f t="shared" si="2"/>
        <v>0.748689</v>
      </c>
      <c r="I15">
        <f t="shared" si="3"/>
        <v>101.999</v>
      </c>
    </row>
    <row r="16" spans="1:9">
      <c r="A16" s="2">
        <v>0.00801168</v>
      </c>
      <c r="B16" s="2">
        <v>94327400</v>
      </c>
      <c r="C16">
        <f t="shared" si="0"/>
        <v>0.801168</v>
      </c>
      <c r="D16">
        <f t="shared" si="1"/>
        <v>94.3274</v>
      </c>
      <c r="F16" s="2">
        <v>0.00801234</v>
      </c>
      <c r="G16" s="2">
        <v>101697000</v>
      </c>
      <c r="H16">
        <f t="shared" si="2"/>
        <v>0.801234</v>
      </c>
      <c r="I16">
        <f t="shared" si="3"/>
        <v>101.697</v>
      </c>
    </row>
    <row r="17" spans="1:9">
      <c r="A17" s="2">
        <v>0.00850076</v>
      </c>
      <c r="B17" s="2">
        <v>105809000</v>
      </c>
      <c r="C17">
        <f t="shared" si="0"/>
        <v>0.850076</v>
      </c>
      <c r="D17">
        <f t="shared" si="1"/>
        <v>105.809</v>
      </c>
      <c r="F17" s="2">
        <v>0.00846542</v>
      </c>
      <c r="G17" s="2">
        <v>102140000</v>
      </c>
      <c r="H17">
        <f t="shared" si="2"/>
        <v>0.846542</v>
      </c>
      <c r="I17">
        <f t="shared" si="3"/>
        <v>102.14</v>
      </c>
    </row>
    <row r="18" spans="1:9">
      <c r="A18" s="2">
        <v>0.00899895</v>
      </c>
      <c r="B18" s="2">
        <v>103681000</v>
      </c>
      <c r="C18">
        <f t="shared" si="0"/>
        <v>0.899895</v>
      </c>
      <c r="D18">
        <f t="shared" si="1"/>
        <v>103.681</v>
      </c>
      <c r="F18" s="2">
        <v>0.0090038</v>
      </c>
      <c r="G18" s="2">
        <v>105142000</v>
      </c>
      <c r="H18">
        <f t="shared" si="2"/>
        <v>0.90038</v>
      </c>
      <c r="I18">
        <f t="shared" si="3"/>
        <v>105.142</v>
      </c>
    </row>
    <row r="19" spans="1:9">
      <c r="A19" s="2">
        <v>0.0094714</v>
      </c>
      <c r="B19" s="2">
        <v>109542000</v>
      </c>
      <c r="C19">
        <f t="shared" si="0"/>
        <v>0.94714</v>
      </c>
      <c r="D19">
        <f t="shared" si="1"/>
        <v>109.542</v>
      </c>
      <c r="F19" s="2">
        <v>0.0095038</v>
      </c>
      <c r="G19" s="2">
        <v>111358000</v>
      </c>
      <c r="H19">
        <f t="shared" si="2"/>
        <v>0.95038</v>
      </c>
      <c r="I19">
        <f t="shared" si="3"/>
        <v>111.358</v>
      </c>
    </row>
    <row r="20" spans="6:9">
      <c r="F20" s="2">
        <v>0.00995544</v>
      </c>
      <c r="G20" s="2">
        <v>100186000</v>
      </c>
      <c r="H20">
        <f t="shared" si="2"/>
        <v>0.995544</v>
      </c>
      <c r="I20">
        <f t="shared" si="3"/>
        <v>100.186</v>
      </c>
    </row>
    <row r="21" spans="6:9">
      <c r="F21" s="2">
        <v>0.010503</v>
      </c>
      <c r="G21" s="2">
        <v>102601000</v>
      </c>
      <c r="H21">
        <f t="shared" si="2"/>
        <v>1.0503</v>
      </c>
      <c r="I21">
        <f t="shared" si="3"/>
        <v>102.601</v>
      </c>
    </row>
    <row r="22" spans="6:9">
      <c r="F22" s="2">
        <v>0.0109963</v>
      </c>
      <c r="G22" s="2">
        <v>99187700</v>
      </c>
      <c r="H22">
        <f t="shared" si="2"/>
        <v>1.09963</v>
      </c>
      <c r="I22">
        <f t="shared" si="3"/>
        <v>99.1877</v>
      </c>
    </row>
    <row r="23" spans="6:9">
      <c r="F23" s="2">
        <v>0.0114765</v>
      </c>
      <c r="G23" s="2">
        <v>107582000</v>
      </c>
      <c r="H23">
        <f t="shared" si="2"/>
        <v>1.14765</v>
      </c>
      <c r="I23">
        <f t="shared" si="3"/>
        <v>107.582</v>
      </c>
    </row>
    <row r="24" spans="6:9">
      <c r="F24" s="2">
        <v>0.012008</v>
      </c>
      <c r="G24" s="2">
        <v>106376000</v>
      </c>
      <c r="H24">
        <f t="shared" si="2"/>
        <v>1.2008</v>
      </c>
      <c r="I24">
        <f t="shared" si="3"/>
        <v>106.376</v>
      </c>
    </row>
    <row r="25" spans="6:9">
      <c r="F25" s="2">
        <v>0.0124789</v>
      </c>
      <c r="G25" s="2">
        <v>109336000</v>
      </c>
      <c r="H25">
        <f t="shared" si="2"/>
        <v>1.24789</v>
      </c>
      <c r="I25">
        <f t="shared" si="3"/>
        <v>109.336</v>
      </c>
    </row>
    <row r="26" spans="6:9">
      <c r="F26" s="2">
        <v>0.0130078</v>
      </c>
      <c r="G26" s="2">
        <v>106964000</v>
      </c>
      <c r="H26">
        <f t="shared" si="2"/>
        <v>1.30078</v>
      </c>
      <c r="I26">
        <f t="shared" si="3"/>
        <v>106.964</v>
      </c>
    </row>
    <row r="27" spans="6:9">
      <c r="F27" s="2">
        <v>0.0135224</v>
      </c>
      <c r="G27" s="2">
        <v>109579000</v>
      </c>
      <c r="H27">
        <f t="shared" si="2"/>
        <v>1.35224</v>
      </c>
      <c r="I27">
        <f t="shared" si="3"/>
        <v>109.579</v>
      </c>
    </row>
    <row r="28" spans="6:9">
      <c r="F28" s="2">
        <v>0.0139891</v>
      </c>
      <c r="G28" s="2">
        <v>119780000</v>
      </c>
      <c r="H28">
        <f t="shared" si="2"/>
        <v>1.39891</v>
      </c>
      <c r="I28">
        <f t="shared" si="3"/>
        <v>119.78</v>
      </c>
    </row>
    <row r="29" spans="6:9">
      <c r="F29" s="2">
        <v>0.0144923</v>
      </c>
      <c r="G29" s="2">
        <v>111786000</v>
      </c>
      <c r="H29">
        <f t="shared" si="2"/>
        <v>1.44923</v>
      </c>
      <c r="I29">
        <f t="shared" si="3"/>
        <v>111.786</v>
      </c>
    </row>
    <row r="30" spans="6:9">
      <c r="F30" s="2">
        <v>0.0149915</v>
      </c>
      <c r="G30" s="2">
        <v>111202000</v>
      </c>
      <c r="H30">
        <f t="shared" si="2"/>
        <v>1.49915</v>
      </c>
      <c r="I30">
        <f t="shared" si="3"/>
        <v>111.202</v>
      </c>
    </row>
    <row r="31" spans="6:9">
      <c r="F31" s="2">
        <v>0.015486</v>
      </c>
      <c r="G31" s="2">
        <v>108635000</v>
      </c>
      <c r="H31">
        <f t="shared" si="2"/>
        <v>1.5486</v>
      </c>
      <c r="I31">
        <f t="shared" si="3"/>
        <v>108.635</v>
      </c>
    </row>
    <row r="32" spans="6:9">
      <c r="F32" s="2">
        <v>0.0160115</v>
      </c>
      <c r="G32" s="2">
        <v>107729000</v>
      </c>
      <c r="H32">
        <f t="shared" si="2"/>
        <v>1.60115</v>
      </c>
      <c r="I32">
        <f t="shared" si="3"/>
        <v>107.729</v>
      </c>
    </row>
    <row r="33" spans="6:9">
      <c r="F33" s="2">
        <v>0.0165074</v>
      </c>
      <c r="G33" s="2">
        <v>104959000</v>
      </c>
      <c r="H33">
        <f t="shared" si="2"/>
        <v>1.65074</v>
      </c>
      <c r="I33">
        <f t="shared" si="3"/>
        <v>104.959</v>
      </c>
    </row>
    <row r="34" spans="6:9">
      <c r="F34" s="2">
        <v>0.0170462</v>
      </c>
      <c r="G34" s="2">
        <v>96848500</v>
      </c>
      <c r="H34">
        <f t="shared" si="2"/>
        <v>1.70462</v>
      </c>
      <c r="I34">
        <f t="shared" si="3"/>
        <v>96.8485</v>
      </c>
    </row>
    <row r="35" spans="6:9">
      <c r="F35" s="2">
        <v>0.0175031</v>
      </c>
      <c r="G35" s="2">
        <v>109455000</v>
      </c>
      <c r="H35">
        <f t="shared" si="2"/>
        <v>1.75031</v>
      </c>
      <c r="I35">
        <f t="shared" si="3"/>
        <v>109.455</v>
      </c>
    </row>
    <row r="36" spans="6:9">
      <c r="F36" s="2">
        <v>0.0179977</v>
      </c>
      <c r="G36" s="2">
        <v>104105000</v>
      </c>
      <c r="H36">
        <f t="shared" si="2"/>
        <v>1.79977</v>
      </c>
      <c r="I36">
        <f t="shared" si="3"/>
        <v>104.105</v>
      </c>
    </row>
    <row r="37" spans="6:9">
      <c r="F37" s="2">
        <v>0.0185137</v>
      </c>
      <c r="G37" s="2">
        <v>96318000</v>
      </c>
      <c r="H37">
        <f t="shared" si="2"/>
        <v>1.85137</v>
      </c>
      <c r="I37">
        <f t="shared" si="3"/>
        <v>96.318</v>
      </c>
    </row>
    <row r="38" spans="6:9">
      <c r="F38" s="2">
        <v>0.018891</v>
      </c>
      <c r="G38" s="2">
        <v>108945000</v>
      </c>
      <c r="H38">
        <f t="shared" si="2"/>
        <v>1.8891</v>
      </c>
      <c r="I38">
        <f t="shared" si="3"/>
        <v>108.945</v>
      </c>
    </row>
    <row r="39" spans="6:9">
      <c r="F39" s="2">
        <v>0.0194993</v>
      </c>
      <c r="G39" s="2">
        <v>112707000</v>
      </c>
      <c r="H39">
        <f t="shared" si="2"/>
        <v>1.94993</v>
      </c>
      <c r="I39">
        <f t="shared" si="3"/>
        <v>112.707</v>
      </c>
    </row>
    <row r="40" spans="6:9">
      <c r="F40" s="2">
        <v>0.019955</v>
      </c>
      <c r="G40" s="2">
        <v>116991000</v>
      </c>
      <c r="H40">
        <f t="shared" si="2"/>
        <v>1.9955</v>
      </c>
      <c r="I40">
        <f t="shared" si="3"/>
        <v>116.991</v>
      </c>
    </row>
    <row r="41" spans="6:9">
      <c r="F41" s="2">
        <v>0.0205487</v>
      </c>
      <c r="G41" s="2">
        <v>103845000</v>
      </c>
      <c r="H41">
        <f t="shared" si="2"/>
        <v>2.05487</v>
      </c>
      <c r="I41">
        <f t="shared" si="3"/>
        <v>103.845</v>
      </c>
    </row>
    <row r="42" spans="6:9">
      <c r="F42" s="2">
        <v>0.0209703</v>
      </c>
      <c r="G42" s="2">
        <v>110878000</v>
      </c>
      <c r="H42">
        <f t="shared" si="2"/>
        <v>2.09703</v>
      </c>
      <c r="I42">
        <f t="shared" si="3"/>
        <v>110.878</v>
      </c>
    </row>
    <row r="43" spans="6:9">
      <c r="F43" s="2">
        <v>0.021463</v>
      </c>
      <c r="G43" s="2">
        <v>108752000</v>
      </c>
      <c r="H43">
        <f t="shared" si="2"/>
        <v>2.1463</v>
      </c>
      <c r="I43">
        <f t="shared" si="3"/>
        <v>108.752</v>
      </c>
    </row>
    <row r="44" spans="6:9">
      <c r="F44" s="2">
        <v>0.0220239</v>
      </c>
      <c r="G44" s="2">
        <v>109681000</v>
      </c>
      <c r="H44">
        <f t="shared" si="2"/>
        <v>2.20239</v>
      </c>
      <c r="I44">
        <f t="shared" si="3"/>
        <v>109.681</v>
      </c>
    </row>
    <row r="45" spans="6:9">
      <c r="F45" s="2">
        <v>0.0224524</v>
      </c>
      <c r="G45" s="2">
        <v>115333000</v>
      </c>
      <c r="H45">
        <f t="shared" si="2"/>
        <v>2.24524</v>
      </c>
      <c r="I45">
        <f t="shared" si="3"/>
        <v>115.333</v>
      </c>
    </row>
    <row r="46" spans="6:9">
      <c r="F46" s="2">
        <v>0.0228666</v>
      </c>
      <c r="G46" s="2">
        <v>111505000</v>
      </c>
      <c r="H46">
        <f t="shared" si="2"/>
        <v>2.28666</v>
      </c>
      <c r="I46">
        <f t="shared" si="3"/>
        <v>111.505</v>
      </c>
    </row>
    <row r="47" spans="6:9">
      <c r="F47" s="2">
        <v>0.0234557</v>
      </c>
      <c r="G47" s="2">
        <v>106940000</v>
      </c>
      <c r="H47">
        <f t="shared" si="2"/>
        <v>2.34557</v>
      </c>
      <c r="I47">
        <f t="shared" si="3"/>
        <v>106.94</v>
      </c>
    </row>
    <row r="48" spans="6:9">
      <c r="F48" s="2">
        <v>0.0239963</v>
      </c>
      <c r="G48" s="2">
        <v>99478200</v>
      </c>
      <c r="H48">
        <f t="shared" si="2"/>
        <v>2.39963</v>
      </c>
      <c r="I48">
        <f t="shared" si="3"/>
        <v>99.4782</v>
      </c>
    </row>
    <row r="49" spans="6:9">
      <c r="F49" s="2">
        <v>0.0245638</v>
      </c>
      <c r="G49" s="2">
        <v>96416700</v>
      </c>
      <c r="H49">
        <f t="shared" si="2"/>
        <v>2.45638</v>
      </c>
      <c r="I49">
        <f t="shared" si="3"/>
        <v>96.4167</v>
      </c>
    </row>
    <row r="50" spans="6:9">
      <c r="F50" s="2">
        <v>0.0249347</v>
      </c>
      <c r="G50" s="2">
        <v>101530000</v>
      </c>
      <c r="H50">
        <f t="shared" si="2"/>
        <v>2.49347</v>
      </c>
      <c r="I50">
        <f t="shared" si="3"/>
        <v>101.53</v>
      </c>
    </row>
    <row r="51" spans="6:9">
      <c r="F51" s="2">
        <v>0.0255081</v>
      </c>
      <c r="G51" s="2">
        <v>103925000</v>
      </c>
      <c r="H51">
        <f t="shared" si="2"/>
        <v>2.55081</v>
      </c>
      <c r="I51">
        <f t="shared" si="3"/>
        <v>103.925</v>
      </c>
    </row>
    <row r="52" spans="6:9">
      <c r="F52" s="2">
        <v>0.0259672</v>
      </c>
      <c r="G52" s="2">
        <v>100625000</v>
      </c>
      <c r="H52">
        <f t="shared" si="2"/>
        <v>2.59672</v>
      </c>
      <c r="I52">
        <f t="shared" si="3"/>
        <v>100.625</v>
      </c>
    </row>
    <row r="53" spans="6:9">
      <c r="F53" s="2">
        <v>0.0265116</v>
      </c>
      <c r="G53" s="2">
        <v>110050000</v>
      </c>
      <c r="H53">
        <f t="shared" si="2"/>
        <v>2.65116</v>
      </c>
      <c r="I53">
        <f t="shared" si="3"/>
        <v>110.05</v>
      </c>
    </row>
    <row r="54" spans="6:9">
      <c r="F54" s="2">
        <v>0.0269863</v>
      </c>
      <c r="G54" s="2">
        <v>111831000</v>
      </c>
      <c r="H54">
        <f t="shared" si="2"/>
        <v>2.69863</v>
      </c>
      <c r="I54">
        <f t="shared" si="3"/>
        <v>111.831</v>
      </c>
    </row>
    <row r="55" spans="6:9">
      <c r="F55" s="2">
        <v>0.0275093</v>
      </c>
      <c r="G55" s="2">
        <v>105874000</v>
      </c>
      <c r="H55">
        <f t="shared" si="2"/>
        <v>2.75093</v>
      </c>
      <c r="I55">
        <f t="shared" si="3"/>
        <v>105.874</v>
      </c>
    </row>
    <row r="56" spans="6:9">
      <c r="F56" s="2">
        <v>0.028031</v>
      </c>
      <c r="G56" s="2">
        <v>98258100</v>
      </c>
      <c r="H56">
        <f t="shared" si="2"/>
        <v>2.8031</v>
      </c>
      <c r="I56">
        <f t="shared" si="3"/>
        <v>98.2581</v>
      </c>
    </row>
    <row r="57" spans="6:9">
      <c r="F57" s="2">
        <v>0.0284046</v>
      </c>
      <c r="G57" s="2">
        <v>113977000</v>
      </c>
      <c r="H57">
        <f t="shared" si="2"/>
        <v>2.84046</v>
      </c>
      <c r="I57">
        <f t="shared" si="3"/>
        <v>113.977</v>
      </c>
    </row>
    <row r="58" spans="6:9">
      <c r="F58" s="2">
        <v>0.0289623</v>
      </c>
      <c r="G58" s="2">
        <v>97320700</v>
      </c>
      <c r="H58">
        <f t="shared" si="2"/>
        <v>2.89623</v>
      </c>
      <c r="I58">
        <f t="shared" si="3"/>
        <v>97.3207</v>
      </c>
    </row>
    <row r="59" spans="6:9">
      <c r="F59" s="2">
        <v>0.0295177</v>
      </c>
      <c r="G59" s="2">
        <v>98759300</v>
      </c>
      <c r="H59">
        <f t="shared" si="2"/>
        <v>2.95177</v>
      </c>
      <c r="I59">
        <f t="shared" si="3"/>
        <v>98.7593</v>
      </c>
    </row>
    <row r="60" spans="6:9">
      <c r="F60" s="2">
        <v>0.0300545</v>
      </c>
      <c r="G60" s="2">
        <v>104174000</v>
      </c>
      <c r="H60">
        <f t="shared" si="2"/>
        <v>3.00545</v>
      </c>
      <c r="I60">
        <f t="shared" si="3"/>
        <v>104.174</v>
      </c>
    </row>
    <row r="61" spans="6:9">
      <c r="F61" s="2">
        <v>0.0304935</v>
      </c>
      <c r="G61" s="2">
        <v>112968000</v>
      </c>
      <c r="H61">
        <f t="shared" si="2"/>
        <v>3.04935</v>
      </c>
      <c r="I61">
        <f t="shared" si="3"/>
        <v>112.968</v>
      </c>
    </row>
    <row r="62" spans="6:9">
      <c r="F62" s="2">
        <v>0.030989</v>
      </c>
      <c r="G62" s="2">
        <v>107554000</v>
      </c>
      <c r="H62">
        <f t="shared" si="2"/>
        <v>3.0989</v>
      </c>
      <c r="I62">
        <f t="shared" si="3"/>
        <v>107.554</v>
      </c>
    </row>
    <row r="63" spans="6:9">
      <c r="F63" s="2">
        <v>0.0314632</v>
      </c>
      <c r="G63" s="2">
        <v>103040000</v>
      </c>
      <c r="H63">
        <f t="shared" si="2"/>
        <v>3.14632</v>
      </c>
      <c r="I63">
        <f t="shared" si="3"/>
        <v>103.04</v>
      </c>
    </row>
    <row r="64" spans="6:9">
      <c r="F64" s="2">
        <v>0.0320487</v>
      </c>
      <c r="G64" s="2">
        <v>102220000</v>
      </c>
      <c r="H64">
        <f t="shared" si="2"/>
        <v>3.20487</v>
      </c>
      <c r="I64">
        <f t="shared" si="3"/>
        <v>102.22</v>
      </c>
    </row>
    <row r="65" spans="6:9">
      <c r="F65" s="2">
        <v>0.0325276</v>
      </c>
      <c r="G65" s="2">
        <v>99330900</v>
      </c>
      <c r="H65">
        <f t="shared" si="2"/>
        <v>3.25276</v>
      </c>
      <c r="I65">
        <f t="shared" si="3"/>
        <v>99.3309</v>
      </c>
    </row>
    <row r="66" spans="6:9">
      <c r="F66" s="2">
        <v>0.0331551</v>
      </c>
      <c r="G66" s="2">
        <v>104126000</v>
      </c>
      <c r="H66">
        <f t="shared" ref="H66:H128" si="4">F66*100</f>
        <v>3.31551</v>
      </c>
      <c r="I66">
        <f t="shared" ref="I66:I128" si="5">G66*0.000001</f>
        <v>104.126</v>
      </c>
    </row>
    <row r="67" spans="6:9">
      <c r="F67" s="2">
        <v>0.0334906</v>
      </c>
      <c r="G67" s="2">
        <v>104440000</v>
      </c>
      <c r="H67">
        <f t="shared" si="4"/>
        <v>3.34906</v>
      </c>
      <c r="I67">
        <f t="shared" si="5"/>
        <v>104.44</v>
      </c>
    </row>
    <row r="68" spans="6:9">
      <c r="F68" s="2">
        <v>0.033981</v>
      </c>
      <c r="G68" s="2">
        <v>110480000</v>
      </c>
      <c r="H68">
        <f t="shared" si="4"/>
        <v>3.3981</v>
      </c>
      <c r="I68">
        <f t="shared" si="5"/>
        <v>110.48</v>
      </c>
    </row>
    <row r="69" spans="6:9">
      <c r="F69" s="2">
        <v>0.034545</v>
      </c>
      <c r="G69" s="2">
        <v>99478900</v>
      </c>
      <c r="H69">
        <f t="shared" si="4"/>
        <v>3.4545</v>
      </c>
      <c r="I69">
        <f t="shared" si="5"/>
        <v>99.4789</v>
      </c>
    </row>
    <row r="70" spans="6:9">
      <c r="F70" s="2">
        <v>0.0349863</v>
      </c>
      <c r="G70" s="2">
        <v>110856000</v>
      </c>
      <c r="H70">
        <f t="shared" si="4"/>
        <v>3.49863</v>
      </c>
      <c r="I70">
        <f t="shared" si="5"/>
        <v>110.856</v>
      </c>
    </row>
    <row r="71" spans="6:9">
      <c r="F71" s="2">
        <v>0.0355025</v>
      </c>
      <c r="G71" s="2">
        <v>103329000</v>
      </c>
      <c r="H71">
        <f t="shared" si="4"/>
        <v>3.55025</v>
      </c>
      <c r="I71">
        <f t="shared" si="5"/>
        <v>103.329</v>
      </c>
    </row>
    <row r="72" spans="6:9">
      <c r="F72" s="2">
        <v>0.0359283</v>
      </c>
      <c r="G72" s="2">
        <v>106245000</v>
      </c>
      <c r="H72">
        <f t="shared" si="4"/>
        <v>3.59283</v>
      </c>
      <c r="I72">
        <f t="shared" si="5"/>
        <v>106.245</v>
      </c>
    </row>
    <row r="73" spans="6:9">
      <c r="F73" s="2">
        <v>0.0364847</v>
      </c>
      <c r="G73" s="2">
        <v>105319000</v>
      </c>
      <c r="H73">
        <f t="shared" si="4"/>
        <v>3.64847</v>
      </c>
      <c r="I73">
        <f t="shared" si="5"/>
        <v>105.319</v>
      </c>
    </row>
    <row r="74" spans="6:9">
      <c r="F74" s="2">
        <v>0.03704</v>
      </c>
      <c r="G74" s="2">
        <v>105697000</v>
      </c>
      <c r="H74">
        <f t="shared" si="4"/>
        <v>3.704</v>
      </c>
      <c r="I74">
        <f t="shared" si="5"/>
        <v>105.697</v>
      </c>
    </row>
    <row r="75" spans="6:9">
      <c r="F75" s="2">
        <v>0.0374926</v>
      </c>
      <c r="G75" s="2">
        <v>114109000</v>
      </c>
      <c r="H75">
        <f t="shared" si="4"/>
        <v>3.74926</v>
      </c>
      <c r="I75">
        <f t="shared" si="5"/>
        <v>114.109</v>
      </c>
    </row>
    <row r="76" spans="6:9">
      <c r="F76" s="2">
        <v>0.0380084</v>
      </c>
      <c r="G76" s="2">
        <v>106949000</v>
      </c>
      <c r="H76">
        <f t="shared" si="4"/>
        <v>3.80084</v>
      </c>
      <c r="I76">
        <f t="shared" si="5"/>
        <v>106.949</v>
      </c>
    </row>
    <row r="77" spans="6:9">
      <c r="F77" s="2">
        <v>0.0385282</v>
      </c>
      <c r="G77" s="2">
        <v>114870000</v>
      </c>
      <c r="H77">
        <f t="shared" si="4"/>
        <v>3.85282</v>
      </c>
      <c r="I77">
        <f t="shared" si="5"/>
        <v>114.87</v>
      </c>
    </row>
    <row r="78" spans="6:9">
      <c r="F78" s="2">
        <v>0.039028</v>
      </c>
      <c r="G78" s="2">
        <v>104944000</v>
      </c>
      <c r="H78">
        <f t="shared" si="4"/>
        <v>3.9028</v>
      </c>
      <c r="I78">
        <f t="shared" si="5"/>
        <v>104.944</v>
      </c>
    </row>
    <row r="79" spans="6:9">
      <c r="F79" s="2">
        <v>0.0395463</v>
      </c>
      <c r="G79" s="2">
        <v>105635000</v>
      </c>
      <c r="H79">
        <f t="shared" si="4"/>
        <v>3.95463</v>
      </c>
      <c r="I79">
        <f t="shared" si="5"/>
        <v>105.635</v>
      </c>
    </row>
    <row r="80" spans="6:9">
      <c r="F80" s="2">
        <v>0.039916</v>
      </c>
      <c r="G80" s="2">
        <v>119061000</v>
      </c>
      <c r="H80">
        <f t="shared" si="4"/>
        <v>3.9916</v>
      </c>
      <c r="I80">
        <f t="shared" si="5"/>
        <v>119.061</v>
      </c>
    </row>
    <row r="81" spans="6:9">
      <c r="F81" s="2">
        <v>0.0404504</v>
      </c>
      <c r="G81" s="2">
        <v>108000000</v>
      </c>
      <c r="H81">
        <f t="shared" si="4"/>
        <v>4.04504</v>
      </c>
      <c r="I81">
        <f t="shared" si="5"/>
        <v>108</v>
      </c>
    </row>
    <row r="82" spans="6:9">
      <c r="F82" s="2">
        <v>0.0410442</v>
      </c>
      <c r="G82" s="2">
        <v>112878000</v>
      </c>
      <c r="H82">
        <f t="shared" si="4"/>
        <v>4.10442</v>
      </c>
      <c r="I82">
        <f t="shared" si="5"/>
        <v>112.878</v>
      </c>
    </row>
    <row r="83" spans="6:9">
      <c r="F83" s="2">
        <v>0.0414897</v>
      </c>
      <c r="G83" s="2">
        <v>115890000</v>
      </c>
      <c r="H83">
        <f t="shared" si="4"/>
        <v>4.14897</v>
      </c>
      <c r="I83">
        <f t="shared" si="5"/>
        <v>115.89</v>
      </c>
    </row>
    <row r="84" spans="6:9">
      <c r="F84" s="2">
        <v>0.0420559</v>
      </c>
      <c r="G84" s="2">
        <v>110176000</v>
      </c>
      <c r="H84">
        <f t="shared" si="4"/>
        <v>4.20559</v>
      </c>
      <c r="I84">
        <f t="shared" si="5"/>
        <v>110.176</v>
      </c>
    </row>
    <row r="85" spans="6:9">
      <c r="F85" s="2">
        <v>0.0425238</v>
      </c>
      <c r="G85" s="2">
        <v>108120000</v>
      </c>
      <c r="H85">
        <f t="shared" si="4"/>
        <v>4.25238</v>
      </c>
      <c r="I85">
        <f t="shared" si="5"/>
        <v>108.12</v>
      </c>
    </row>
    <row r="86" spans="6:9">
      <c r="F86" s="2">
        <v>0.043046</v>
      </c>
      <c r="G86" s="2">
        <v>109375000</v>
      </c>
      <c r="H86">
        <f t="shared" si="4"/>
        <v>4.3046</v>
      </c>
      <c r="I86">
        <f t="shared" si="5"/>
        <v>109.375</v>
      </c>
    </row>
    <row r="87" spans="6:9">
      <c r="F87" s="2">
        <v>0.0435021</v>
      </c>
      <c r="G87" s="2">
        <v>105745000</v>
      </c>
      <c r="H87">
        <f t="shared" si="4"/>
        <v>4.35021</v>
      </c>
      <c r="I87">
        <f t="shared" si="5"/>
        <v>105.745</v>
      </c>
    </row>
    <row r="88" spans="6:9">
      <c r="F88" s="2">
        <v>0.0440508</v>
      </c>
      <c r="G88" s="2">
        <v>119994000</v>
      </c>
      <c r="H88">
        <f t="shared" si="4"/>
        <v>4.40508</v>
      </c>
      <c r="I88">
        <f t="shared" si="5"/>
        <v>119.994</v>
      </c>
    </row>
    <row r="89" spans="6:9">
      <c r="F89" s="2">
        <v>0.0446209</v>
      </c>
      <c r="G89" s="2">
        <v>104995000</v>
      </c>
      <c r="H89">
        <f t="shared" si="4"/>
        <v>4.46209</v>
      </c>
      <c r="I89">
        <f t="shared" si="5"/>
        <v>104.995</v>
      </c>
    </row>
    <row r="90" spans="6:9">
      <c r="F90" s="2">
        <v>0.044976</v>
      </c>
      <c r="G90" s="2">
        <v>108425000</v>
      </c>
      <c r="H90">
        <f t="shared" si="4"/>
        <v>4.4976</v>
      </c>
      <c r="I90">
        <f t="shared" si="5"/>
        <v>108.425</v>
      </c>
    </row>
    <row r="91" spans="6:9">
      <c r="F91" s="2">
        <v>0.0454759</v>
      </c>
      <c r="G91" s="2">
        <v>111748000</v>
      </c>
      <c r="H91">
        <f t="shared" si="4"/>
        <v>4.54759</v>
      </c>
      <c r="I91">
        <f t="shared" si="5"/>
        <v>111.748</v>
      </c>
    </row>
    <row r="92" spans="6:9">
      <c r="F92" s="2">
        <v>0.0460059</v>
      </c>
      <c r="G92" s="2">
        <v>118557000</v>
      </c>
      <c r="H92">
        <f t="shared" si="4"/>
        <v>4.60059</v>
      </c>
      <c r="I92">
        <f t="shared" si="5"/>
        <v>118.557</v>
      </c>
    </row>
    <row r="93" spans="6:9">
      <c r="F93" s="2">
        <v>0.0464924</v>
      </c>
      <c r="G93" s="2">
        <v>121739000</v>
      </c>
      <c r="H93">
        <f t="shared" si="4"/>
        <v>4.64924</v>
      </c>
      <c r="I93">
        <f t="shared" si="5"/>
        <v>121.739</v>
      </c>
    </row>
    <row r="94" spans="6:9">
      <c r="F94" s="2">
        <v>0.0470657</v>
      </c>
      <c r="G94" s="2">
        <v>112076000</v>
      </c>
      <c r="H94">
        <f t="shared" si="4"/>
        <v>4.70657</v>
      </c>
      <c r="I94">
        <f t="shared" si="5"/>
        <v>112.076</v>
      </c>
    </row>
    <row r="95" spans="6:9">
      <c r="F95" s="2">
        <v>0.0475139</v>
      </c>
      <c r="G95" s="2">
        <v>102621000</v>
      </c>
      <c r="H95">
        <f t="shared" si="4"/>
        <v>4.75139</v>
      </c>
      <c r="I95">
        <f t="shared" si="5"/>
        <v>102.621</v>
      </c>
    </row>
    <row r="96" spans="6:9">
      <c r="F96" s="2">
        <v>0.0479749</v>
      </c>
      <c r="G96" s="2">
        <v>106236000</v>
      </c>
      <c r="H96">
        <f t="shared" si="4"/>
        <v>4.79749</v>
      </c>
      <c r="I96">
        <f t="shared" si="5"/>
        <v>106.236</v>
      </c>
    </row>
    <row r="97" spans="6:9">
      <c r="F97" s="2">
        <v>0.0485275</v>
      </c>
      <c r="G97" s="2">
        <v>101257000</v>
      </c>
      <c r="H97">
        <f t="shared" si="4"/>
        <v>4.85275</v>
      </c>
      <c r="I97">
        <f t="shared" si="5"/>
        <v>101.257</v>
      </c>
    </row>
    <row r="98" spans="6:9">
      <c r="F98" s="2">
        <v>0.0489887</v>
      </c>
      <c r="G98" s="2">
        <v>113727000</v>
      </c>
      <c r="H98">
        <f t="shared" si="4"/>
        <v>4.89887</v>
      </c>
      <c r="I98">
        <f t="shared" si="5"/>
        <v>113.727</v>
      </c>
    </row>
    <row r="99" spans="6:9">
      <c r="F99" s="2">
        <v>0.0494854</v>
      </c>
      <c r="G99" s="2">
        <v>111440000</v>
      </c>
      <c r="H99">
        <f t="shared" si="4"/>
        <v>4.94854</v>
      </c>
      <c r="I99">
        <f t="shared" si="5"/>
        <v>111.44</v>
      </c>
    </row>
    <row r="100" spans="6:9">
      <c r="F100" s="2">
        <v>0.0500259</v>
      </c>
      <c r="G100" s="2">
        <v>100022000</v>
      </c>
      <c r="H100">
        <f t="shared" si="4"/>
        <v>5.00259</v>
      </c>
      <c r="I100">
        <f t="shared" si="5"/>
        <v>100.022</v>
      </c>
    </row>
    <row r="101" spans="6:9">
      <c r="F101" s="2">
        <v>0.0505014</v>
      </c>
      <c r="G101" s="2">
        <v>100685000</v>
      </c>
      <c r="H101">
        <f t="shared" si="4"/>
        <v>5.05014</v>
      </c>
      <c r="I101">
        <f t="shared" si="5"/>
        <v>100.685</v>
      </c>
    </row>
    <row r="102" spans="6:9">
      <c r="F102" s="2">
        <v>0.0510157</v>
      </c>
      <c r="G102" s="2">
        <v>103092000</v>
      </c>
      <c r="H102">
        <f t="shared" si="4"/>
        <v>5.10157</v>
      </c>
      <c r="I102">
        <f t="shared" si="5"/>
        <v>103.092</v>
      </c>
    </row>
    <row r="103" spans="6:9">
      <c r="F103" s="2">
        <v>0.0515508</v>
      </c>
      <c r="G103" s="2">
        <v>105063000</v>
      </c>
      <c r="H103">
        <f t="shared" si="4"/>
        <v>5.15508</v>
      </c>
      <c r="I103">
        <f t="shared" si="5"/>
        <v>105.063</v>
      </c>
    </row>
    <row r="104" spans="6:9">
      <c r="F104" s="2">
        <v>0.0520209</v>
      </c>
      <c r="G104" s="2">
        <v>94375600</v>
      </c>
      <c r="H104">
        <f t="shared" si="4"/>
        <v>5.20209</v>
      </c>
      <c r="I104">
        <f t="shared" si="5"/>
        <v>94.3756</v>
      </c>
    </row>
    <row r="105" spans="6:9">
      <c r="F105" s="2">
        <v>0.0524657</v>
      </c>
      <c r="G105" s="2">
        <v>100862000</v>
      </c>
      <c r="H105">
        <f t="shared" si="4"/>
        <v>5.24657</v>
      </c>
      <c r="I105">
        <f t="shared" si="5"/>
        <v>100.862</v>
      </c>
    </row>
    <row r="106" spans="6:9">
      <c r="F106" s="2">
        <v>0.0530096</v>
      </c>
      <c r="G106" s="2">
        <v>102975000</v>
      </c>
      <c r="H106">
        <f t="shared" si="4"/>
        <v>5.30096</v>
      </c>
      <c r="I106">
        <f t="shared" si="5"/>
        <v>102.975</v>
      </c>
    </row>
    <row r="107" spans="6:9">
      <c r="F107" s="2">
        <v>0.0535377</v>
      </c>
      <c r="G107" s="2">
        <v>100380000</v>
      </c>
      <c r="H107">
        <f t="shared" si="4"/>
        <v>5.35377</v>
      </c>
      <c r="I107">
        <f t="shared" si="5"/>
        <v>100.38</v>
      </c>
    </row>
    <row r="108" spans="6:9">
      <c r="F108" s="2">
        <v>0.0539954</v>
      </c>
      <c r="G108" s="2">
        <v>103946000</v>
      </c>
      <c r="H108">
        <f t="shared" si="4"/>
        <v>5.39954</v>
      </c>
      <c r="I108">
        <f t="shared" si="5"/>
        <v>103.946</v>
      </c>
    </row>
    <row r="109" spans="6:9">
      <c r="F109" s="2">
        <v>0.0545328</v>
      </c>
      <c r="G109" s="2">
        <v>99474900</v>
      </c>
      <c r="H109">
        <f t="shared" si="4"/>
        <v>5.45328</v>
      </c>
      <c r="I109">
        <f t="shared" si="5"/>
        <v>99.4749</v>
      </c>
    </row>
    <row r="110" spans="6:9">
      <c r="F110" s="2">
        <v>0.0549767</v>
      </c>
      <c r="G110" s="2">
        <v>102056000</v>
      </c>
      <c r="H110">
        <f t="shared" si="4"/>
        <v>5.49767</v>
      </c>
      <c r="I110">
        <f t="shared" si="5"/>
        <v>102.056</v>
      </c>
    </row>
    <row r="111" spans="6:9">
      <c r="F111" s="2">
        <v>0.0555051</v>
      </c>
      <c r="G111" s="2">
        <v>96145300</v>
      </c>
      <c r="H111">
        <f t="shared" si="4"/>
        <v>5.55051</v>
      </c>
      <c r="I111">
        <f t="shared" si="5"/>
        <v>96.1453</v>
      </c>
    </row>
    <row r="112" spans="6:9">
      <c r="F112" s="2">
        <v>0.0560076</v>
      </c>
      <c r="G112" s="2">
        <v>102332000</v>
      </c>
      <c r="H112">
        <f t="shared" si="4"/>
        <v>5.60076</v>
      </c>
      <c r="I112">
        <f t="shared" si="5"/>
        <v>102.332</v>
      </c>
    </row>
    <row r="113" spans="6:9">
      <c r="F113" s="2">
        <v>0.0564686</v>
      </c>
      <c r="G113" s="2">
        <v>106443000</v>
      </c>
      <c r="H113">
        <f t="shared" si="4"/>
        <v>5.64686</v>
      </c>
      <c r="I113">
        <f t="shared" si="5"/>
        <v>106.443</v>
      </c>
    </row>
    <row r="114" spans="6:9">
      <c r="F114" s="2">
        <v>0.057</v>
      </c>
      <c r="G114" s="2">
        <v>110145000</v>
      </c>
      <c r="H114">
        <f t="shared" si="4"/>
        <v>5.7</v>
      </c>
      <c r="I114">
        <f t="shared" si="5"/>
        <v>110.145</v>
      </c>
    </row>
    <row r="115" spans="6:9">
      <c r="F115" s="2">
        <v>0.057503</v>
      </c>
      <c r="G115" s="2">
        <v>105232000</v>
      </c>
      <c r="H115">
        <f t="shared" si="4"/>
        <v>5.7503</v>
      </c>
      <c r="I115">
        <f t="shared" si="5"/>
        <v>105.232</v>
      </c>
    </row>
    <row r="116" spans="6:9">
      <c r="F116" s="2">
        <v>0.0579765</v>
      </c>
      <c r="G116" s="2">
        <v>113939000</v>
      </c>
      <c r="H116">
        <f t="shared" si="4"/>
        <v>5.79765</v>
      </c>
      <c r="I116">
        <f t="shared" si="5"/>
        <v>113.939</v>
      </c>
    </row>
    <row r="117" spans="6:9">
      <c r="F117" s="2">
        <v>0.0584883</v>
      </c>
      <c r="G117" s="2">
        <v>110233000</v>
      </c>
      <c r="H117">
        <f t="shared" si="4"/>
        <v>5.84883</v>
      </c>
      <c r="I117">
        <f t="shared" si="5"/>
        <v>110.233</v>
      </c>
    </row>
    <row r="118" spans="6:9">
      <c r="F118" s="2">
        <v>0.0590007</v>
      </c>
      <c r="G118" s="2">
        <v>103192000</v>
      </c>
      <c r="H118">
        <f t="shared" si="4"/>
        <v>5.90007</v>
      </c>
      <c r="I118">
        <f t="shared" si="5"/>
        <v>103.192</v>
      </c>
    </row>
    <row r="119" spans="6:9">
      <c r="F119" s="2">
        <v>0.0594691</v>
      </c>
      <c r="G119" s="2">
        <v>101474000</v>
      </c>
      <c r="H119">
        <f t="shared" si="4"/>
        <v>5.94691</v>
      </c>
      <c r="I119">
        <f t="shared" si="5"/>
        <v>101.474</v>
      </c>
    </row>
    <row r="120" spans="6:9">
      <c r="F120" s="2">
        <v>0.0599783</v>
      </c>
      <c r="G120" s="2">
        <v>100676000</v>
      </c>
      <c r="H120">
        <f t="shared" si="4"/>
        <v>5.99783</v>
      </c>
      <c r="I120">
        <f t="shared" si="5"/>
        <v>100.676</v>
      </c>
    </row>
    <row r="121" spans="6:9">
      <c r="F121" s="2">
        <v>0.0604835</v>
      </c>
      <c r="G121" s="2">
        <v>102063000</v>
      </c>
      <c r="H121">
        <f t="shared" si="4"/>
        <v>6.04835</v>
      </c>
      <c r="I121">
        <f t="shared" si="5"/>
        <v>102.063</v>
      </c>
    </row>
    <row r="122" spans="6:9">
      <c r="F122" s="2">
        <v>0.0610017</v>
      </c>
      <c r="G122" s="2">
        <v>103519000</v>
      </c>
      <c r="H122">
        <f t="shared" si="4"/>
        <v>6.10017</v>
      </c>
      <c r="I122">
        <f t="shared" si="5"/>
        <v>103.519</v>
      </c>
    </row>
    <row r="123" spans="6:9">
      <c r="F123" s="2">
        <v>0.0614741</v>
      </c>
      <c r="G123" s="2">
        <v>106495000</v>
      </c>
      <c r="H123">
        <f t="shared" si="4"/>
        <v>6.14741</v>
      </c>
      <c r="I123">
        <f t="shared" si="5"/>
        <v>106.495</v>
      </c>
    </row>
    <row r="124" spans="6:9">
      <c r="F124" s="2">
        <v>0.0620284</v>
      </c>
      <c r="G124" s="2">
        <v>98859200</v>
      </c>
      <c r="H124">
        <f t="shared" si="4"/>
        <v>6.20284</v>
      </c>
      <c r="I124">
        <f t="shared" si="5"/>
        <v>98.8592</v>
      </c>
    </row>
    <row r="125" spans="6:9">
      <c r="F125" s="2">
        <v>0.0625102</v>
      </c>
      <c r="G125" s="2">
        <v>105016000</v>
      </c>
      <c r="H125">
        <f t="shared" si="4"/>
        <v>6.25102</v>
      </c>
      <c r="I125">
        <f t="shared" si="5"/>
        <v>105.016</v>
      </c>
    </row>
    <row r="126" spans="6:9">
      <c r="F126" s="2">
        <v>0.0630084</v>
      </c>
      <c r="G126" s="2">
        <v>101066000</v>
      </c>
      <c r="H126">
        <f t="shared" si="4"/>
        <v>6.30084</v>
      </c>
      <c r="I126">
        <f t="shared" si="5"/>
        <v>101.066</v>
      </c>
    </row>
    <row r="127" spans="6:9">
      <c r="F127" s="2">
        <v>0.0635171</v>
      </c>
      <c r="G127" s="2">
        <v>101399000</v>
      </c>
      <c r="H127">
        <f t="shared" si="4"/>
        <v>6.35171</v>
      </c>
      <c r="I127">
        <f t="shared" si="5"/>
        <v>101.399</v>
      </c>
    </row>
    <row r="128" spans="6:9">
      <c r="F128" s="2">
        <v>0.0639617</v>
      </c>
      <c r="G128" s="2">
        <v>104797000</v>
      </c>
      <c r="H128">
        <f t="shared" si="4"/>
        <v>6.39617</v>
      </c>
      <c r="I128">
        <f t="shared" si="5"/>
        <v>104.797</v>
      </c>
    </row>
  </sheetData>
  <mergeCells count="2">
    <mergeCell ref="A1:D1"/>
    <mergeCell ref="F1:I1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LibreOffice/24.8.3.2$Linux_X86_64 LibreOffice_project/e14c9fdd1f585efcbb2c5363087a99d20928d522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vikramroy</cp:lastModifiedBy>
  <cp:revision>2</cp:revision>
  <dcterms:created xsi:type="dcterms:W3CDTF">2025-02-09T04:24:00Z</dcterms:created>
  <dcterms:modified xsi:type="dcterms:W3CDTF">2025-02-08T18:34:27Z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