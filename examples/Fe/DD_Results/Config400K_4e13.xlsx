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28725" tabRatio="500" activeTab="1"/>
  </bookViews>
  <sheets>
    <sheet name="Graphs" sheetId="1" r:id="rId1"/>
    <sheet name="400K_SR40_Stress" sheetId="2" r:id="rId2"/>
    <sheet name="400K_SR40" sheetId="3" r:id="rId3"/>
    <sheet name="400K_SR100_Stress" sheetId="4" r:id="rId4"/>
    <sheet name="400K_SR100" sheetId="5" r:id="rId5"/>
    <sheet name="400K_SR1000_Stress" sheetId="6" r:id="rId6"/>
    <sheet name="400K_SR1000" sheetId="7" r:id="rId7"/>
    <sheet name="400K_SR1e4_Stress" sheetId="8" r:id="rId8"/>
    <sheet name="400K_SR1e4" sheetId="9" r:id="rId9"/>
    <sheet name="tauratio" sheetId="10" r:id="rId10"/>
    <sheet name="tauratio1" sheetId="11" r:id="rId11"/>
  </sheets>
  <calcPr calcId="144525"/>
</workbook>
</file>

<file path=xl/sharedStrings.xml><?xml version="1.0" encoding="utf-8"?>
<sst xmlns="http://schemas.openxmlformats.org/spreadsheetml/2006/main" count="168" uniqueCount="39">
  <si>
    <t>Factor</t>
  </si>
  <si>
    <t>Config 1</t>
  </si>
  <si>
    <t>Config 2</t>
  </si>
  <si>
    <t>Config3</t>
  </si>
  <si>
    <t>AverageValue of Last 0.5%</t>
  </si>
  <si>
    <t>TotalStress</t>
  </si>
  <si>
    <t>RhoI</t>
  </si>
  <si>
    <t>Rho</t>
  </si>
  <si>
    <t>TauF1</t>
  </si>
  <si>
    <t>TauF2</t>
  </si>
  <si>
    <t>TauF</t>
  </si>
  <si>
    <t>Tau</t>
  </si>
  <si>
    <t>Tau/TauF</t>
  </si>
  <si>
    <t>RhoI/Rho</t>
  </si>
  <si>
    <t>Config1</t>
  </si>
  <si>
    <t>Config2</t>
  </si>
  <si>
    <t>Config 3</t>
  </si>
  <si>
    <t>Pstrain</t>
  </si>
  <si>
    <t>Total</t>
  </si>
  <si>
    <t>Totalmin</t>
  </si>
  <si>
    <t>Totalmax</t>
  </si>
  <si>
    <t>Junction</t>
  </si>
  <si>
    <t>Junctionmin</t>
  </si>
  <si>
    <t>Junctionmax</t>
  </si>
  <si>
    <t>StrainRate</t>
  </si>
  <si>
    <t>Taup</t>
  </si>
  <si>
    <t>Taup/Sqrt(rhom)</t>
  </si>
  <si>
    <t>40C1</t>
  </si>
  <si>
    <t>40C2</t>
  </si>
  <si>
    <t>40C3</t>
  </si>
  <si>
    <t>100C1</t>
  </si>
  <si>
    <t>100C2</t>
  </si>
  <si>
    <t>100C3</t>
  </si>
  <si>
    <t>1000C1</t>
  </si>
  <si>
    <t>1000C2</t>
  </si>
  <si>
    <t>1000C3</t>
  </si>
  <si>
    <t>1e4C1</t>
  </si>
  <si>
    <t>1e4C2</t>
  </si>
  <si>
    <t>1e4C3</t>
  </si>
</sst>
</file>

<file path=xl/styles.xml><?xml version="1.0" encoding="utf-8"?>
<styleSheet xmlns="http://schemas.openxmlformats.org/spreadsheetml/2006/main">
  <numFmts count="6">
    <numFmt numFmtId="176" formatCode="0.000E+00"/>
    <numFmt numFmtId="177" formatCode="_ &quot;₹&quot;\ * #,##0.00_ ;_ &quot;₹&quot;\ * \-#,##0.00_ ;_ &quot;₹&quot;\ * &quot;-&quot;??_ ;_ @_ "/>
    <numFmt numFmtId="178" formatCode="#,##0.000000"/>
    <numFmt numFmtId="179" formatCode="_ &quot;₹&quot;\ * #,##0_ ;_ &quot;₹&quot;\ * \-#,##0_ ;_ &quot;₹&quot;\ * &quot;-&quot;_ ;_ @_ "/>
    <numFmt numFmtId="180" formatCode="_ * #,##0.00_ ;_ * \-#,##0.00_ ;_ * &quot;-&quot;??_ ;_ @_ "/>
    <numFmt numFmtId="181" formatCode="_ * #,##0_ ;_ * \-#,##0_ ;_ * &quot;-&quot;_ ;_ @_ "/>
  </numFmts>
  <fonts count="27">
    <font>
      <sz val="11"/>
      <color theme="1"/>
      <name val="Calibri"/>
      <charset val="1"/>
    </font>
    <font>
      <sz val="11"/>
      <color rgb="FF000000"/>
      <name val="Calibri"/>
      <charset val="1"/>
    </font>
    <font>
      <sz val="10"/>
      <color rgb="FFB5CEA8"/>
      <name val="Consolas"/>
      <charset val="1"/>
    </font>
    <font>
      <sz val="10"/>
      <color rgb="FF000000"/>
      <name val="Consolas"/>
      <charset val="1"/>
    </font>
    <font>
      <sz val="11"/>
      <color rgb="FFCCCCCC"/>
      <name val="Droid Sans Mono"/>
      <charset val="1"/>
    </font>
    <font>
      <sz val="10"/>
      <color rgb="FFCCCCCC"/>
      <name val="Consolas"/>
      <charset val="1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0"/>
      <name val="Arial"/>
      <charset val="134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7" fillId="3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6" borderId="4" applyNumberFormat="0" applyAlignment="0" applyProtection="0">
      <alignment vertical="center"/>
    </xf>
    <xf numFmtId="177" fontId="11" fillId="0" borderId="0" applyBorder="0" applyAlignment="0" applyProtection="0"/>
    <xf numFmtId="0" fontId="14" fillId="13" borderId="0" applyNumberFormat="0" applyBorder="0" applyAlignment="0" applyProtection="0">
      <alignment vertical="center"/>
    </xf>
    <xf numFmtId="0" fontId="25" fillId="27" borderId="10" applyNumberFormat="0" applyFont="0" applyAlignment="0" applyProtection="0">
      <alignment vertical="center"/>
    </xf>
    <xf numFmtId="0" fontId="23" fillId="20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181" fontId="11" fillId="0" borderId="0" applyBorder="0" applyAlignment="0" applyProtection="0"/>
    <xf numFmtId="0" fontId="14" fillId="1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9" fontId="11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180" fontId="11" fillId="0" borderId="0" applyBorder="0" applyAlignment="0" applyProtection="0"/>
    <xf numFmtId="0" fontId="8" fillId="4" borderId="3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9" fontId="11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39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178" fontId="0" fillId="0" borderId="0" xfId="0" applyNumberFormat="1" applyAlignment="1">
      <alignment horizontal="right"/>
    </xf>
    <xf numFmtId="0" fontId="0" fillId="0" borderId="0" xfId="0" applyFont="1" applyAlignment="1"/>
    <xf numFmtId="0" fontId="0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4" fontId="1" fillId="0" borderId="0" xfId="0" applyNumberFormat="1" applyFont="1" applyBorder="1" applyAlignment="1">
      <alignment horizontal="right"/>
    </xf>
    <xf numFmtId="178" fontId="1" fillId="0" borderId="0" xfId="0" applyNumberFormat="1" applyFont="1" applyBorder="1" applyAlignment="1">
      <alignment horizontal="right"/>
    </xf>
    <xf numFmtId="178" fontId="0" fillId="0" borderId="0" xfId="0" applyNumberFormat="1" applyFont="1" applyBorder="1" applyAlignment="1">
      <alignment horizontal="right"/>
    </xf>
    <xf numFmtId="3" fontId="1" fillId="0" borderId="0" xfId="0" applyNumberFormat="1" applyFont="1" applyBorder="1" applyAlignment="1">
      <alignment horizontal="right"/>
    </xf>
    <xf numFmtId="178" fontId="0" fillId="0" borderId="0" xfId="0" applyNumberFormat="1" applyAlignment="1"/>
    <xf numFmtId="0" fontId="0" fillId="0" borderId="0" xfId="0" applyFont="1" applyBorder="1" applyAlignment="1">
      <alignment horizontal="left"/>
    </xf>
    <xf numFmtId="4" fontId="0" fillId="0" borderId="0" xfId="0" applyNumberFormat="1" applyFont="1" applyBorder="1" applyAlignment="1">
      <alignment horizontal="right"/>
    </xf>
    <xf numFmtId="178" fontId="0" fillId="0" borderId="0" xfId="0" applyNumberFormat="1" applyFont="1" applyBorder="1" applyAlignment="1">
      <alignment horizontal="left"/>
    </xf>
    <xf numFmtId="4" fontId="1" fillId="0" borderId="0" xfId="0" applyNumberFormat="1" applyFont="1" applyBorder="1" applyAlignment="1">
      <alignment horizontal="left"/>
    </xf>
    <xf numFmtId="178" fontId="1" fillId="0" borderId="0" xfId="0" applyNumberFormat="1" applyFont="1" applyBorder="1" applyAlignment="1">
      <alignment horizontal="center"/>
    </xf>
    <xf numFmtId="178" fontId="2" fillId="0" borderId="0" xfId="0" applyNumberFormat="1" applyFont="1" applyBorder="1" applyAlignment="1">
      <alignment horizontal="right"/>
    </xf>
    <xf numFmtId="178" fontId="3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4" fontId="0" fillId="0" borderId="0" xfId="0" applyNumberFormat="1" applyAlignment="1"/>
    <xf numFmtId="178" fontId="4" fillId="0" borderId="0" xfId="0" applyNumberFormat="1" applyFont="1" applyBorder="1" applyAlignment="1">
      <alignment horizontal="right" wrapText="1"/>
    </xf>
    <xf numFmtId="178" fontId="5" fillId="0" borderId="0" xfId="0" applyNumberFormat="1" applyFont="1" applyBorder="1" applyAlignment="1">
      <alignment horizontal="right"/>
    </xf>
    <xf numFmtId="4" fontId="0" fillId="0" borderId="0" xfId="0" applyNumberFormat="1" applyFont="1" applyBorder="1" applyAlignment="1">
      <alignment horizontal="left"/>
    </xf>
    <xf numFmtId="4" fontId="1" fillId="2" borderId="1" xfId="0" applyNumberFormat="1" applyFont="1" applyFill="1" applyBorder="1" applyAlignment="1">
      <alignment horizontal="right"/>
    </xf>
    <xf numFmtId="11" fontId="0" fillId="0" borderId="0" xfId="0" applyNumberFormat="1" applyAlignment="1">
      <alignment horizontal="right"/>
    </xf>
    <xf numFmtId="11" fontId="0" fillId="0" borderId="0" xfId="0" applyNumberFormat="1" applyAlignment="1"/>
    <xf numFmtId="11" fontId="0" fillId="0" borderId="0" xfId="0" applyNumberFormat="1"/>
    <xf numFmtId="11" fontId="1" fillId="0" borderId="0" xfId="0" applyNumberFormat="1" applyFont="1" applyBorder="1" applyAlignment="1">
      <alignment horizontal="center"/>
    </xf>
    <xf numFmtId="11" fontId="1" fillId="0" borderId="0" xfId="0" applyNumberFormat="1" applyFont="1" applyBorder="1" applyAlignment="1">
      <alignment horizontal="right"/>
    </xf>
    <xf numFmtId="11" fontId="2" fillId="0" borderId="0" xfId="0" applyNumberFormat="1" applyFont="1" applyBorder="1" applyAlignment="1">
      <alignment horizontal="right"/>
    </xf>
    <xf numFmtId="11" fontId="0" fillId="0" borderId="0" xfId="0" applyNumberFormat="1" applyFont="1" applyBorder="1" applyAlignment="1">
      <alignment horizontal="right"/>
    </xf>
    <xf numFmtId="11" fontId="1" fillId="0" borderId="2" xfId="0" applyNumberFormat="1" applyFont="1" applyBorder="1" applyAlignment="1">
      <alignment horizontal="right"/>
    </xf>
    <xf numFmtId="11" fontId="0" fillId="0" borderId="0" xfId="0" applyNumberFormat="1" applyFont="1" applyBorder="1" applyAlignment="1">
      <alignment horizontal="left"/>
    </xf>
    <xf numFmtId="3" fontId="0" fillId="0" borderId="0" xfId="0" applyNumberFormat="1" applyAlignment="1"/>
    <xf numFmtId="11" fontId="3" fillId="0" borderId="0" xfId="0" applyNumberFormat="1" applyFont="1" applyBorder="1" applyAlignment="1">
      <alignment horizontal="right"/>
    </xf>
    <xf numFmtId="3" fontId="0" fillId="0" borderId="0" xfId="0" applyNumberFormat="1" applyFont="1" applyBorder="1" applyAlignment="1">
      <alignment horizontal="left"/>
    </xf>
    <xf numFmtId="176" fontId="1" fillId="0" borderId="0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6C6C6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C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5CEA8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B2"/>
  <sheetViews>
    <sheetView workbookViewId="0">
      <selection activeCell="A1" sqref="A1"/>
    </sheetView>
  </sheetViews>
  <sheetFormatPr defaultColWidth="8.68148148148148" defaultRowHeight="15" customHeight="1" outlineLevelRow="1" outlineLevelCol="1"/>
  <cols>
    <col min="1" max="1" width="12.4296296296296" style="1" customWidth="1"/>
    <col min="2" max="2" width="12.4296296296296" style="38" customWidth="1"/>
  </cols>
  <sheetData>
    <row r="1" ht="18.75" customHeight="1" spans="1:2">
      <c r="A1" s="4" t="s">
        <v>0</v>
      </c>
      <c r="B1" s="7">
        <v>0.5</v>
      </c>
    </row>
    <row r="2" ht="18.75" customHeight="1" spans="1:2">
      <c r="A2" s="4" t="s">
        <v>0</v>
      </c>
      <c r="B2" s="7">
        <v>0.05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59"/>
  <sheetViews>
    <sheetView tabSelected="1" topLeftCell="H1" workbookViewId="0">
      <selection activeCell="R5" sqref="R5"/>
    </sheetView>
  </sheetViews>
  <sheetFormatPr defaultColWidth="8.68148148148148" defaultRowHeight="15" customHeight="1"/>
  <cols>
    <col min="1" max="1" width="22.1481481481481" style="11" customWidth="1"/>
    <col min="2" max="2" width="8.86666666666667" style="26" customWidth="1"/>
    <col min="3" max="3" width="12.4296296296296" style="1" customWidth="1"/>
    <col min="4" max="4" width="12.4296296296296" style="3" customWidth="1"/>
    <col min="5" max="5" width="8.86666666666667" style="25" customWidth="1"/>
    <col min="6" max="6" width="12.4296296296296" style="1" customWidth="1"/>
    <col min="7" max="7" width="12.4296296296296" style="11" customWidth="1"/>
    <col min="8" max="8" width="8.86666666666667" style="26" customWidth="1"/>
    <col min="9" max="11" width="12.4296296296296" style="1" customWidth="1"/>
    <col min="12" max="12" width="10.2888888888889" style="34" customWidth="1"/>
    <col min="13" max="13" width="12.8888888888889" style="11" customWidth="1"/>
    <col min="14" max="14" width="14.2222222222222" style="11" customWidth="1"/>
    <col min="15" max="20" width="12.4296296296296" style="20" customWidth="1"/>
  </cols>
  <sheetData>
    <row r="1" ht="17.25" customHeight="1" spans="1:20">
      <c r="A1" s="16" t="s">
        <v>1</v>
      </c>
      <c r="B1" s="28"/>
      <c r="D1" s="16" t="s">
        <v>2</v>
      </c>
      <c r="E1" s="28"/>
      <c r="G1" s="16" t="s">
        <v>3</v>
      </c>
      <c r="H1" s="28"/>
      <c r="K1" s="19" t="s">
        <v>4</v>
      </c>
      <c r="L1" s="19"/>
      <c r="M1" s="9"/>
      <c r="N1" s="9"/>
      <c r="O1" s="7"/>
      <c r="P1" s="7"/>
      <c r="Q1" s="13"/>
      <c r="R1" s="13"/>
      <c r="S1" s="13"/>
      <c r="T1" s="7"/>
    </row>
    <row r="2" ht="17.25" customHeight="1" spans="1:20">
      <c r="A2" s="8">
        <v>0.000979836</v>
      </c>
      <c r="B2" s="29">
        <v>118854000</v>
      </c>
      <c r="D2" s="8">
        <v>0.000947025</v>
      </c>
      <c r="E2" s="29">
        <v>105822000</v>
      </c>
      <c r="G2" s="18">
        <v>0.00101539</v>
      </c>
      <c r="H2" s="29">
        <v>102117000</v>
      </c>
      <c r="L2" s="36" t="s">
        <v>5</v>
      </c>
      <c r="M2" s="14" t="s">
        <v>6</v>
      </c>
      <c r="N2" s="14" t="s">
        <v>7</v>
      </c>
      <c r="O2" s="15" t="s">
        <v>8</v>
      </c>
      <c r="P2" s="15" t="s">
        <v>9</v>
      </c>
      <c r="Q2" s="23" t="s">
        <v>10</v>
      </c>
      <c r="R2" s="23" t="s">
        <v>11</v>
      </c>
      <c r="S2" s="23" t="s">
        <v>12</v>
      </c>
      <c r="T2" s="15" t="s">
        <v>13</v>
      </c>
    </row>
    <row r="3" ht="17.25" customHeight="1" spans="1:20">
      <c r="A3" s="8">
        <v>0.00198107</v>
      </c>
      <c r="B3" s="29">
        <v>130294000</v>
      </c>
      <c r="D3" s="8">
        <v>0.00197476</v>
      </c>
      <c r="E3" s="29">
        <v>120664000</v>
      </c>
      <c r="G3" s="18">
        <v>0.00192514</v>
      </c>
      <c r="H3" s="29">
        <v>112577000</v>
      </c>
      <c r="K3" s="1" t="s">
        <v>14</v>
      </c>
      <c r="L3" s="10">
        <v>132</v>
      </c>
      <c r="M3" s="37">
        <v>12400000000000</v>
      </c>
      <c r="N3" s="37">
        <v>44000000000000</v>
      </c>
      <c r="O3" s="7">
        <f>Graphs!$B$1*80.9*0.248*SQRT(M3)/1000000</f>
        <v>35.3249088058837</v>
      </c>
      <c r="P3" s="7">
        <f>Graphs!$B$2*80.9*0.248*SQRT(N3)/1000000</f>
        <v>6.65421064938585</v>
      </c>
      <c r="Q3" s="7">
        <f>SQRT(O3^2+P3^2)</f>
        <v>35.9461778428583</v>
      </c>
      <c r="R3" s="7">
        <f>L3*0.4395</f>
        <v>58.014</v>
      </c>
      <c r="S3" s="7">
        <f>R3/Q3</f>
        <v>1.61391289648688</v>
      </c>
      <c r="T3" s="7">
        <f>M3/N3</f>
        <v>0.281818181818182</v>
      </c>
    </row>
    <row r="4" ht="17.25" customHeight="1" spans="1:20">
      <c r="A4" s="8">
        <v>0.00300081</v>
      </c>
      <c r="B4" s="29">
        <v>129021000</v>
      </c>
      <c r="D4" s="8">
        <v>0.00303845</v>
      </c>
      <c r="E4" s="29">
        <v>129952000</v>
      </c>
      <c r="G4" s="18">
        <v>0.00297721</v>
      </c>
      <c r="H4" s="29">
        <v>122103000</v>
      </c>
      <c r="K4" s="1" t="s">
        <v>15</v>
      </c>
      <c r="L4" s="10">
        <v>123</v>
      </c>
      <c r="M4" s="37">
        <v>12800000000000</v>
      </c>
      <c r="N4" s="37">
        <v>47800000000000</v>
      </c>
      <c r="O4" s="7">
        <f>Graphs!$B$1*80.9*0.248*SQRT(M4)/1000000</f>
        <v>35.890143236939</v>
      </c>
      <c r="P4" s="7">
        <f>Graphs!$B$2*80.9*0.248*SQRT(N4)/1000000</f>
        <v>6.93560187090349</v>
      </c>
      <c r="Q4" s="7">
        <f>SQRT(O4^2+P4^2)</f>
        <v>36.5541373154897</v>
      </c>
      <c r="R4" s="7">
        <f>L4*0.4395</f>
        <v>54.0585</v>
      </c>
      <c r="S4" s="7">
        <f>R4/Q4</f>
        <v>1.47886132651509</v>
      </c>
      <c r="T4" s="7">
        <f>M4/N4</f>
        <v>0.267782426778243</v>
      </c>
    </row>
    <row r="5" ht="17.25" customHeight="1" spans="1:20">
      <c r="A5" s="8">
        <v>0.00399291</v>
      </c>
      <c r="B5" s="29">
        <v>136490000</v>
      </c>
      <c r="D5" s="8">
        <v>0.00399765</v>
      </c>
      <c r="E5" s="29">
        <v>140978000</v>
      </c>
      <c r="G5" s="18">
        <v>0.00400464</v>
      </c>
      <c r="H5" s="29">
        <v>125170000</v>
      </c>
      <c r="K5" s="1" t="s">
        <v>3</v>
      </c>
      <c r="L5" s="10">
        <f>AVERAGE(H19:H23)/1000000</f>
        <v>137.4774</v>
      </c>
      <c r="M5" s="37">
        <f>AVERAGE('400K_SR40'!AL19:AL23)</f>
        <v>12413940000000</v>
      </c>
      <c r="N5" s="37">
        <f>AVERAGE('400K_SR40'!AC19:AC23)</f>
        <v>46861120000000</v>
      </c>
      <c r="O5" s="7">
        <f>Graphs!$B$1*80.9*0.248*SQRT(M5)/1000000</f>
        <v>35.3447592458051</v>
      </c>
      <c r="P5" s="7">
        <f>Graphs!$B$2*80.9*0.248*SQRT(N5)/1000000</f>
        <v>6.8671500795308</v>
      </c>
      <c r="Q5" s="7">
        <f>SQRT(O5^2+P5^2)</f>
        <v>36.0056906107733</v>
      </c>
      <c r="R5" s="7">
        <f>L5*0.4395</f>
        <v>60.4213173</v>
      </c>
      <c r="S5" s="7">
        <f>R5/Q5</f>
        <v>1.67810466276465</v>
      </c>
      <c r="T5" s="7">
        <f>M5/N5</f>
        <v>0.264909161368742</v>
      </c>
    </row>
    <row r="6" ht="17.25" customHeight="1" spans="1:20">
      <c r="A6" s="8">
        <v>0.00501552</v>
      </c>
      <c r="B6" s="29">
        <v>134537000</v>
      </c>
      <c r="D6" s="8">
        <v>0.00502331</v>
      </c>
      <c r="E6" s="29">
        <v>131905000</v>
      </c>
      <c r="G6" s="18">
        <v>0.00500943</v>
      </c>
      <c r="H6" s="29">
        <v>126039000</v>
      </c>
      <c r="L6" s="13"/>
      <c r="M6" s="9"/>
      <c r="N6" s="9"/>
      <c r="O6" s="13"/>
      <c r="P6" s="13"/>
      <c r="Q6" s="13"/>
      <c r="R6" s="13"/>
      <c r="S6" s="13"/>
      <c r="T6" s="13"/>
    </row>
    <row r="7" ht="17.25" customHeight="1" spans="1:20">
      <c r="A7" s="8">
        <v>0.00600413</v>
      </c>
      <c r="B7" s="29">
        <v>140146000</v>
      </c>
      <c r="D7" s="8">
        <v>0.0059798</v>
      </c>
      <c r="E7" s="29">
        <v>134043000</v>
      </c>
      <c r="G7" s="18">
        <v>0.00596348</v>
      </c>
      <c r="H7" s="29">
        <v>121281000</v>
      </c>
      <c r="L7" s="13"/>
      <c r="M7" s="9"/>
      <c r="N7" s="9"/>
      <c r="O7" s="13"/>
      <c r="P7" s="13"/>
      <c r="Q7" s="13"/>
      <c r="R7" s="13"/>
      <c r="S7" s="13"/>
      <c r="T7" s="13"/>
    </row>
    <row r="8" ht="17.25" customHeight="1" spans="1:20">
      <c r="A8" s="8">
        <v>0.00699409</v>
      </c>
      <c r="B8" s="29">
        <v>128313000</v>
      </c>
      <c r="D8" s="8">
        <v>0.00700893</v>
      </c>
      <c r="E8" s="29">
        <v>133374000</v>
      </c>
      <c r="G8" s="18">
        <v>0.00695336</v>
      </c>
      <c r="H8" s="29">
        <v>123483000</v>
      </c>
      <c r="L8" s="13"/>
      <c r="M8" s="9"/>
      <c r="N8" s="9"/>
      <c r="O8" s="13"/>
      <c r="P8" s="13"/>
      <c r="Q8" s="13"/>
      <c r="R8" s="13"/>
      <c r="S8" s="13"/>
      <c r="T8" s="13"/>
    </row>
    <row r="9" ht="17.25" customHeight="1" spans="1:20">
      <c r="A9" s="8">
        <v>0.00797905</v>
      </c>
      <c r="B9" s="29">
        <v>136642000</v>
      </c>
      <c r="D9" s="8">
        <v>0.00801375</v>
      </c>
      <c r="E9" s="29">
        <v>132694000</v>
      </c>
      <c r="G9" s="18">
        <v>0.00800524</v>
      </c>
      <c r="H9" s="29">
        <v>129482000</v>
      </c>
      <c r="K9" s="1" t="s">
        <v>14</v>
      </c>
      <c r="L9" s="7">
        <f>AVERAGE(B12:B16)/1000000</f>
        <v>134.494</v>
      </c>
      <c r="M9" s="8">
        <f>AVERAGE('400K_SR40'!L12:L16)</f>
        <v>13516500000000</v>
      </c>
      <c r="N9" s="8">
        <f>AVERAGE('400K_SR40'!C12:C16)</f>
        <v>44671200000000</v>
      </c>
      <c r="O9" s="7">
        <f>Graphs!$B$1*80.9*0.248*SQRT(M9)/1000000</f>
        <v>36.8809696867672</v>
      </c>
      <c r="P9" s="7">
        <f>Graphs!$B$2*80.9*0.248*SQRT(N9)/1000000</f>
        <v>6.70477203585139</v>
      </c>
      <c r="Q9" s="7">
        <f>SQRT(O9^2+P9^2)</f>
        <v>37.4854624233045</v>
      </c>
      <c r="R9" s="7">
        <f>L9*0.4395</f>
        <v>59.110113</v>
      </c>
      <c r="S9" s="7">
        <f>R9/Q9</f>
        <v>1.57688098742118</v>
      </c>
      <c r="T9" s="7">
        <f>M9/N9</f>
        <v>0.302577499597056</v>
      </c>
    </row>
    <row r="10" ht="17.25" customHeight="1" spans="1:20">
      <c r="A10" s="8">
        <v>0.00894196</v>
      </c>
      <c r="B10" s="29">
        <v>139578000</v>
      </c>
      <c r="D10" s="8">
        <v>0.00904663</v>
      </c>
      <c r="E10" s="29">
        <v>129155000</v>
      </c>
      <c r="G10" s="18">
        <v>0.00903004</v>
      </c>
      <c r="H10" s="29">
        <v>138549000</v>
      </c>
      <c r="K10" s="1" t="s">
        <v>15</v>
      </c>
      <c r="L10" s="7">
        <f>AVERAGE(E12:E16)/1000000</f>
        <v>135.0286</v>
      </c>
      <c r="M10" s="8">
        <f>AVERAGE('400K_SR40'!Y12:Y16)</f>
        <v>12006080000000</v>
      </c>
      <c r="N10" s="8">
        <f>AVERAGE('400K_SR40'!P12:P16)</f>
        <v>44355600000000</v>
      </c>
      <c r="O10" s="7">
        <f>Graphs!$B$1*80.9*0.248*SQRT(M10)/1000000</f>
        <v>34.7592841029738</v>
      </c>
      <c r="P10" s="7">
        <f>Graphs!$B$2*80.9*0.248*SQRT(N10)/1000000</f>
        <v>6.6810456</v>
      </c>
      <c r="Q10" s="7">
        <f>SQRT(O10^2+P10^2)</f>
        <v>35.3955392904321</v>
      </c>
      <c r="R10" s="7">
        <f>L10*0.4395</f>
        <v>59.3450697</v>
      </c>
      <c r="S10" s="7">
        <f>R10/Q10</f>
        <v>1.67662566780108</v>
      </c>
      <c r="T10" s="7">
        <f>M10/N10</f>
        <v>0.2706778850923</v>
      </c>
    </row>
    <row r="11" ht="17.25" customHeight="1" spans="1:20">
      <c r="A11" s="8">
        <v>0.00998976</v>
      </c>
      <c r="B11" s="29">
        <v>128502000</v>
      </c>
      <c r="D11" s="8">
        <v>0.0100531</v>
      </c>
      <c r="E11" s="29">
        <v>125031000</v>
      </c>
      <c r="G11" s="18">
        <v>0.0100922</v>
      </c>
      <c r="H11" s="29">
        <v>135145000</v>
      </c>
      <c r="K11" s="1" t="s">
        <v>3</v>
      </c>
      <c r="L11" s="7">
        <f>AVERAGE(H12:H16)/1000000</f>
        <v>138.2152</v>
      </c>
      <c r="M11" s="8">
        <f>AVERAGE('400K_SR40'!L12:AL16)</f>
        <v>7778580973280.16</v>
      </c>
      <c r="N11" s="8">
        <f>AVERAGE('400K_SR40'!AC12:AC16)</f>
        <v>46119140000000</v>
      </c>
      <c r="O11" s="7">
        <f>Graphs!$B$1*80.9*0.248*SQRT(M11)/1000000</f>
        <v>27.978240257081</v>
      </c>
      <c r="P11" s="7">
        <f>Graphs!$B$2*80.9*0.248*SQRT(N11)/1000000</f>
        <v>6.81256732018733</v>
      </c>
      <c r="Q11" s="7">
        <f>SQRT(O11^2+P11^2)</f>
        <v>28.7957115101369</v>
      </c>
      <c r="R11" s="7">
        <f>L11*0.4395</f>
        <v>60.7455804</v>
      </c>
      <c r="S11" s="7">
        <f>R11/Q11</f>
        <v>2.10953566396913</v>
      </c>
      <c r="T11" s="7">
        <f>M11/N11</f>
        <v>0.168662749853535</v>
      </c>
    </row>
    <row r="12" ht="17.25" customHeight="1" spans="1:20">
      <c r="A12" s="8">
        <v>0.010991</v>
      </c>
      <c r="B12" s="29">
        <v>116690000</v>
      </c>
      <c r="D12" s="8">
        <v>0.0109228</v>
      </c>
      <c r="E12" s="29">
        <v>132171000</v>
      </c>
      <c r="G12" s="18">
        <v>0.0109426</v>
      </c>
      <c r="H12" s="29">
        <v>139263000</v>
      </c>
      <c r="L12" s="13"/>
      <c r="M12" s="9"/>
      <c r="N12" s="9"/>
      <c r="O12" s="13"/>
      <c r="P12" s="13"/>
      <c r="Q12" s="13"/>
      <c r="R12" s="13"/>
      <c r="S12" s="13"/>
      <c r="T12" s="13"/>
    </row>
    <row r="13" ht="17.25" customHeight="1" spans="1:20">
      <c r="A13" s="8">
        <v>0.0118884</v>
      </c>
      <c r="B13" s="29">
        <v>138173000</v>
      </c>
      <c r="D13" s="8">
        <v>0.0119744</v>
      </c>
      <c r="E13" s="29">
        <v>144218000</v>
      </c>
      <c r="G13" s="18">
        <v>0.0119424</v>
      </c>
      <c r="H13" s="29">
        <v>147717000</v>
      </c>
      <c r="L13" s="13"/>
      <c r="M13" s="9"/>
      <c r="N13" s="9"/>
      <c r="O13" s="13"/>
      <c r="P13" s="13"/>
      <c r="Q13" s="13"/>
      <c r="R13" s="13"/>
      <c r="S13" s="13"/>
      <c r="T13" s="13"/>
    </row>
    <row r="14" ht="17.25" customHeight="1" spans="1:20">
      <c r="A14" s="8">
        <v>0.0129353</v>
      </c>
      <c r="B14" s="29">
        <v>141362000</v>
      </c>
      <c r="D14" s="8">
        <v>0.0130362</v>
      </c>
      <c r="E14" s="29">
        <v>135087000</v>
      </c>
      <c r="G14" s="18">
        <v>0.0130057</v>
      </c>
      <c r="H14" s="29">
        <v>131315000</v>
      </c>
      <c r="L14" s="13"/>
      <c r="M14" s="9"/>
      <c r="N14" s="9"/>
      <c r="O14" s="13"/>
      <c r="P14" s="13"/>
      <c r="Q14" s="13"/>
      <c r="R14" s="13"/>
      <c r="S14" s="13"/>
      <c r="T14" s="13"/>
    </row>
    <row r="15" ht="17.25" customHeight="1" spans="1:20">
      <c r="A15" s="8">
        <v>0.0140125</v>
      </c>
      <c r="B15" s="29">
        <v>139084000</v>
      </c>
      <c r="D15" s="8">
        <v>0.0138916</v>
      </c>
      <c r="E15" s="29">
        <v>133739000</v>
      </c>
      <c r="G15" s="18">
        <v>0.0140601</v>
      </c>
      <c r="H15" s="29">
        <v>130233000</v>
      </c>
      <c r="L15" s="13"/>
      <c r="M15" s="9"/>
      <c r="N15" s="9"/>
      <c r="O15" s="13"/>
      <c r="P15" s="13"/>
      <c r="Q15" s="13"/>
      <c r="R15" s="13"/>
      <c r="S15" s="13"/>
      <c r="T15" s="13"/>
    </row>
    <row r="16" ht="17.25" customHeight="1" spans="1:20">
      <c r="A16" s="8">
        <v>0.0149474</v>
      </c>
      <c r="B16" s="29">
        <v>137161000</v>
      </c>
      <c r="D16" s="8">
        <v>0.0149472</v>
      </c>
      <c r="E16" s="29">
        <v>129928000</v>
      </c>
      <c r="G16" s="18">
        <v>0.0149769</v>
      </c>
      <c r="H16" s="29">
        <v>142548000</v>
      </c>
      <c r="L16" s="13"/>
      <c r="M16" s="9"/>
      <c r="N16" s="9"/>
      <c r="O16" s="13"/>
      <c r="P16" s="13"/>
      <c r="Q16" s="13"/>
      <c r="R16" s="13"/>
      <c r="S16" s="13"/>
      <c r="T16" s="13"/>
    </row>
    <row r="17" ht="17.25" customHeight="1" spans="1:20">
      <c r="A17" s="8">
        <v>0.0159852</v>
      </c>
      <c r="B17" s="29">
        <v>140975000</v>
      </c>
      <c r="D17" s="8">
        <v>0.0159618</v>
      </c>
      <c r="E17" s="29">
        <v>127975000</v>
      </c>
      <c r="G17" s="18">
        <v>0.0160264</v>
      </c>
      <c r="H17" s="29">
        <v>135267000</v>
      </c>
      <c r="L17" s="13"/>
      <c r="M17" s="9"/>
      <c r="N17" s="9"/>
      <c r="O17" s="13"/>
      <c r="P17" s="13"/>
      <c r="Q17" s="13"/>
      <c r="R17" s="13"/>
      <c r="S17" s="13"/>
      <c r="T17" s="13"/>
    </row>
    <row r="18" ht="17.25" customHeight="1" spans="1:20">
      <c r="A18" s="8">
        <v>0.0170433</v>
      </c>
      <c r="B18" s="29">
        <v>133067000</v>
      </c>
      <c r="D18" s="8">
        <v>0.017007</v>
      </c>
      <c r="E18" s="29">
        <v>129928000</v>
      </c>
      <c r="G18" s="18">
        <v>0.0170738</v>
      </c>
      <c r="H18" s="29">
        <v>131144000</v>
      </c>
      <c r="L18" s="13"/>
      <c r="M18" s="9"/>
      <c r="N18" s="9"/>
      <c r="O18" s="13"/>
      <c r="P18" s="13"/>
      <c r="Q18" s="13"/>
      <c r="R18" s="13"/>
      <c r="S18" s="13"/>
      <c r="T18" s="13"/>
    </row>
    <row r="19" ht="17.25" customHeight="1" spans="1:20">
      <c r="A19" s="8">
        <v>0.0180584</v>
      </c>
      <c r="B19" s="29">
        <v>139208000</v>
      </c>
      <c r="D19" s="8">
        <v>0.0179738</v>
      </c>
      <c r="E19" s="29">
        <v>136696000</v>
      </c>
      <c r="G19" s="18">
        <v>0.0179932</v>
      </c>
      <c r="H19" s="29">
        <v>141961000</v>
      </c>
      <c r="L19" s="13"/>
      <c r="M19" s="9"/>
      <c r="N19" s="9"/>
      <c r="O19" s="13"/>
      <c r="P19" s="13"/>
      <c r="Q19" s="13"/>
      <c r="R19" s="13"/>
      <c r="S19" s="13"/>
      <c r="T19" s="13"/>
    </row>
    <row r="20" ht="17.25" customHeight="1" spans="1:20">
      <c r="A20" s="8">
        <v>0.0190168</v>
      </c>
      <c r="B20" s="29">
        <v>144093000</v>
      </c>
      <c r="D20" s="8">
        <v>0.0189832</v>
      </c>
      <c r="E20" s="35">
        <v>139332000</v>
      </c>
      <c r="G20" s="18">
        <v>0.0190361</v>
      </c>
      <c r="H20" s="29">
        <v>140016000</v>
      </c>
      <c r="L20" s="13"/>
      <c r="M20" s="9"/>
      <c r="N20" s="9"/>
      <c r="O20" s="13"/>
      <c r="P20" s="13"/>
      <c r="Q20" s="13"/>
      <c r="R20" s="13"/>
      <c r="S20" s="13"/>
      <c r="T20" s="13"/>
    </row>
    <row r="21" ht="17.25" customHeight="1" spans="1:20">
      <c r="A21" s="8">
        <v>0.0199579</v>
      </c>
      <c r="B21" s="29">
        <v>138513000</v>
      </c>
      <c r="D21" s="8">
        <v>0.0199541</v>
      </c>
      <c r="E21" s="29">
        <v>138701000</v>
      </c>
      <c r="G21" s="18">
        <v>0.0200054</v>
      </c>
      <c r="H21" s="29">
        <v>135222000</v>
      </c>
      <c r="L21" s="13"/>
      <c r="M21" s="9"/>
      <c r="N21" s="9"/>
      <c r="O21" s="13"/>
      <c r="P21" s="13"/>
      <c r="Q21" s="13"/>
      <c r="R21" s="13"/>
      <c r="S21" s="13"/>
      <c r="T21" s="13"/>
    </row>
    <row r="22" ht="17.25" customHeight="1" spans="1:20">
      <c r="A22" s="8">
        <v>0.0209887</v>
      </c>
      <c r="B22" s="29">
        <v>125434000</v>
      </c>
      <c r="D22" s="8">
        <v>0.0210385</v>
      </c>
      <c r="E22" s="29">
        <v>127387000</v>
      </c>
      <c r="G22" s="18">
        <v>0.0210203</v>
      </c>
      <c r="H22" s="29">
        <v>129881000</v>
      </c>
      <c r="L22" s="13"/>
      <c r="M22" s="9"/>
      <c r="N22" s="9"/>
      <c r="O22" s="13"/>
      <c r="P22" s="13"/>
      <c r="Q22" s="13"/>
      <c r="R22" s="13"/>
      <c r="S22" s="13"/>
      <c r="T22" s="13"/>
    </row>
    <row r="23" ht="17.25" customHeight="1" spans="1:20">
      <c r="A23" s="8">
        <v>0.021935</v>
      </c>
      <c r="B23" s="29">
        <v>131318000</v>
      </c>
      <c r="D23" s="8">
        <v>0.0219496</v>
      </c>
      <c r="E23" s="29">
        <v>132422000</v>
      </c>
      <c r="G23" s="18">
        <v>0.0219689</v>
      </c>
      <c r="H23" s="29">
        <v>140307000</v>
      </c>
      <c r="L23" s="13"/>
      <c r="M23" s="9"/>
      <c r="N23" s="9"/>
      <c r="O23" s="13"/>
      <c r="P23" s="13"/>
      <c r="Q23" s="13"/>
      <c r="R23" s="13"/>
      <c r="S23" s="13"/>
      <c r="T23" s="13"/>
    </row>
    <row r="24" ht="17.25" customHeight="1" spans="1:20">
      <c r="A24" s="8">
        <v>0.0230163</v>
      </c>
      <c r="B24" s="29">
        <v>126917000</v>
      </c>
      <c r="D24" s="8">
        <v>0.0229712</v>
      </c>
      <c r="E24" s="29">
        <v>136867000</v>
      </c>
      <c r="G24" s="18"/>
      <c r="H24" s="29"/>
      <c r="L24" s="13"/>
      <c r="M24" s="9"/>
      <c r="N24" s="9"/>
      <c r="O24" s="13"/>
      <c r="P24" s="13"/>
      <c r="Q24" s="13"/>
      <c r="R24" s="13"/>
      <c r="S24" s="13"/>
      <c r="T24" s="13"/>
    </row>
    <row r="25" ht="17.25" customHeight="1" spans="1:20">
      <c r="A25" s="8">
        <v>0.0239765</v>
      </c>
      <c r="B25" s="29">
        <v>139939000</v>
      </c>
      <c r="D25" s="8">
        <v>0.0239014</v>
      </c>
      <c r="E25" s="29">
        <v>133515000</v>
      </c>
      <c r="G25" s="18"/>
      <c r="H25" s="29"/>
      <c r="L25" s="13"/>
      <c r="M25" s="9"/>
      <c r="N25" s="9"/>
      <c r="O25" s="13"/>
      <c r="P25" s="13"/>
      <c r="Q25" s="13"/>
      <c r="R25" s="13"/>
      <c r="S25" s="13"/>
      <c r="T25" s="13"/>
    </row>
    <row r="26" ht="17.25" customHeight="1" spans="1:20">
      <c r="A26" s="8">
        <v>0.025045</v>
      </c>
      <c r="B26" s="29">
        <v>125182000</v>
      </c>
      <c r="D26" s="8">
        <v>0.0249922</v>
      </c>
      <c r="E26" s="29">
        <v>127254000</v>
      </c>
      <c r="G26" s="18"/>
      <c r="H26" s="29"/>
      <c r="L26" s="13"/>
      <c r="M26" s="9"/>
      <c r="N26" s="9"/>
      <c r="O26" s="13"/>
      <c r="P26" s="13"/>
      <c r="Q26" s="13"/>
      <c r="R26" s="13"/>
      <c r="S26" s="13"/>
      <c r="T26" s="13"/>
    </row>
    <row r="27" ht="17.25" customHeight="1" spans="1:20">
      <c r="A27" s="8">
        <v>0.0260204</v>
      </c>
      <c r="B27" s="29">
        <v>129929000</v>
      </c>
      <c r="D27" s="8">
        <v>0.0260013</v>
      </c>
      <c r="E27" s="29">
        <v>121010000</v>
      </c>
      <c r="G27" s="18"/>
      <c r="H27" s="29"/>
      <c r="L27" s="13"/>
      <c r="M27" s="9"/>
      <c r="N27" s="9"/>
      <c r="O27" s="13"/>
      <c r="P27" s="13"/>
      <c r="Q27" s="13"/>
      <c r="R27" s="13"/>
      <c r="S27" s="13"/>
      <c r="T27" s="13"/>
    </row>
    <row r="28" ht="17.25" customHeight="1" spans="1:20">
      <c r="A28" s="8">
        <v>0.0269831</v>
      </c>
      <c r="B28" s="29">
        <v>132003000</v>
      </c>
      <c r="D28" s="8">
        <v>0.0270296</v>
      </c>
      <c r="E28" s="29">
        <v>117707000</v>
      </c>
      <c r="G28" s="18"/>
      <c r="H28" s="29"/>
      <c r="L28" s="13"/>
      <c r="M28" s="9"/>
      <c r="N28" s="9"/>
      <c r="O28" s="13"/>
      <c r="P28" s="13"/>
      <c r="Q28" s="13"/>
      <c r="R28" s="13"/>
      <c r="S28" s="13"/>
      <c r="T28" s="13"/>
    </row>
    <row r="29" ht="17.25" customHeight="1" spans="1:20">
      <c r="A29" s="8">
        <v>0.0280066</v>
      </c>
      <c r="B29" s="29">
        <v>140617000</v>
      </c>
      <c r="D29" s="8">
        <v>0.0279829</v>
      </c>
      <c r="E29" s="29">
        <v>113330000</v>
      </c>
      <c r="G29" s="18"/>
      <c r="H29" s="29"/>
      <c r="L29" s="13"/>
      <c r="M29" s="9"/>
      <c r="N29" s="9"/>
      <c r="O29" s="13"/>
      <c r="P29" s="13"/>
      <c r="Q29" s="13"/>
      <c r="R29" s="13"/>
      <c r="S29" s="13"/>
      <c r="T29" s="13"/>
    </row>
    <row r="30" ht="17.25" customHeight="1" spans="1:20">
      <c r="A30" s="8">
        <v>0.0290357</v>
      </c>
      <c r="B30" s="29">
        <v>129052000</v>
      </c>
      <c r="D30" s="18"/>
      <c r="E30" s="29"/>
      <c r="G30" s="18"/>
      <c r="H30" s="29"/>
      <c r="L30" s="13"/>
      <c r="M30" s="9"/>
      <c r="N30" s="9"/>
      <c r="O30" s="13"/>
      <c r="P30" s="13"/>
      <c r="Q30" s="13"/>
      <c r="R30" s="13"/>
      <c r="S30" s="13"/>
      <c r="T30" s="13"/>
    </row>
    <row r="31" ht="17.25" customHeight="1" spans="1:20">
      <c r="A31" s="8">
        <v>0.0299908</v>
      </c>
      <c r="B31" s="29">
        <v>129672000</v>
      </c>
      <c r="D31" s="18"/>
      <c r="E31" s="29"/>
      <c r="G31" s="18"/>
      <c r="H31" s="29"/>
      <c r="L31" s="13"/>
      <c r="M31" s="9"/>
      <c r="N31" s="9"/>
      <c r="O31" s="13"/>
      <c r="P31" s="13"/>
      <c r="Q31" s="13"/>
      <c r="R31" s="13"/>
      <c r="S31" s="13"/>
      <c r="T31" s="13"/>
    </row>
    <row r="32" ht="17.25" customHeight="1" spans="1:20">
      <c r="A32" s="18"/>
      <c r="B32" s="29"/>
      <c r="D32" s="18"/>
      <c r="E32" s="29"/>
      <c r="G32" s="18"/>
      <c r="H32" s="29"/>
      <c r="L32" s="13"/>
      <c r="M32" s="9"/>
      <c r="N32" s="9"/>
      <c r="O32" s="13"/>
      <c r="P32" s="13"/>
      <c r="Q32" s="13"/>
      <c r="R32" s="13"/>
      <c r="S32" s="13"/>
      <c r="T32" s="13"/>
    </row>
    <row r="33" ht="17.25" customHeight="1" spans="1:20">
      <c r="A33" s="18"/>
      <c r="B33" s="29"/>
      <c r="D33" s="18"/>
      <c r="E33" s="29"/>
      <c r="G33" s="18"/>
      <c r="H33" s="29"/>
      <c r="L33" s="13"/>
      <c r="M33" s="9"/>
      <c r="N33" s="9"/>
      <c r="O33" s="13"/>
      <c r="P33" s="13"/>
      <c r="Q33" s="13"/>
      <c r="R33" s="13"/>
      <c r="S33" s="13"/>
      <c r="T33" s="13"/>
    </row>
    <row r="34" ht="17.25" customHeight="1" spans="1:20">
      <c r="A34" s="18"/>
      <c r="B34" s="29"/>
      <c r="D34" s="18"/>
      <c r="E34" s="29"/>
      <c r="G34" s="18"/>
      <c r="H34" s="29"/>
      <c r="L34" s="13"/>
      <c r="M34" s="9"/>
      <c r="N34" s="9"/>
      <c r="O34" s="13"/>
      <c r="P34" s="13"/>
      <c r="Q34" s="13"/>
      <c r="R34" s="13"/>
      <c r="S34" s="13"/>
      <c r="T34" s="13"/>
    </row>
    <row r="35" ht="17.25" customHeight="1" spans="1:20">
      <c r="A35" s="18"/>
      <c r="B35" s="29"/>
      <c r="D35" s="18"/>
      <c r="E35" s="29"/>
      <c r="G35" s="18"/>
      <c r="H35" s="29"/>
      <c r="L35" s="13"/>
      <c r="M35" s="9"/>
      <c r="N35" s="9"/>
      <c r="O35" s="13"/>
      <c r="P35" s="13"/>
      <c r="Q35" s="13"/>
      <c r="R35" s="13"/>
      <c r="S35" s="13"/>
      <c r="T35" s="13"/>
    </row>
    <row r="36" ht="17.25" customHeight="1" spans="1:20">
      <c r="A36" s="18"/>
      <c r="B36" s="29"/>
      <c r="D36" s="18"/>
      <c r="E36" s="29"/>
      <c r="G36" s="18"/>
      <c r="H36" s="29"/>
      <c r="L36" s="13"/>
      <c r="M36" s="9"/>
      <c r="N36" s="9"/>
      <c r="O36" s="13"/>
      <c r="P36" s="13"/>
      <c r="Q36" s="13"/>
      <c r="R36" s="13"/>
      <c r="S36" s="13"/>
      <c r="T36" s="13"/>
    </row>
    <row r="37" ht="17.25" customHeight="1" spans="1:20">
      <c r="A37" s="18"/>
      <c r="B37" s="29"/>
      <c r="D37" s="18"/>
      <c r="E37" s="29"/>
      <c r="G37" s="18"/>
      <c r="H37" s="29"/>
      <c r="L37" s="13"/>
      <c r="M37" s="9"/>
      <c r="N37" s="9"/>
      <c r="O37" s="13"/>
      <c r="P37" s="13"/>
      <c r="Q37" s="13"/>
      <c r="R37" s="13"/>
      <c r="S37" s="13"/>
      <c r="T37" s="13"/>
    </row>
    <row r="38" ht="17.25" customHeight="1" spans="1:20">
      <c r="A38" s="18"/>
      <c r="B38" s="29"/>
      <c r="D38" s="18"/>
      <c r="E38" s="29"/>
      <c r="G38" s="18"/>
      <c r="H38" s="29"/>
      <c r="L38" s="13"/>
      <c r="M38" s="9"/>
      <c r="N38" s="9"/>
      <c r="O38" s="13"/>
      <c r="P38" s="13"/>
      <c r="Q38" s="13"/>
      <c r="R38" s="13"/>
      <c r="S38" s="13"/>
      <c r="T38" s="13"/>
    </row>
    <row r="39" ht="17.25" customHeight="1" spans="1:20">
      <c r="A39" s="18"/>
      <c r="B39" s="29"/>
      <c r="D39" s="18"/>
      <c r="E39" s="29"/>
      <c r="G39" s="18"/>
      <c r="H39" s="29"/>
      <c r="L39" s="13"/>
      <c r="M39" s="9"/>
      <c r="N39" s="9"/>
      <c r="O39" s="13"/>
      <c r="P39" s="13"/>
      <c r="Q39" s="13"/>
      <c r="R39" s="13"/>
      <c r="S39" s="13"/>
      <c r="T39" s="13"/>
    </row>
    <row r="40" ht="17.25" customHeight="1" spans="1:20">
      <c r="A40" s="18"/>
      <c r="B40" s="29"/>
      <c r="D40" s="18"/>
      <c r="E40" s="29"/>
      <c r="G40" s="18"/>
      <c r="H40" s="29"/>
      <c r="L40" s="13"/>
      <c r="M40" s="9"/>
      <c r="N40" s="9"/>
      <c r="O40" s="13"/>
      <c r="P40" s="13"/>
      <c r="Q40" s="13"/>
      <c r="R40" s="13"/>
      <c r="S40" s="13"/>
      <c r="T40" s="13"/>
    </row>
    <row r="41" ht="17.25" customHeight="1" spans="1:20">
      <c r="A41" s="18"/>
      <c r="B41" s="29"/>
      <c r="D41" s="18"/>
      <c r="E41" s="29"/>
      <c r="G41" s="18"/>
      <c r="H41" s="29"/>
      <c r="L41" s="13"/>
      <c r="M41" s="9"/>
      <c r="N41" s="9"/>
      <c r="O41" s="13"/>
      <c r="P41" s="13"/>
      <c r="Q41" s="13"/>
      <c r="R41" s="13"/>
      <c r="S41" s="13"/>
      <c r="T41" s="13"/>
    </row>
    <row r="42" ht="17.25" customHeight="1" spans="1:20">
      <c r="A42" s="18"/>
      <c r="B42" s="29"/>
      <c r="D42" s="18"/>
      <c r="E42" s="29"/>
      <c r="G42" s="18"/>
      <c r="H42" s="29"/>
      <c r="L42" s="13"/>
      <c r="M42" s="9"/>
      <c r="N42" s="9"/>
      <c r="O42" s="13"/>
      <c r="P42" s="13"/>
      <c r="Q42" s="13"/>
      <c r="R42" s="13"/>
      <c r="S42" s="13"/>
      <c r="T42" s="13"/>
    </row>
    <row r="43" ht="17.25" customHeight="1" spans="1:20">
      <c r="A43" s="18"/>
      <c r="B43" s="29"/>
      <c r="D43" s="18"/>
      <c r="E43" s="29"/>
      <c r="G43" s="18"/>
      <c r="H43" s="29"/>
      <c r="L43" s="13"/>
      <c r="M43" s="9"/>
      <c r="N43" s="9"/>
      <c r="O43" s="13"/>
      <c r="P43" s="13"/>
      <c r="Q43" s="13"/>
      <c r="R43" s="13"/>
      <c r="S43" s="13"/>
      <c r="T43" s="13"/>
    </row>
    <row r="44" ht="17.25" customHeight="1" spans="1:20">
      <c r="A44" s="18"/>
      <c r="B44" s="29"/>
      <c r="D44" s="18"/>
      <c r="E44" s="29"/>
      <c r="G44" s="18"/>
      <c r="H44" s="29"/>
      <c r="L44" s="13"/>
      <c r="M44" s="9"/>
      <c r="N44" s="9"/>
      <c r="O44" s="13"/>
      <c r="P44" s="13"/>
      <c r="Q44" s="13"/>
      <c r="R44" s="13"/>
      <c r="S44" s="13"/>
      <c r="T44" s="13"/>
    </row>
    <row r="45" ht="17.25" customHeight="1" spans="1:20">
      <c r="A45" s="18"/>
      <c r="B45" s="29"/>
      <c r="D45" s="18"/>
      <c r="E45" s="29"/>
      <c r="G45" s="18"/>
      <c r="H45" s="29"/>
      <c r="L45" s="13"/>
      <c r="M45" s="9"/>
      <c r="N45" s="9"/>
      <c r="O45" s="13"/>
      <c r="P45" s="13"/>
      <c r="Q45" s="13"/>
      <c r="R45" s="13"/>
      <c r="S45" s="13"/>
      <c r="T45" s="13"/>
    </row>
    <row r="46" ht="17.25" customHeight="1" spans="1:20">
      <c r="A46" s="18"/>
      <c r="B46" s="29"/>
      <c r="D46" s="18"/>
      <c r="E46" s="29"/>
      <c r="G46" s="18"/>
      <c r="H46" s="29"/>
      <c r="L46" s="13"/>
      <c r="M46" s="9"/>
      <c r="N46" s="9"/>
      <c r="O46" s="13"/>
      <c r="P46" s="13"/>
      <c r="Q46" s="13"/>
      <c r="R46" s="13"/>
      <c r="S46" s="13"/>
      <c r="T46" s="13"/>
    </row>
    <row r="47" ht="17.25" customHeight="1" spans="1:20">
      <c r="A47" s="18"/>
      <c r="B47" s="29"/>
      <c r="D47" s="18"/>
      <c r="E47" s="29"/>
      <c r="G47" s="18"/>
      <c r="H47" s="29"/>
      <c r="L47" s="13"/>
      <c r="M47" s="9"/>
      <c r="N47" s="9"/>
      <c r="O47" s="13"/>
      <c r="P47" s="13"/>
      <c r="Q47" s="13"/>
      <c r="R47" s="13"/>
      <c r="S47" s="13"/>
      <c r="T47" s="13"/>
    </row>
    <row r="48" ht="17.25" customHeight="1" spans="1:20">
      <c r="A48" s="18"/>
      <c r="B48" s="29"/>
      <c r="D48" s="18"/>
      <c r="E48" s="29"/>
      <c r="G48" s="18"/>
      <c r="H48" s="29"/>
      <c r="L48" s="13"/>
      <c r="M48" s="9"/>
      <c r="N48" s="9"/>
      <c r="O48" s="13"/>
      <c r="P48" s="13"/>
      <c r="Q48" s="13"/>
      <c r="R48" s="13"/>
      <c r="S48" s="13"/>
      <c r="T48" s="13"/>
    </row>
    <row r="49" ht="17.25" customHeight="1" spans="1:20">
      <c r="A49" s="18"/>
      <c r="B49" s="29"/>
      <c r="D49" s="18"/>
      <c r="E49" s="29"/>
      <c r="G49" s="18"/>
      <c r="H49" s="29"/>
      <c r="L49" s="13"/>
      <c r="M49" s="9"/>
      <c r="N49" s="9"/>
      <c r="O49" s="13"/>
      <c r="P49" s="13"/>
      <c r="Q49" s="13"/>
      <c r="R49" s="13"/>
      <c r="S49" s="13"/>
      <c r="T49" s="13"/>
    </row>
    <row r="50" ht="17.25" customHeight="1" spans="1:20">
      <c r="A50" s="18"/>
      <c r="B50" s="29"/>
      <c r="D50" s="18"/>
      <c r="E50" s="29"/>
      <c r="G50" s="18"/>
      <c r="H50" s="29"/>
      <c r="L50" s="13"/>
      <c r="M50" s="9"/>
      <c r="N50" s="9"/>
      <c r="O50" s="13"/>
      <c r="P50" s="13"/>
      <c r="Q50" s="13"/>
      <c r="R50" s="13"/>
      <c r="S50" s="13"/>
      <c r="T50" s="13"/>
    </row>
    <row r="51" ht="17.25" customHeight="1" spans="1:20">
      <c r="A51" s="18"/>
      <c r="B51" s="29"/>
      <c r="D51" s="18"/>
      <c r="E51" s="29"/>
      <c r="G51" s="18"/>
      <c r="H51" s="29"/>
      <c r="L51" s="13"/>
      <c r="M51" s="9"/>
      <c r="N51" s="9"/>
      <c r="O51" s="13"/>
      <c r="P51" s="13"/>
      <c r="Q51" s="13"/>
      <c r="R51" s="13"/>
      <c r="S51" s="13"/>
      <c r="T51" s="13"/>
    </row>
    <row r="52" ht="17.25" customHeight="1" spans="1:20">
      <c r="A52" s="18"/>
      <c r="B52" s="29"/>
      <c r="D52" s="18"/>
      <c r="E52" s="29"/>
      <c r="G52" s="18"/>
      <c r="H52" s="29"/>
      <c r="L52" s="13"/>
      <c r="M52" s="9"/>
      <c r="N52" s="9"/>
      <c r="O52" s="13"/>
      <c r="P52" s="13"/>
      <c r="Q52" s="13"/>
      <c r="R52" s="13"/>
      <c r="S52" s="13"/>
      <c r="T52" s="13"/>
    </row>
    <row r="53" ht="17.25" customHeight="1" spans="1:20">
      <c r="A53" s="18"/>
      <c r="B53" s="29"/>
      <c r="D53" s="18"/>
      <c r="E53" s="29"/>
      <c r="G53" s="18"/>
      <c r="H53" s="29"/>
      <c r="L53" s="13"/>
      <c r="M53" s="9"/>
      <c r="N53" s="9"/>
      <c r="O53" s="13"/>
      <c r="P53" s="13"/>
      <c r="Q53" s="13"/>
      <c r="R53" s="13"/>
      <c r="S53" s="13"/>
      <c r="T53" s="13"/>
    </row>
    <row r="54" ht="17.25" customHeight="1" spans="1:20">
      <c r="A54" s="9"/>
      <c r="B54" s="31"/>
      <c r="D54" s="18"/>
      <c r="E54" s="29"/>
      <c r="G54" s="18"/>
      <c r="H54" s="29"/>
      <c r="L54" s="13"/>
      <c r="M54" s="9"/>
      <c r="N54" s="9"/>
      <c r="O54" s="13"/>
      <c r="P54" s="13"/>
      <c r="Q54" s="13"/>
      <c r="R54" s="13"/>
      <c r="S54" s="13"/>
      <c r="T54" s="13"/>
    </row>
    <row r="55" ht="17.25" customHeight="1" spans="1:20">
      <c r="A55" s="9"/>
      <c r="B55" s="31"/>
      <c r="D55" s="18"/>
      <c r="E55" s="29"/>
      <c r="G55" s="18"/>
      <c r="H55" s="29"/>
      <c r="L55" s="13"/>
      <c r="M55" s="9"/>
      <c r="N55" s="9"/>
      <c r="O55" s="13"/>
      <c r="P55" s="13"/>
      <c r="Q55" s="13"/>
      <c r="R55" s="13"/>
      <c r="S55" s="13"/>
      <c r="T55" s="13"/>
    </row>
    <row r="56" ht="17.25" customHeight="1" spans="1:20">
      <c r="A56" s="9"/>
      <c r="B56" s="31"/>
      <c r="D56" s="18"/>
      <c r="E56" s="29"/>
      <c r="G56" s="18"/>
      <c r="H56" s="29"/>
      <c r="L56" s="13"/>
      <c r="M56" s="9"/>
      <c r="N56" s="9"/>
      <c r="O56" s="13"/>
      <c r="P56" s="13"/>
      <c r="Q56" s="13"/>
      <c r="R56" s="13"/>
      <c r="S56" s="13"/>
      <c r="T56" s="13"/>
    </row>
    <row r="57" ht="17.25" customHeight="1" spans="1:20">
      <c r="A57" s="9"/>
      <c r="B57" s="31"/>
      <c r="D57" s="18"/>
      <c r="E57" s="29"/>
      <c r="G57" s="18"/>
      <c r="H57" s="29"/>
      <c r="L57" s="13"/>
      <c r="M57" s="9"/>
      <c r="N57" s="9"/>
      <c r="O57" s="13"/>
      <c r="P57" s="13"/>
      <c r="Q57" s="13"/>
      <c r="R57" s="13"/>
      <c r="S57" s="13"/>
      <c r="T57" s="13"/>
    </row>
    <row r="58" ht="17.25" customHeight="1" spans="1:20">
      <c r="A58" s="9"/>
      <c r="B58" s="31"/>
      <c r="D58" s="18"/>
      <c r="E58" s="29"/>
      <c r="G58" s="18"/>
      <c r="H58" s="29"/>
      <c r="L58" s="13"/>
      <c r="M58" s="9"/>
      <c r="N58" s="9"/>
      <c r="O58" s="13"/>
      <c r="P58" s="13"/>
      <c r="Q58" s="13"/>
      <c r="R58" s="13"/>
      <c r="S58" s="13"/>
      <c r="T58" s="13"/>
    </row>
    <row r="59" ht="17.25" customHeight="1" spans="1:20">
      <c r="A59" s="9"/>
      <c r="B59" s="31"/>
      <c r="D59" s="18"/>
      <c r="E59" s="29"/>
      <c r="G59" s="9"/>
      <c r="H59" s="31"/>
      <c r="L59" s="13"/>
      <c r="M59" s="9"/>
      <c r="N59" s="9"/>
      <c r="O59" s="13"/>
      <c r="P59" s="13"/>
      <c r="Q59" s="13"/>
      <c r="R59" s="13"/>
      <c r="S59" s="13"/>
      <c r="T59" s="13"/>
    </row>
  </sheetData>
  <mergeCells count="4">
    <mergeCell ref="A1:B1"/>
    <mergeCell ref="D1:E1"/>
    <mergeCell ref="G1:H1"/>
    <mergeCell ref="K1:L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T83"/>
  <sheetViews>
    <sheetView topLeftCell="M1" workbookViewId="0">
      <selection activeCell="C82" sqref="C82"/>
    </sheetView>
  </sheetViews>
  <sheetFormatPr defaultColWidth="8.68148148148148" defaultRowHeight="15" customHeight="1"/>
  <cols>
    <col min="1" max="2" width="12.4296296296296" style="25" customWidth="1"/>
    <col min="3" max="12" width="8.86666666666667" style="26" customWidth="1"/>
    <col min="13" max="15" width="12.4296296296296" style="26" customWidth="1"/>
    <col min="16" max="25" width="8.86666666666667" style="26" customWidth="1"/>
    <col min="26" max="28" width="12.4296296296296" style="26" customWidth="1"/>
    <col min="29" max="36" width="8.86666666666667" style="26" customWidth="1"/>
    <col min="37" max="37" width="15.8518518518519" style="26" customWidth="1"/>
    <col min="38" max="38" width="15.162962962963" style="26" customWidth="1"/>
    <col min="39" max="46" width="12.4296296296296" style="26" customWidth="1"/>
    <col min="47" max="16384" width="8.68148148148148" style="27"/>
  </cols>
  <sheetData>
    <row r="1" ht="17.25" customHeight="1" spans="1:46">
      <c r="A1" s="28" t="s">
        <v>14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 t="s">
        <v>15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AA1" s="28" t="s">
        <v>16</v>
      </c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 t="s">
        <v>17</v>
      </c>
      <c r="AO1" s="28" t="s">
        <v>18</v>
      </c>
      <c r="AP1" s="28" t="s">
        <v>19</v>
      </c>
      <c r="AQ1" s="28" t="s">
        <v>20</v>
      </c>
      <c r="AR1" s="33" t="s">
        <v>21</v>
      </c>
      <c r="AS1" s="33" t="s">
        <v>22</v>
      </c>
      <c r="AT1" s="33" t="s">
        <v>23</v>
      </c>
    </row>
    <row r="2" ht="17.25" customHeight="1" spans="1:46">
      <c r="A2" s="29">
        <v>0.000979836</v>
      </c>
      <c r="B2" s="29">
        <v>0.00154619</v>
      </c>
      <c r="C2" s="29">
        <v>42132200000000</v>
      </c>
      <c r="D2" s="29">
        <v>482669000</v>
      </c>
      <c r="E2" s="29">
        <v>0</v>
      </c>
      <c r="F2" s="29">
        <v>0</v>
      </c>
      <c r="G2" s="29">
        <v>2</v>
      </c>
      <c r="H2" s="29">
        <v>9482760000000</v>
      </c>
      <c r="I2" s="29">
        <v>9394730000000</v>
      </c>
      <c r="J2" s="29">
        <v>9411260000000</v>
      </c>
      <c r="K2" s="29">
        <v>9419010000000</v>
      </c>
      <c r="L2" s="29">
        <v>4424440000000</v>
      </c>
      <c r="M2" s="29"/>
      <c r="N2" s="29">
        <v>0.000947025</v>
      </c>
      <c r="O2" s="29">
        <v>0.00145128</v>
      </c>
      <c r="P2" s="29">
        <v>41875300000000</v>
      </c>
      <c r="Q2" s="29">
        <v>441457000</v>
      </c>
      <c r="R2" s="29">
        <v>0</v>
      </c>
      <c r="S2" s="29">
        <v>0</v>
      </c>
      <c r="T2" s="29">
        <v>2</v>
      </c>
      <c r="U2" s="29">
        <v>9838250000000</v>
      </c>
      <c r="V2" s="29">
        <v>9830220000000</v>
      </c>
      <c r="W2" s="29">
        <v>9680460000000</v>
      </c>
      <c r="X2" s="29">
        <v>9813520000000</v>
      </c>
      <c r="Y2" s="29">
        <v>2712820000000</v>
      </c>
      <c r="Z2" s="30"/>
      <c r="AA2" s="29">
        <v>0.00101539</v>
      </c>
      <c r="AB2" s="29">
        <v>0.001502</v>
      </c>
      <c r="AC2" s="29">
        <v>41962300000000</v>
      </c>
      <c r="AD2" s="29">
        <v>688832000</v>
      </c>
      <c r="AE2" s="29">
        <v>0</v>
      </c>
      <c r="AF2" s="29">
        <v>0</v>
      </c>
      <c r="AG2" s="29">
        <v>2</v>
      </c>
      <c r="AH2" s="29">
        <v>9781040000000</v>
      </c>
      <c r="AI2" s="29">
        <v>9677630000000</v>
      </c>
      <c r="AJ2" s="29">
        <v>9864480000000</v>
      </c>
      <c r="AK2" s="29">
        <v>9805440000000</v>
      </c>
      <c r="AL2" s="29">
        <v>2833650000000</v>
      </c>
      <c r="AM2" s="29"/>
      <c r="AN2" s="32">
        <f t="shared" ref="AN2:AN31" si="0">A2</f>
        <v>0.000979836</v>
      </c>
      <c r="AO2" s="32">
        <f t="shared" ref="AO2:AO31" si="1">(C2+P2+AC2)/3</f>
        <v>41989933333333.3</v>
      </c>
      <c r="AP2" s="29">
        <f t="shared" ref="AP2:AP31" si="2">MIN(C2,P2,AC2)</f>
        <v>41875300000000</v>
      </c>
      <c r="AQ2" s="29">
        <f t="shared" ref="AQ2:AQ31" si="3">MAX(C2,P2,AC2)</f>
        <v>42132200000000</v>
      </c>
      <c r="AR2" s="29">
        <f t="shared" ref="AR2:AR31" si="4">(L2+Y2+AL2)/3</f>
        <v>3323636666666.67</v>
      </c>
      <c r="AS2" s="29">
        <f t="shared" ref="AS2:AS31" si="5">MIN(L2,Y2,AK2)</f>
        <v>2712820000000</v>
      </c>
      <c r="AT2" s="29">
        <f t="shared" ref="AT2:AT31" si="6">MAX(L2,Y2,AL2)</f>
        <v>4424440000000</v>
      </c>
    </row>
    <row r="3" ht="17.25" customHeight="1" spans="1:46">
      <c r="A3" s="29">
        <v>0.00198107</v>
      </c>
      <c r="B3" s="29">
        <v>0.00260194</v>
      </c>
      <c r="C3" s="29">
        <v>42970700000000</v>
      </c>
      <c r="D3" s="29">
        <v>537310000</v>
      </c>
      <c r="E3" s="29">
        <v>0</v>
      </c>
      <c r="F3" s="29">
        <v>0</v>
      </c>
      <c r="G3" s="29">
        <v>2</v>
      </c>
      <c r="H3" s="29">
        <v>9136360000000</v>
      </c>
      <c r="I3" s="29">
        <v>9311620000000</v>
      </c>
      <c r="J3" s="29">
        <v>9380620000000</v>
      </c>
      <c r="K3" s="29">
        <v>9455510000000</v>
      </c>
      <c r="L3" s="29">
        <v>5686600000000</v>
      </c>
      <c r="M3" s="29"/>
      <c r="N3" s="29">
        <v>0.00197476</v>
      </c>
      <c r="O3" s="29">
        <v>0.00254974</v>
      </c>
      <c r="P3" s="29">
        <v>42206200000000</v>
      </c>
      <c r="Q3" s="29">
        <v>598696000</v>
      </c>
      <c r="R3" s="29">
        <v>0</v>
      </c>
      <c r="S3" s="29">
        <v>0</v>
      </c>
      <c r="T3" s="29">
        <v>2</v>
      </c>
      <c r="U3" s="29">
        <v>9294820000000</v>
      </c>
      <c r="V3" s="29">
        <v>9421240000000</v>
      </c>
      <c r="W3" s="29">
        <v>9408050000000</v>
      </c>
      <c r="X3" s="29">
        <v>9232520000000</v>
      </c>
      <c r="Y3" s="29">
        <v>4849540000000</v>
      </c>
      <c r="Z3" s="30"/>
      <c r="AA3" s="29">
        <v>0.00192514</v>
      </c>
      <c r="AB3" s="29">
        <v>0.00246158</v>
      </c>
      <c r="AC3" s="29">
        <v>42426300000000</v>
      </c>
      <c r="AD3" s="29">
        <v>775545000</v>
      </c>
      <c r="AE3" s="29">
        <v>0</v>
      </c>
      <c r="AF3" s="29">
        <v>0</v>
      </c>
      <c r="AG3" s="29">
        <v>2</v>
      </c>
      <c r="AH3" s="29">
        <v>9196550000000</v>
      </c>
      <c r="AI3" s="29">
        <v>9325460000000</v>
      </c>
      <c r="AJ3" s="29">
        <v>9417160000000</v>
      </c>
      <c r="AK3" s="29">
        <v>9506430000000</v>
      </c>
      <c r="AL3" s="29">
        <v>4980560000000</v>
      </c>
      <c r="AM3" s="29"/>
      <c r="AN3" s="32">
        <f t="shared" si="0"/>
        <v>0.00198107</v>
      </c>
      <c r="AO3" s="32">
        <f t="shared" si="1"/>
        <v>42534400000000</v>
      </c>
      <c r="AP3" s="29">
        <f t="shared" si="2"/>
        <v>42206200000000</v>
      </c>
      <c r="AQ3" s="29">
        <f t="shared" si="3"/>
        <v>42970700000000</v>
      </c>
      <c r="AR3" s="29">
        <f t="shared" si="4"/>
        <v>5172233333333.33</v>
      </c>
      <c r="AS3" s="29">
        <f t="shared" si="5"/>
        <v>4849540000000</v>
      </c>
      <c r="AT3" s="29">
        <f t="shared" si="6"/>
        <v>5686600000000</v>
      </c>
    </row>
    <row r="4" ht="17.25" customHeight="1" spans="1:46">
      <c r="A4" s="29">
        <v>0.00300081</v>
      </c>
      <c r="B4" s="29">
        <v>0.00361562</v>
      </c>
      <c r="C4" s="29">
        <v>43035700000000</v>
      </c>
      <c r="D4" s="29">
        <v>583878000</v>
      </c>
      <c r="E4" s="29">
        <v>0</v>
      </c>
      <c r="F4" s="29">
        <v>0</v>
      </c>
      <c r="G4" s="29">
        <v>2</v>
      </c>
      <c r="H4" s="29">
        <v>9005460000000</v>
      </c>
      <c r="I4" s="29">
        <v>9105730000000</v>
      </c>
      <c r="J4" s="29">
        <v>8772300000000</v>
      </c>
      <c r="K4" s="29">
        <v>8984050000000</v>
      </c>
      <c r="L4" s="29">
        <v>7168030000000</v>
      </c>
      <c r="M4" s="29"/>
      <c r="N4" s="29">
        <v>0.00303845</v>
      </c>
      <c r="O4" s="29">
        <v>0.00365769</v>
      </c>
      <c r="P4" s="29">
        <v>42576600000000</v>
      </c>
      <c r="Q4" s="29">
        <v>545023000</v>
      </c>
      <c r="R4" s="29">
        <v>0</v>
      </c>
      <c r="S4" s="29">
        <v>0</v>
      </c>
      <c r="T4" s="29">
        <v>2</v>
      </c>
      <c r="U4" s="29">
        <v>8899870000000</v>
      </c>
      <c r="V4" s="29">
        <v>8806510000000</v>
      </c>
      <c r="W4" s="29">
        <v>8782640000000</v>
      </c>
      <c r="X4" s="29">
        <v>9034570000000</v>
      </c>
      <c r="Y4" s="29">
        <v>7052680000000</v>
      </c>
      <c r="Z4" s="30"/>
      <c r="AA4" s="29">
        <v>0.00297721</v>
      </c>
      <c r="AB4" s="29">
        <v>0.00355904</v>
      </c>
      <c r="AC4" s="29">
        <v>43011500000000</v>
      </c>
      <c r="AD4" s="29">
        <v>496670000</v>
      </c>
      <c r="AE4" s="29">
        <v>0</v>
      </c>
      <c r="AF4" s="29">
        <v>0</v>
      </c>
      <c r="AG4" s="29">
        <v>2</v>
      </c>
      <c r="AH4" s="29">
        <v>9176970000000</v>
      </c>
      <c r="AI4" s="29">
        <v>9393160000000</v>
      </c>
      <c r="AJ4" s="29">
        <v>9445280000000</v>
      </c>
      <c r="AK4" s="29">
        <v>9142690000000</v>
      </c>
      <c r="AL4" s="29">
        <v>5853180000000</v>
      </c>
      <c r="AM4" s="29"/>
      <c r="AN4" s="32">
        <f t="shared" si="0"/>
        <v>0.00300081</v>
      </c>
      <c r="AO4" s="32">
        <f t="shared" si="1"/>
        <v>42874600000000</v>
      </c>
      <c r="AP4" s="29">
        <f t="shared" si="2"/>
        <v>42576600000000</v>
      </c>
      <c r="AQ4" s="29">
        <f t="shared" si="3"/>
        <v>43035700000000</v>
      </c>
      <c r="AR4" s="29">
        <f t="shared" si="4"/>
        <v>6691296666666.67</v>
      </c>
      <c r="AS4" s="29">
        <f t="shared" si="5"/>
        <v>7052680000000</v>
      </c>
      <c r="AT4" s="29">
        <f t="shared" si="6"/>
        <v>7168030000000</v>
      </c>
    </row>
    <row r="5" ht="17.25" customHeight="1" spans="1:46">
      <c r="A5" s="29">
        <v>0.00399291</v>
      </c>
      <c r="B5" s="29">
        <v>0.00464331</v>
      </c>
      <c r="C5" s="29">
        <v>43206800000000</v>
      </c>
      <c r="D5" s="29">
        <v>1429090000</v>
      </c>
      <c r="E5" s="29">
        <v>0</v>
      </c>
      <c r="F5" s="29">
        <v>0</v>
      </c>
      <c r="G5" s="29">
        <v>2</v>
      </c>
      <c r="H5" s="29">
        <v>8750780000000</v>
      </c>
      <c r="I5" s="29">
        <v>9183070000000</v>
      </c>
      <c r="J5" s="29">
        <v>9208850000000</v>
      </c>
      <c r="K5" s="29">
        <v>8672620000000</v>
      </c>
      <c r="L5" s="29">
        <v>7391380000000</v>
      </c>
      <c r="M5" s="29"/>
      <c r="N5" s="29">
        <v>0.00399765</v>
      </c>
      <c r="O5" s="29">
        <v>0.00466943</v>
      </c>
      <c r="P5" s="29">
        <v>43332800000000</v>
      </c>
      <c r="Q5" s="29">
        <v>1114720000</v>
      </c>
      <c r="R5" s="29">
        <v>0</v>
      </c>
      <c r="S5" s="29">
        <v>0</v>
      </c>
      <c r="T5" s="29">
        <v>2</v>
      </c>
      <c r="U5" s="29">
        <v>8847290000000</v>
      </c>
      <c r="V5" s="29">
        <v>8701500000000</v>
      </c>
      <c r="W5" s="29">
        <v>8621210000000</v>
      </c>
      <c r="X5" s="29">
        <v>9168080000000</v>
      </c>
      <c r="Y5" s="29">
        <v>7994410000000</v>
      </c>
      <c r="Z5" s="30"/>
      <c r="AA5" s="29">
        <v>0.00400464</v>
      </c>
      <c r="AB5" s="29">
        <v>0.00460109</v>
      </c>
      <c r="AC5" s="29">
        <v>43229400000000</v>
      </c>
      <c r="AD5" s="29">
        <v>490745000</v>
      </c>
      <c r="AE5" s="29">
        <v>0</v>
      </c>
      <c r="AF5" s="29">
        <v>0</v>
      </c>
      <c r="AG5" s="29">
        <v>2</v>
      </c>
      <c r="AH5" s="29">
        <v>8957670000000</v>
      </c>
      <c r="AI5" s="29">
        <v>9193220000000</v>
      </c>
      <c r="AJ5" s="29">
        <v>9281450000000</v>
      </c>
      <c r="AK5" s="29">
        <v>9105240000000</v>
      </c>
      <c r="AL5" s="29">
        <v>6691790000000</v>
      </c>
      <c r="AM5" s="29"/>
      <c r="AN5" s="32">
        <f t="shared" si="0"/>
        <v>0.00399291</v>
      </c>
      <c r="AO5" s="32">
        <f t="shared" si="1"/>
        <v>43256333333333.3</v>
      </c>
      <c r="AP5" s="29">
        <f t="shared" si="2"/>
        <v>43206800000000</v>
      </c>
      <c r="AQ5" s="29">
        <f t="shared" si="3"/>
        <v>43332800000000</v>
      </c>
      <c r="AR5" s="29">
        <f t="shared" si="4"/>
        <v>7359193333333.33</v>
      </c>
      <c r="AS5" s="29">
        <f t="shared" si="5"/>
        <v>7391380000000</v>
      </c>
      <c r="AT5" s="29">
        <f t="shared" si="6"/>
        <v>7994410000000</v>
      </c>
    </row>
    <row r="6" ht="17.25" customHeight="1" spans="1:46">
      <c r="A6" s="29">
        <v>0.00501552</v>
      </c>
      <c r="B6" s="29">
        <v>0.00565661</v>
      </c>
      <c r="C6" s="29">
        <v>43764500000000</v>
      </c>
      <c r="D6" s="29">
        <v>1020400000</v>
      </c>
      <c r="E6" s="29">
        <v>0</v>
      </c>
      <c r="F6" s="29">
        <v>0</v>
      </c>
      <c r="G6" s="29">
        <v>2</v>
      </c>
      <c r="H6" s="29">
        <v>9140680000000</v>
      </c>
      <c r="I6" s="29">
        <v>8744720000000</v>
      </c>
      <c r="J6" s="29">
        <v>8546250000000</v>
      </c>
      <c r="K6" s="29">
        <v>8723030000000</v>
      </c>
      <c r="L6" s="29">
        <v>8609470000000</v>
      </c>
      <c r="M6" s="29"/>
      <c r="N6" s="29">
        <v>0.00502331</v>
      </c>
      <c r="O6" s="29">
        <v>0.00565186</v>
      </c>
      <c r="P6" s="29">
        <v>43372000000000</v>
      </c>
      <c r="Q6" s="29">
        <v>897811000</v>
      </c>
      <c r="R6" s="29">
        <v>0</v>
      </c>
      <c r="S6" s="29">
        <v>0</v>
      </c>
      <c r="T6" s="29">
        <v>2</v>
      </c>
      <c r="U6" s="29">
        <v>8793920000000</v>
      </c>
      <c r="V6" s="29">
        <v>8927510000000</v>
      </c>
      <c r="W6" s="29">
        <v>8491930000000</v>
      </c>
      <c r="X6" s="29">
        <v>8848350000000</v>
      </c>
      <c r="Y6" s="29">
        <v>8307490000000</v>
      </c>
      <c r="Z6" s="30"/>
      <c r="AA6" s="29">
        <v>0.00500943</v>
      </c>
      <c r="AB6" s="29">
        <v>0.00561003</v>
      </c>
      <c r="AC6" s="29">
        <v>43248900000000</v>
      </c>
      <c r="AD6" s="29">
        <v>1100130000</v>
      </c>
      <c r="AE6" s="29">
        <v>0</v>
      </c>
      <c r="AF6" s="29">
        <v>0</v>
      </c>
      <c r="AG6" s="29">
        <v>2</v>
      </c>
      <c r="AH6" s="29">
        <v>8582430000000</v>
      </c>
      <c r="AI6" s="29">
        <v>9402560000000</v>
      </c>
      <c r="AJ6" s="29">
        <v>9414350000000</v>
      </c>
      <c r="AK6" s="29">
        <v>8587530000000</v>
      </c>
      <c r="AL6" s="29">
        <v>7261410000000</v>
      </c>
      <c r="AM6" s="29"/>
      <c r="AN6" s="32">
        <f t="shared" si="0"/>
        <v>0.00501552</v>
      </c>
      <c r="AO6" s="32">
        <f t="shared" si="1"/>
        <v>43461800000000</v>
      </c>
      <c r="AP6" s="29">
        <f t="shared" si="2"/>
        <v>43248900000000</v>
      </c>
      <c r="AQ6" s="29">
        <f t="shared" si="3"/>
        <v>43764500000000</v>
      </c>
      <c r="AR6" s="29">
        <f t="shared" si="4"/>
        <v>8059456666666.67</v>
      </c>
      <c r="AS6" s="29">
        <f t="shared" si="5"/>
        <v>8307490000000</v>
      </c>
      <c r="AT6" s="29">
        <f t="shared" si="6"/>
        <v>8609470000000</v>
      </c>
    </row>
    <row r="7" ht="17.25" customHeight="1" spans="1:46">
      <c r="A7" s="29">
        <v>0.00600413</v>
      </c>
      <c r="B7" s="29">
        <v>0.00667195</v>
      </c>
      <c r="C7" s="29">
        <v>44621000000000</v>
      </c>
      <c r="D7" s="29">
        <v>1264490000</v>
      </c>
      <c r="E7" s="29">
        <v>0</v>
      </c>
      <c r="F7" s="29">
        <v>0</v>
      </c>
      <c r="G7" s="29">
        <v>2</v>
      </c>
      <c r="H7" s="29">
        <v>9042230000000</v>
      </c>
      <c r="I7" s="29">
        <v>9418260000000</v>
      </c>
      <c r="J7" s="29">
        <v>8102360000000</v>
      </c>
      <c r="K7" s="29">
        <v>8639960000000</v>
      </c>
      <c r="L7" s="29">
        <v>9417820000000</v>
      </c>
      <c r="M7" s="29"/>
      <c r="N7" s="29">
        <v>0.0059798</v>
      </c>
      <c r="O7" s="29">
        <v>0.00661853</v>
      </c>
      <c r="P7" s="29">
        <v>43023800000000</v>
      </c>
      <c r="Q7" s="29">
        <v>791695000</v>
      </c>
      <c r="R7" s="29">
        <v>0</v>
      </c>
      <c r="S7" s="29">
        <v>0</v>
      </c>
      <c r="T7" s="29">
        <v>2</v>
      </c>
      <c r="U7" s="29">
        <v>8135420000000</v>
      </c>
      <c r="V7" s="29">
        <v>8870460000000</v>
      </c>
      <c r="W7" s="29">
        <v>8328550000000</v>
      </c>
      <c r="X7" s="29">
        <v>8982530000000</v>
      </c>
      <c r="Y7" s="29">
        <v>8706210000000</v>
      </c>
      <c r="Z7" s="30"/>
      <c r="AA7" s="29">
        <v>0.00596348</v>
      </c>
      <c r="AB7" s="29">
        <v>0.0065414</v>
      </c>
      <c r="AC7" s="29">
        <v>43641600000000</v>
      </c>
      <c r="AD7" s="29">
        <v>1075440000</v>
      </c>
      <c r="AE7" s="29">
        <v>0</v>
      </c>
      <c r="AF7" s="29">
        <v>0</v>
      </c>
      <c r="AG7" s="29">
        <v>2</v>
      </c>
      <c r="AH7" s="29">
        <v>8243770000000</v>
      </c>
      <c r="AI7" s="29">
        <v>9728710000000</v>
      </c>
      <c r="AJ7" s="29">
        <v>9825060000000</v>
      </c>
      <c r="AK7" s="29">
        <v>8536250000000</v>
      </c>
      <c r="AL7" s="29">
        <v>7306170000000</v>
      </c>
      <c r="AM7" s="29"/>
      <c r="AN7" s="32">
        <f t="shared" si="0"/>
        <v>0.00600413</v>
      </c>
      <c r="AO7" s="32">
        <f t="shared" si="1"/>
        <v>43762133333333.3</v>
      </c>
      <c r="AP7" s="29">
        <f t="shared" si="2"/>
        <v>43023800000000</v>
      </c>
      <c r="AQ7" s="29">
        <f t="shared" si="3"/>
        <v>44621000000000</v>
      </c>
      <c r="AR7" s="29">
        <f t="shared" si="4"/>
        <v>8476733333333.33</v>
      </c>
      <c r="AS7" s="29">
        <f t="shared" si="5"/>
        <v>8536250000000</v>
      </c>
      <c r="AT7" s="29">
        <f t="shared" si="6"/>
        <v>9417820000000</v>
      </c>
    </row>
    <row r="8" ht="17.25" customHeight="1" spans="1:46">
      <c r="A8" s="29">
        <v>0.00699409</v>
      </c>
      <c r="B8" s="29">
        <v>0.00760552</v>
      </c>
      <c r="C8" s="29">
        <v>46082700000000</v>
      </c>
      <c r="D8" s="29">
        <v>1202190000</v>
      </c>
      <c r="E8" s="29">
        <v>0</v>
      </c>
      <c r="F8" s="29">
        <v>0</v>
      </c>
      <c r="G8" s="29">
        <v>2</v>
      </c>
      <c r="H8" s="29">
        <v>9736010000000</v>
      </c>
      <c r="I8" s="29">
        <v>9848630000000</v>
      </c>
      <c r="J8" s="29">
        <v>8431230000000</v>
      </c>
      <c r="K8" s="29">
        <v>8288730000000</v>
      </c>
      <c r="L8" s="29">
        <v>9777990000000</v>
      </c>
      <c r="M8" s="29"/>
      <c r="N8" s="29">
        <v>0.00700893</v>
      </c>
      <c r="O8" s="29">
        <v>0.00764448</v>
      </c>
      <c r="P8" s="29">
        <v>43363600000000</v>
      </c>
      <c r="Q8" s="29">
        <v>964050000</v>
      </c>
      <c r="R8" s="29">
        <v>0</v>
      </c>
      <c r="S8" s="29">
        <v>0</v>
      </c>
      <c r="T8" s="29">
        <v>2</v>
      </c>
      <c r="U8" s="29">
        <v>8224700000000</v>
      </c>
      <c r="V8" s="29">
        <v>9042770000000</v>
      </c>
      <c r="W8" s="29">
        <v>8457360000000</v>
      </c>
      <c r="X8" s="29">
        <v>9419130000000</v>
      </c>
      <c r="Y8" s="29">
        <v>8218380000000</v>
      </c>
      <c r="Z8" s="30"/>
      <c r="AA8" s="29">
        <v>0.00695336</v>
      </c>
      <c r="AB8" s="29">
        <v>0.00754177</v>
      </c>
      <c r="AC8" s="29">
        <v>43725000000000</v>
      </c>
      <c r="AD8" s="29">
        <v>922034000</v>
      </c>
      <c r="AE8" s="29">
        <v>0</v>
      </c>
      <c r="AF8" s="29">
        <v>0</v>
      </c>
      <c r="AG8" s="29">
        <v>2</v>
      </c>
      <c r="AH8" s="29">
        <v>8290260000000</v>
      </c>
      <c r="AI8" s="29">
        <v>9648920000000</v>
      </c>
      <c r="AJ8" s="29">
        <v>9797730000000</v>
      </c>
      <c r="AK8" s="29">
        <v>8348270000000</v>
      </c>
      <c r="AL8" s="29">
        <v>7639190000000</v>
      </c>
      <c r="AM8" s="29"/>
      <c r="AN8" s="32">
        <f t="shared" si="0"/>
        <v>0.00699409</v>
      </c>
      <c r="AO8" s="32">
        <f t="shared" si="1"/>
        <v>44390433333333.3</v>
      </c>
      <c r="AP8" s="29">
        <f t="shared" si="2"/>
        <v>43363600000000</v>
      </c>
      <c r="AQ8" s="29">
        <f t="shared" si="3"/>
        <v>46082700000000</v>
      </c>
      <c r="AR8" s="29">
        <f t="shared" si="4"/>
        <v>8545186666666.67</v>
      </c>
      <c r="AS8" s="29">
        <f t="shared" si="5"/>
        <v>8218380000000</v>
      </c>
      <c r="AT8" s="29">
        <f t="shared" si="6"/>
        <v>9777990000000</v>
      </c>
    </row>
    <row r="9" ht="17.25" customHeight="1" spans="1:46">
      <c r="A9" s="29">
        <v>0.00797905</v>
      </c>
      <c r="B9" s="29">
        <v>0.00863018</v>
      </c>
      <c r="C9" s="29">
        <v>45312300000000</v>
      </c>
      <c r="D9" s="29">
        <v>1373680000</v>
      </c>
      <c r="E9" s="29">
        <v>0</v>
      </c>
      <c r="F9" s="29">
        <v>0</v>
      </c>
      <c r="G9" s="29">
        <v>2</v>
      </c>
      <c r="H9" s="29">
        <v>9405250000000</v>
      </c>
      <c r="I9" s="29">
        <v>9001050000000</v>
      </c>
      <c r="J9" s="29">
        <v>7778790000000</v>
      </c>
      <c r="K9" s="29">
        <v>7647060000000</v>
      </c>
      <c r="L9" s="29">
        <v>11478300000000</v>
      </c>
      <c r="M9" s="29"/>
      <c r="N9" s="29">
        <v>0.00801375</v>
      </c>
      <c r="O9" s="29">
        <v>0.00864607</v>
      </c>
      <c r="P9" s="29">
        <v>43532600000000</v>
      </c>
      <c r="Q9" s="29">
        <v>874927000</v>
      </c>
      <c r="R9" s="29">
        <v>0</v>
      </c>
      <c r="S9" s="29">
        <v>0</v>
      </c>
      <c r="T9" s="29">
        <v>2</v>
      </c>
      <c r="U9" s="29">
        <v>7899240000000</v>
      </c>
      <c r="V9" s="29">
        <v>8961920000000</v>
      </c>
      <c r="W9" s="29">
        <v>8172900000000</v>
      </c>
      <c r="X9" s="29">
        <v>9454740000000</v>
      </c>
      <c r="Y9" s="29">
        <v>9042510000000</v>
      </c>
      <c r="Z9" s="30"/>
      <c r="AA9" s="29">
        <v>0.00800524</v>
      </c>
      <c r="AB9" s="29">
        <v>0.00862223</v>
      </c>
      <c r="AC9" s="29">
        <v>43527400000000</v>
      </c>
      <c r="AD9" s="29">
        <v>1693300000</v>
      </c>
      <c r="AE9" s="29">
        <v>0</v>
      </c>
      <c r="AF9" s="29">
        <v>0</v>
      </c>
      <c r="AG9" s="29">
        <v>2</v>
      </c>
      <c r="AH9" s="29">
        <v>7901430000000</v>
      </c>
      <c r="AI9" s="29">
        <v>9257480000000</v>
      </c>
      <c r="AJ9" s="29">
        <v>9101840000000</v>
      </c>
      <c r="AK9" s="29">
        <v>8061460000000</v>
      </c>
      <c r="AL9" s="29">
        <v>9204730000000</v>
      </c>
      <c r="AM9" s="29"/>
      <c r="AN9" s="32">
        <f t="shared" si="0"/>
        <v>0.00797905</v>
      </c>
      <c r="AO9" s="32">
        <f t="shared" si="1"/>
        <v>44124100000000</v>
      </c>
      <c r="AP9" s="29">
        <f t="shared" si="2"/>
        <v>43527400000000</v>
      </c>
      <c r="AQ9" s="29">
        <f t="shared" si="3"/>
        <v>45312300000000</v>
      </c>
      <c r="AR9" s="29">
        <f t="shared" si="4"/>
        <v>9908513333333.33</v>
      </c>
      <c r="AS9" s="29">
        <f t="shared" si="5"/>
        <v>8061460000000</v>
      </c>
      <c r="AT9" s="29">
        <f t="shared" si="6"/>
        <v>11478300000000</v>
      </c>
    </row>
    <row r="10" ht="17.25" customHeight="1" spans="1:46">
      <c r="A10" s="29">
        <v>0.00894196</v>
      </c>
      <c r="B10" s="29">
        <v>0.00960707</v>
      </c>
      <c r="C10" s="29">
        <v>45515900000000</v>
      </c>
      <c r="D10" s="29">
        <v>1444420000</v>
      </c>
      <c r="E10" s="29">
        <v>0</v>
      </c>
      <c r="F10" s="29">
        <v>0</v>
      </c>
      <c r="G10" s="29">
        <v>2</v>
      </c>
      <c r="H10" s="29">
        <v>9186950000000</v>
      </c>
      <c r="I10" s="29">
        <v>8678640000000</v>
      </c>
      <c r="J10" s="29">
        <v>8007440000000</v>
      </c>
      <c r="K10" s="29">
        <v>7945290000000</v>
      </c>
      <c r="L10" s="29">
        <v>11696700000000</v>
      </c>
      <c r="M10" s="29"/>
      <c r="N10" s="29">
        <v>0.00904663</v>
      </c>
      <c r="O10" s="29">
        <v>0.00966208</v>
      </c>
      <c r="P10" s="29">
        <v>43741100000000</v>
      </c>
      <c r="Q10" s="29">
        <v>856627000</v>
      </c>
      <c r="R10" s="29">
        <v>0</v>
      </c>
      <c r="S10" s="29">
        <v>0</v>
      </c>
      <c r="T10" s="29">
        <v>2</v>
      </c>
      <c r="U10" s="29">
        <v>7646040000000</v>
      </c>
      <c r="V10" s="29">
        <v>8544210000000</v>
      </c>
      <c r="W10" s="29">
        <v>8486490000000</v>
      </c>
      <c r="X10" s="29">
        <v>9277590000000</v>
      </c>
      <c r="Y10" s="29">
        <v>9785500000000</v>
      </c>
      <c r="Z10" s="30"/>
      <c r="AA10" s="29">
        <v>0.00903004</v>
      </c>
      <c r="AB10" s="29">
        <v>0.00969025</v>
      </c>
      <c r="AC10" s="29">
        <v>44070800000000</v>
      </c>
      <c r="AD10" s="29">
        <v>1589760000</v>
      </c>
      <c r="AE10" s="29">
        <v>0</v>
      </c>
      <c r="AF10" s="29">
        <v>0</v>
      </c>
      <c r="AG10" s="29">
        <v>2</v>
      </c>
      <c r="AH10" s="29">
        <v>7489440000000</v>
      </c>
      <c r="AI10" s="29">
        <v>9248370000000</v>
      </c>
      <c r="AJ10" s="29">
        <v>9023170000000</v>
      </c>
      <c r="AK10" s="29">
        <v>7759800000000</v>
      </c>
      <c r="AL10" s="29">
        <v>10548600000000</v>
      </c>
      <c r="AM10" s="29"/>
      <c r="AN10" s="32">
        <f t="shared" si="0"/>
        <v>0.00894196</v>
      </c>
      <c r="AO10" s="32">
        <f t="shared" si="1"/>
        <v>44442600000000</v>
      </c>
      <c r="AP10" s="29">
        <f t="shared" si="2"/>
        <v>43741100000000</v>
      </c>
      <c r="AQ10" s="29">
        <f t="shared" si="3"/>
        <v>45515900000000</v>
      </c>
      <c r="AR10" s="29">
        <f t="shared" si="4"/>
        <v>10676933333333.3</v>
      </c>
      <c r="AS10" s="29">
        <f t="shared" si="5"/>
        <v>7759800000000</v>
      </c>
      <c r="AT10" s="29">
        <f t="shared" si="6"/>
        <v>11696700000000</v>
      </c>
    </row>
    <row r="11" ht="17.25" customHeight="1" spans="1:46">
      <c r="A11" s="29">
        <v>0.00998976</v>
      </c>
      <c r="B11" s="29">
        <v>0.0106021</v>
      </c>
      <c r="C11" s="29">
        <v>46393900000000</v>
      </c>
      <c r="D11" s="29">
        <v>1673970000</v>
      </c>
      <c r="E11" s="29">
        <v>0</v>
      </c>
      <c r="F11" s="29">
        <v>0</v>
      </c>
      <c r="G11" s="29">
        <v>2</v>
      </c>
      <c r="H11" s="29">
        <v>9719860000000</v>
      </c>
      <c r="I11" s="29">
        <v>8902860000000</v>
      </c>
      <c r="J11" s="29">
        <v>8036600000000</v>
      </c>
      <c r="K11" s="29">
        <v>8314230000000</v>
      </c>
      <c r="L11" s="29">
        <v>11417900000000</v>
      </c>
      <c r="M11" s="29"/>
      <c r="N11" s="29">
        <v>0.0100531</v>
      </c>
      <c r="O11" s="29">
        <v>0.0106489</v>
      </c>
      <c r="P11" s="29">
        <v>45107600000000</v>
      </c>
      <c r="Q11" s="29">
        <v>784828000</v>
      </c>
      <c r="R11" s="29">
        <v>0</v>
      </c>
      <c r="S11" s="29">
        <v>0</v>
      </c>
      <c r="T11" s="29">
        <v>2</v>
      </c>
      <c r="U11" s="29">
        <v>7501860000000</v>
      </c>
      <c r="V11" s="29">
        <v>9197030000000</v>
      </c>
      <c r="W11" s="29">
        <v>7555910000000</v>
      </c>
      <c r="X11" s="29">
        <v>9750560000000</v>
      </c>
      <c r="Y11" s="29">
        <v>11099900000000</v>
      </c>
      <c r="Z11" s="30"/>
      <c r="AA11" s="29">
        <v>0.0100922</v>
      </c>
      <c r="AB11" s="29">
        <v>0.0107362</v>
      </c>
      <c r="AC11" s="29">
        <v>45240900000000</v>
      </c>
      <c r="AD11" s="29">
        <v>1100910000</v>
      </c>
      <c r="AE11" s="29">
        <v>0</v>
      </c>
      <c r="AF11" s="29">
        <v>0</v>
      </c>
      <c r="AG11" s="29">
        <v>2</v>
      </c>
      <c r="AH11" s="29">
        <v>7348580000000</v>
      </c>
      <c r="AI11" s="29">
        <v>9619040000000</v>
      </c>
      <c r="AJ11" s="29">
        <v>9300850000000</v>
      </c>
      <c r="AK11" s="29">
        <v>7683160000000</v>
      </c>
      <c r="AL11" s="29">
        <v>11284100000000</v>
      </c>
      <c r="AM11" s="29"/>
      <c r="AN11" s="32">
        <f t="shared" si="0"/>
        <v>0.00998976</v>
      </c>
      <c r="AO11" s="32">
        <f t="shared" si="1"/>
        <v>45580800000000</v>
      </c>
      <c r="AP11" s="29">
        <f t="shared" si="2"/>
        <v>45107600000000</v>
      </c>
      <c r="AQ11" s="29">
        <f t="shared" si="3"/>
        <v>46393900000000</v>
      </c>
      <c r="AR11" s="29">
        <f t="shared" si="4"/>
        <v>11267300000000</v>
      </c>
      <c r="AS11" s="29">
        <f t="shared" si="5"/>
        <v>7683160000000</v>
      </c>
      <c r="AT11" s="29">
        <f t="shared" si="6"/>
        <v>11417900000000</v>
      </c>
    </row>
    <row r="12" ht="17.25" customHeight="1" spans="1:46">
      <c r="A12" s="29">
        <v>0.010991</v>
      </c>
      <c r="B12" s="29">
        <v>0.0115471</v>
      </c>
      <c r="C12" s="29">
        <v>45838200000000</v>
      </c>
      <c r="D12" s="29">
        <v>1112280000</v>
      </c>
      <c r="E12" s="29">
        <v>0</v>
      </c>
      <c r="F12" s="29">
        <v>0</v>
      </c>
      <c r="G12" s="29">
        <v>2</v>
      </c>
      <c r="H12" s="29">
        <v>9439470000000</v>
      </c>
      <c r="I12" s="29">
        <v>8156840000000</v>
      </c>
      <c r="J12" s="29">
        <v>7998710000000</v>
      </c>
      <c r="K12" s="29">
        <v>8625060000000</v>
      </c>
      <c r="L12" s="29">
        <v>11617800000000</v>
      </c>
      <c r="M12" s="29"/>
      <c r="N12" s="29">
        <v>0.0109228</v>
      </c>
      <c r="O12" s="29">
        <v>0.0115526</v>
      </c>
      <c r="P12" s="29">
        <v>44108500000000</v>
      </c>
      <c r="Q12" s="29">
        <v>1951770000</v>
      </c>
      <c r="R12" s="29">
        <v>0</v>
      </c>
      <c r="S12" s="29">
        <v>0</v>
      </c>
      <c r="T12" s="29">
        <v>2</v>
      </c>
      <c r="U12" s="29">
        <v>6559770000000</v>
      </c>
      <c r="V12" s="29">
        <v>8638100000000</v>
      </c>
      <c r="W12" s="29">
        <v>7326670000000</v>
      </c>
      <c r="X12" s="29">
        <v>9279280000000</v>
      </c>
      <c r="Y12" s="29">
        <v>12303700000000</v>
      </c>
      <c r="Z12" s="30"/>
      <c r="AA12" s="29">
        <v>0.0109426</v>
      </c>
      <c r="AB12" s="29">
        <v>0.0116062</v>
      </c>
      <c r="AC12" s="29">
        <v>45458600000000</v>
      </c>
      <c r="AD12" s="29">
        <v>2594470000</v>
      </c>
      <c r="AE12" s="29">
        <v>0</v>
      </c>
      <c r="AF12" s="29">
        <v>0</v>
      </c>
      <c r="AG12" s="29">
        <v>2</v>
      </c>
      <c r="AH12" s="29">
        <v>7160660000000</v>
      </c>
      <c r="AI12" s="29">
        <v>9365200000000</v>
      </c>
      <c r="AJ12" s="29">
        <v>8682940000000</v>
      </c>
      <c r="AK12" s="29">
        <v>7648420000000</v>
      </c>
      <c r="AL12" s="29">
        <v>12599800000000</v>
      </c>
      <c r="AM12" s="29"/>
      <c r="AN12" s="32">
        <f t="shared" si="0"/>
        <v>0.010991</v>
      </c>
      <c r="AO12" s="32">
        <f t="shared" si="1"/>
        <v>45135100000000</v>
      </c>
      <c r="AP12" s="29">
        <f t="shared" si="2"/>
        <v>44108500000000</v>
      </c>
      <c r="AQ12" s="29">
        <f t="shared" si="3"/>
        <v>45838200000000</v>
      </c>
      <c r="AR12" s="29">
        <f t="shared" si="4"/>
        <v>12173766666666.7</v>
      </c>
      <c r="AS12" s="29">
        <f t="shared" si="5"/>
        <v>7648420000000</v>
      </c>
      <c r="AT12" s="29">
        <f t="shared" si="6"/>
        <v>12599800000000</v>
      </c>
    </row>
    <row r="13" ht="17.25" customHeight="1" spans="1:46">
      <c r="A13" s="29">
        <v>0.0118884</v>
      </c>
      <c r="B13" s="29">
        <v>0.0125468</v>
      </c>
      <c r="C13" s="29">
        <v>44385300000000</v>
      </c>
      <c r="D13" s="29">
        <v>1615960000</v>
      </c>
      <c r="E13" s="29">
        <v>0</v>
      </c>
      <c r="F13" s="29">
        <v>0</v>
      </c>
      <c r="G13" s="29">
        <v>2</v>
      </c>
      <c r="H13" s="29">
        <v>8557110000000</v>
      </c>
      <c r="I13" s="29">
        <v>7442850000000</v>
      </c>
      <c r="J13" s="29">
        <v>8001320000000</v>
      </c>
      <c r="K13" s="29">
        <v>7447680000000</v>
      </c>
      <c r="L13" s="29">
        <v>12935800000000</v>
      </c>
      <c r="M13" s="29"/>
      <c r="N13" s="29">
        <v>0.0119744</v>
      </c>
      <c r="O13" s="29">
        <v>0.0126616</v>
      </c>
      <c r="P13" s="29">
        <v>44209200000000</v>
      </c>
      <c r="Q13" s="29">
        <v>1931340000</v>
      </c>
      <c r="R13" s="29">
        <v>0</v>
      </c>
      <c r="S13" s="29">
        <v>0</v>
      </c>
      <c r="T13" s="29">
        <v>2</v>
      </c>
      <c r="U13" s="29">
        <v>6529010000000</v>
      </c>
      <c r="V13" s="29">
        <v>7782650000000</v>
      </c>
      <c r="W13" s="29">
        <v>7510790000000</v>
      </c>
      <c r="X13" s="29">
        <v>9136500000000</v>
      </c>
      <c r="Y13" s="29">
        <v>13249100000000</v>
      </c>
      <c r="Z13" s="30"/>
      <c r="AA13" s="29">
        <v>0.0119424</v>
      </c>
      <c r="AB13" s="29">
        <v>0.0126463</v>
      </c>
      <c r="AC13" s="29">
        <v>46293700000000</v>
      </c>
      <c r="AD13" s="29">
        <v>1408540000</v>
      </c>
      <c r="AE13" s="29">
        <v>0</v>
      </c>
      <c r="AF13" s="29">
        <v>0</v>
      </c>
      <c r="AG13" s="29">
        <v>2</v>
      </c>
      <c r="AH13" s="29">
        <v>7703250000000</v>
      </c>
      <c r="AI13" s="29">
        <v>8936360000000</v>
      </c>
      <c r="AJ13" s="29">
        <v>8186680000000</v>
      </c>
      <c r="AK13" s="29">
        <v>9094850000000</v>
      </c>
      <c r="AL13" s="29">
        <v>12368900000000</v>
      </c>
      <c r="AM13" s="29"/>
      <c r="AN13" s="32">
        <f t="shared" si="0"/>
        <v>0.0118884</v>
      </c>
      <c r="AO13" s="32">
        <f t="shared" si="1"/>
        <v>44962733333333.3</v>
      </c>
      <c r="AP13" s="29">
        <f t="shared" si="2"/>
        <v>44209200000000</v>
      </c>
      <c r="AQ13" s="29">
        <f t="shared" si="3"/>
        <v>46293700000000</v>
      </c>
      <c r="AR13" s="29">
        <f t="shared" si="4"/>
        <v>12851266666666.7</v>
      </c>
      <c r="AS13" s="29">
        <f t="shared" si="5"/>
        <v>9094850000000</v>
      </c>
      <c r="AT13" s="29">
        <f t="shared" si="6"/>
        <v>13249100000000</v>
      </c>
    </row>
    <row r="14" ht="17.25" customHeight="1" spans="1:46">
      <c r="A14" s="29">
        <v>0.0129353</v>
      </c>
      <c r="B14" s="29">
        <v>0.0136089</v>
      </c>
      <c r="C14" s="29">
        <v>43712300000000</v>
      </c>
      <c r="D14" s="29">
        <v>1815570000</v>
      </c>
      <c r="E14" s="29">
        <v>0</v>
      </c>
      <c r="F14" s="29">
        <v>0</v>
      </c>
      <c r="G14" s="29">
        <v>2</v>
      </c>
      <c r="H14" s="29">
        <v>8182170000000</v>
      </c>
      <c r="I14" s="29">
        <v>7721570000000</v>
      </c>
      <c r="J14" s="29">
        <v>7291000000000</v>
      </c>
      <c r="K14" s="29">
        <v>6536020000000</v>
      </c>
      <c r="L14" s="29">
        <v>13980800000000</v>
      </c>
      <c r="M14" s="29"/>
      <c r="N14" s="29">
        <v>0.0130362</v>
      </c>
      <c r="O14" s="29">
        <v>0.0136799</v>
      </c>
      <c r="P14" s="29">
        <v>45005500000000</v>
      </c>
      <c r="Q14" s="29">
        <v>1481810000</v>
      </c>
      <c r="R14" s="29">
        <v>0</v>
      </c>
      <c r="S14" s="29">
        <v>0</v>
      </c>
      <c r="T14" s="29">
        <v>2</v>
      </c>
      <c r="U14" s="29">
        <v>7318310000000</v>
      </c>
      <c r="V14" s="29">
        <v>8307080000000</v>
      </c>
      <c r="W14" s="29">
        <v>8119790000000</v>
      </c>
      <c r="X14" s="29">
        <v>9460070000000</v>
      </c>
      <c r="Y14" s="29">
        <v>11795100000000</v>
      </c>
      <c r="Z14" s="30"/>
      <c r="AA14" s="29">
        <v>0.0130057</v>
      </c>
      <c r="AB14" s="29">
        <v>0.0136314</v>
      </c>
      <c r="AC14" s="29">
        <v>46624600000000</v>
      </c>
      <c r="AD14" s="29">
        <v>1514120000</v>
      </c>
      <c r="AE14" s="29">
        <v>0</v>
      </c>
      <c r="AF14" s="29">
        <v>0</v>
      </c>
      <c r="AG14" s="29">
        <v>2</v>
      </c>
      <c r="AH14" s="29">
        <v>7780840000000</v>
      </c>
      <c r="AI14" s="29">
        <v>8959810000000</v>
      </c>
      <c r="AJ14" s="29">
        <v>8901420000000</v>
      </c>
      <c r="AK14" s="29">
        <v>8182300000000</v>
      </c>
      <c r="AL14" s="29">
        <v>12794400000000</v>
      </c>
      <c r="AM14" s="29"/>
      <c r="AN14" s="32">
        <f t="shared" si="0"/>
        <v>0.0129353</v>
      </c>
      <c r="AO14" s="32">
        <f t="shared" si="1"/>
        <v>45114133333333.3</v>
      </c>
      <c r="AP14" s="29">
        <f t="shared" si="2"/>
        <v>43712300000000</v>
      </c>
      <c r="AQ14" s="29">
        <f t="shared" si="3"/>
        <v>46624600000000</v>
      </c>
      <c r="AR14" s="29">
        <f t="shared" si="4"/>
        <v>12856766666666.7</v>
      </c>
      <c r="AS14" s="29">
        <f t="shared" si="5"/>
        <v>8182300000000</v>
      </c>
      <c r="AT14" s="29">
        <f t="shared" si="6"/>
        <v>13980800000000</v>
      </c>
    </row>
    <row r="15" ht="17.25" customHeight="1" spans="1:46">
      <c r="A15" s="29">
        <v>0.0140125</v>
      </c>
      <c r="B15" s="29">
        <v>0.0146753</v>
      </c>
      <c r="C15" s="29">
        <v>44420700000000</v>
      </c>
      <c r="D15" s="29">
        <v>1417620000</v>
      </c>
      <c r="E15" s="29">
        <v>0</v>
      </c>
      <c r="F15" s="29">
        <v>0</v>
      </c>
      <c r="G15" s="29">
        <v>2</v>
      </c>
      <c r="H15" s="29">
        <v>8109710000000</v>
      </c>
      <c r="I15" s="29">
        <v>7815500000000</v>
      </c>
      <c r="J15" s="29">
        <v>7199000000000</v>
      </c>
      <c r="K15" s="29">
        <v>6881730000000</v>
      </c>
      <c r="L15" s="29">
        <v>14413800000000</v>
      </c>
      <c r="M15" s="29"/>
      <c r="N15" s="29">
        <v>0.0138916</v>
      </c>
      <c r="O15" s="29">
        <v>0.0145289</v>
      </c>
      <c r="P15" s="29">
        <v>44884600000000</v>
      </c>
      <c r="Q15" s="29">
        <v>1165820000</v>
      </c>
      <c r="R15" s="29">
        <v>0</v>
      </c>
      <c r="S15" s="29">
        <v>0</v>
      </c>
      <c r="T15" s="29">
        <v>2</v>
      </c>
      <c r="U15" s="29">
        <v>7561430000000</v>
      </c>
      <c r="V15" s="29">
        <v>8412570000000</v>
      </c>
      <c r="W15" s="29">
        <v>8251970000000</v>
      </c>
      <c r="X15" s="29">
        <v>9093670000000</v>
      </c>
      <c r="Y15" s="29">
        <v>11562700000000</v>
      </c>
      <c r="Z15" s="30"/>
      <c r="AA15" s="29">
        <v>0.0140601</v>
      </c>
      <c r="AB15" s="29">
        <v>0.0146807</v>
      </c>
      <c r="AC15" s="29">
        <v>46926900000000</v>
      </c>
      <c r="AD15" s="29">
        <v>1463260000</v>
      </c>
      <c r="AE15" s="29">
        <v>0</v>
      </c>
      <c r="AF15" s="29">
        <v>0</v>
      </c>
      <c r="AG15" s="29">
        <v>2</v>
      </c>
      <c r="AH15" s="29">
        <v>7397380000000</v>
      </c>
      <c r="AI15" s="29">
        <v>9308340000000</v>
      </c>
      <c r="AJ15" s="29">
        <v>9070160000000</v>
      </c>
      <c r="AK15" s="29">
        <v>9040170000000</v>
      </c>
      <c r="AL15" s="29">
        <v>12110300000000</v>
      </c>
      <c r="AM15" s="29"/>
      <c r="AN15" s="32">
        <f t="shared" si="0"/>
        <v>0.0140125</v>
      </c>
      <c r="AO15" s="32">
        <f t="shared" si="1"/>
        <v>45410733333333.3</v>
      </c>
      <c r="AP15" s="29">
        <f t="shared" si="2"/>
        <v>44420700000000</v>
      </c>
      <c r="AQ15" s="29">
        <f t="shared" si="3"/>
        <v>46926900000000</v>
      </c>
      <c r="AR15" s="29">
        <f t="shared" si="4"/>
        <v>12695600000000</v>
      </c>
      <c r="AS15" s="29">
        <f t="shared" si="5"/>
        <v>9040170000000</v>
      </c>
      <c r="AT15" s="29">
        <f t="shared" si="6"/>
        <v>14413800000000</v>
      </c>
    </row>
    <row r="16" ht="17.25" customHeight="1" spans="1:46">
      <c r="A16" s="29">
        <v>0.0149474</v>
      </c>
      <c r="B16" s="29">
        <v>0.015601</v>
      </c>
      <c r="C16" s="29">
        <v>44999500000000</v>
      </c>
      <c r="D16" s="29">
        <v>2196260000</v>
      </c>
      <c r="E16" s="29">
        <v>0</v>
      </c>
      <c r="F16" s="29">
        <v>0</v>
      </c>
      <c r="G16" s="29">
        <v>2</v>
      </c>
      <c r="H16" s="29">
        <v>8176000000000</v>
      </c>
      <c r="I16" s="29">
        <v>7810100000000</v>
      </c>
      <c r="J16" s="29">
        <v>7636400000000</v>
      </c>
      <c r="K16" s="29">
        <v>6741270000000</v>
      </c>
      <c r="L16" s="29">
        <v>14634300000000</v>
      </c>
      <c r="M16" s="29"/>
      <c r="N16" s="29">
        <v>0.0149472</v>
      </c>
      <c r="O16" s="29">
        <v>0.0155664</v>
      </c>
      <c r="P16" s="29">
        <v>43570200000000</v>
      </c>
      <c r="Q16" s="29">
        <v>1458600000</v>
      </c>
      <c r="R16" s="29">
        <v>0</v>
      </c>
      <c r="S16" s="29">
        <v>0</v>
      </c>
      <c r="T16" s="29">
        <v>2</v>
      </c>
      <c r="U16" s="29">
        <v>7622830000000</v>
      </c>
      <c r="V16" s="29">
        <v>7533350000000</v>
      </c>
      <c r="W16" s="29">
        <v>8476300000000</v>
      </c>
      <c r="X16" s="29">
        <v>8817100000000</v>
      </c>
      <c r="Y16" s="29">
        <v>11119800000000</v>
      </c>
      <c r="Z16" s="30"/>
      <c r="AA16" s="29">
        <v>0.0149769</v>
      </c>
      <c r="AB16" s="29">
        <v>0.0156561</v>
      </c>
      <c r="AC16" s="29">
        <v>45291900000000</v>
      </c>
      <c r="AD16" s="29">
        <v>1731930000</v>
      </c>
      <c r="AE16" s="29">
        <v>0</v>
      </c>
      <c r="AF16" s="29">
        <v>0</v>
      </c>
      <c r="AG16" s="29">
        <v>2</v>
      </c>
      <c r="AH16" s="29">
        <v>6679640000000</v>
      </c>
      <c r="AI16" s="29">
        <v>9002250000000</v>
      </c>
      <c r="AJ16" s="29">
        <v>8602510000000</v>
      </c>
      <c r="AK16" s="29">
        <v>9193100000000</v>
      </c>
      <c r="AL16" s="29">
        <v>11812400000000</v>
      </c>
      <c r="AM16" s="29"/>
      <c r="AN16" s="32">
        <f t="shared" si="0"/>
        <v>0.0149474</v>
      </c>
      <c r="AO16" s="32">
        <f t="shared" si="1"/>
        <v>44620533333333.3</v>
      </c>
      <c r="AP16" s="29">
        <f t="shared" si="2"/>
        <v>43570200000000</v>
      </c>
      <c r="AQ16" s="29">
        <f t="shared" si="3"/>
        <v>45291900000000</v>
      </c>
      <c r="AR16" s="29">
        <f t="shared" si="4"/>
        <v>12522166666666.7</v>
      </c>
      <c r="AS16" s="29">
        <f t="shared" si="5"/>
        <v>9193100000000</v>
      </c>
      <c r="AT16" s="29">
        <f t="shared" si="6"/>
        <v>14634300000000</v>
      </c>
    </row>
    <row r="17" ht="17.25" customHeight="1" spans="1:46">
      <c r="A17" s="29">
        <v>0.0159852</v>
      </c>
      <c r="B17" s="29">
        <v>0.016657</v>
      </c>
      <c r="C17" s="29">
        <v>44458700000000</v>
      </c>
      <c r="D17" s="29">
        <v>2450930000</v>
      </c>
      <c r="E17" s="29">
        <v>0</v>
      </c>
      <c r="F17" s="29">
        <v>0</v>
      </c>
      <c r="G17" s="29">
        <v>2</v>
      </c>
      <c r="H17" s="29">
        <v>8012820000000</v>
      </c>
      <c r="I17" s="29">
        <v>7701810000000</v>
      </c>
      <c r="J17" s="29">
        <v>7460090000000</v>
      </c>
      <c r="K17" s="29">
        <v>6931000000000</v>
      </c>
      <c r="L17" s="29">
        <v>14349100000000</v>
      </c>
      <c r="M17" s="29"/>
      <c r="N17" s="29">
        <v>0.0159618</v>
      </c>
      <c r="O17" s="29">
        <v>0.0165716</v>
      </c>
      <c r="P17" s="29">
        <v>43360000000000</v>
      </c>
      <c r="Q17" s="29">
        <v>1645710000</v>
      </c>
      <c r="R17" s="29">
        <v>0</v>
      </c>
      <c r="S17" s="29">
        <v>0</v>
      </c>
      <c r="T17" s="29">
        <v>2</v>
      </c>
      <c r="U17" s="29">
        <v>7360730000000</v>
      </c>
      <c r="V17" s="29">
        <v>7910000000000</v>
      </c>
      <c r="W17" s="29">
        <v>8669070000000</v>
      </c>
      <c r="X17" s="29">
        <v>8499440000000</v>
      </c>
      <c r="Y17" s="29">
        <v>10915400000000</v>
      </c>
      <c r="Z17" s="30"/>
      <c r="AA17" s="29">
        <v>0.0160264</v>
      </c>
      <c r="AB17" s="29">
        <v>0.016671</v>
      </c>
      <c r="AC17" s="29">
        <v>46659800000000</v>
      </c>
      <c r="AD17" s="29">
        <v>1609940000</v>
      </c>
      <c r="AE17" s="29">
        <v>0</v>
      </c>
      <c r="AF17" s="29">
        <v>0</v>
      </c>
      <c r="AG17" s="29">
        <v>2</v>
      </c>
      <c r="AH17" s="29">
        <v>7357870000000</v>
      </c>
      <c r="AI17" s="29">
        <v>8782240000000</v>
      </c>
      <c r="AJ17" s="29">
        <v>8423460000000</v>
      </c>
      <c r="AK17" s="29">
        <v>10238700000000</v>
      </c>
      <c r="AL17" s="29">
        <v>11856900000000</v>
      </c>
      <c r="AM17" s="29"/>
      <c r="AN17" s="32">
        <f t="shared" si="0"/>
        <v>0.0159852</v>
      </c>
      <c r="AO17" s="32">
        <f t="shared" si="1"/>
        <v>44826166666666.7</v>
      </c>
      <c r="AP17" s="29">
        <f t="shared" si="2"/>
        <v>43360000000000</v>
      </c>
      <c r="AQ17" s="29">
        <f t="shared" si="3"/>
        <v>46659800000000</v>
      </c>
      <c r="AR17" s="29">
        <f t="shared" si="4"/>
        <v>12373800000000</v>
      </c>
      <c r="AS17" s="29">
        <f t="shared" si="5"/>
        <v>10238700000000</v>
      </c>
      <c r="AT17" s="29">
        <f t="shared" si="6"/>
        <v>14349100000000</v>
      </c>
    </row>
    <row r="18" ht="17.25" customHeight="1" spans="1:46">
      <c r="A18" s="29">
        <v>0.0170433</v>
      </c>
      <c r="B18" s="29">
        <v>0.0176773</v>
      </c>
      <c r="C18" s="29">
        <v>45245100000000</v>
      </c>
      <c r="D18" s="29">
        <v>1633590000</v>
      </c>
      <c r="E18" s="29">
        <v>0</v>
      </c>
      <c r="F18" s="29">
        <v>0</v>
      </c>
      <c r="G18" s="29">
        <v>2</v>
      </c>
      <c r="H18" s="29">
        <v>8204650000000</v>
      </c>
      <c r="I18" s="29">
        <v>8036190000000</v>
      </c>
      <c r="J18" s="29">
        <v>7574890000000</v>
      </c>
      <c r="K18" s="29">
        <v>7116730000000</v>
      </c>
      <c r="L18" s="29">
        <v>14311400000000</v>
      </c>
      <c r="M18" s="29"/>
      <c r="N18" s="29">
        <v>0.017007</v>
      </c>
      <c r="O18" s="29">
        <v>0.0176261</v>
      </c>
      <c r="P18" s="29">
        <v>44058800000000</v>
      </c>
      <c r="Q18" s="29">
        <v>1327440000</v>
      </c>
      <c r="R18" s="29">
        <v>0</v>
      </c>
      <c r="S18" s="29">
        <v>0</v>
      </c>
      <c r="T18" s="29">
        <v>2</v>
      </c>
      <c r="U18" s="29">
        <v>7491330000000</v>
      </c>
      <c r="V18" s="29">
        <v>8118420000000</v>
      </c>
      <c r="W18" s="29">
        <v>8575680000000</v>
      </c>
      <c r="X18" s="29">
        <v>8417970000000</v>
      </c>
      <c r="Y18" s="29">
        <v>11453300000000</v>
      </c>
      <c r="Z18" s="30"/>
      <c r="AA18" s="30">
        <v>0.0170738</v>
      </c>
      <c r="AB18" s="29">
        <v>0.0176987</v>
      </c>
      <c r="AC18" s="29">
        <v>45663100000000</v>
      </c>
      <c r="AD18" s="29">
        <v>1977660000</v>
      </c>
      <c r="AE18" s="29">
        <v>0</v>
      </c>
      <c r="AF18" s="29">
        <v>0</v>
      </c>
      <c r="AG18" s="29">
        <v>2</v>
      </c>
      <c r="AH18" s="29">
        <v>6442580000000</v>
      </c>
      <c r="AI18" s="29">
        <v>8241370000000</v>
      </c>
      <c r="AJ18" s="29">
        <v>8680130000000</v>
      </c>
      <c r="AK18" s="29">
        <v>9204910000000</v>
      </c>
      <c r="AL18" s="29">
        <v>13093600000000</v>
      </c>
      <c r="AM18" s="29"/>
      <c r="AN18" s="32">
        <f t="shared" si="0"/>
        <v>0.0170433</v>
      </c>
      <c r="AO18" s="32">
        <f t="shared" si="1"/>
        <v>44989000000000</v>
      </c>
      <c r="AP18" s="29">
        <f t="shared" si="2"/>
        <v>44058800000000</v>
      </c>
      <c r="AQ18" s="29">
        <f t="shared" si="3"/>
        <v>45663100000000</v>
      </c>
      <c r="AR18" s="29">
        <f t="shared" si="4"/>
        <v>12952766666666.7</v>
      </c>
      <c r="AS18" s="29">
        <f t="shared" si="5"/>
        <v>9204910000000</v>
      </c>
      <c r="AT18" s="29">
        <f t="shared" si="6"/>
        <v>14311400000000</v>
      </c>
    </row>
    <row r="19" ht="17.25" customHeight="1" spans="1:46">
      <c r="A19" s="29">
        <v>0.0180584</v>
      </c>
      <c r="B19" s="29">
        <v>0.0187218</v>
      </c>
      <c r="C19" s="29">
        <v>43587000000000</v>
      </c>
      <c r="D19" s="29">
        <v>1832750000</v>
      </c>
      <c r="E19" s="29">
        <v>0</v>
      </c>
      <c r="F19" s="29">
        <v>0</v>
      </c>
      <c r="G19" s="29">
        <v>2</v>
      </c>
      <c r="H19" s="29">
        <v>7632040000000</v>
      </c>
      <c r="I19" s="29">
        <v>7602110000000</v>
      </c>
      <c r="J19" s="29">
        <v>8190350000000</v>
      </c>
      <c r="K19" s="29">
        <v>6892100000000</v>
      </c>
      <c r="L19" s="29">
        <v>13269400000000</v>
      </c>
      <c r="M19" s="29"/>
      <c r="N19" s="29">
        <v>0.0179738</v>
      </c>
      <c r="O19" s="29">
        <v>0.0186252</v>
      </c>
      <c r="P19" s="29">
        <v>44179500000000</v>
      </c>
      <c r="Q19" s="29">
        <v>1546400000</v>
      </c>
      <c r="R19" s="29">
        <v>0</v>
      </c>
      <c r="S19" s="29">
        <v>0</v>
      </c>
      <c r="T19" s="29">
        <v>2</v>
      </c>
      <c r="U19" s="29">
        <v>8157910000000</v>
      </c>
      <c r="V19" s="29">
        <v>7727320000000</v>
      </c>
      <c r="W19" s="29">
        <v>8509170000000</v>
      </c>
      <c r="X19" s="29">
        <v>8325490000000</v>
      </c>
      <c r="Y19" s="29">
        <v>11458700000000</v>
      </c>
      <c r="Z19" s="30"/>
      <c r="AA19" s="30">
        <v>0.0179932</v>
      </c>
      <c r="AB19" s="29">
        <v>0.0186697</v>
      </c>
      <c r="AC19" s="29">
        <v>45815400000000</v>
      </c>
      <c r="AD19" s="29">
        <v>2061530000</v>
      </c>
      <c r="AE19" s="29">
        <v>0</v>
      </c>
      <c r="AF19" s="29">
        <v>0</v>
      </c>
      <c r="AG19" s="29">
        <v>2</v>
      </c>
      <c r="AH19" s="29">
        <v>6053690000000</v>
      </c>
      <c r="AI19" s="29">
        <v>8440490000000</v>
      </c>
      <c r="AJ19" s="29">
        <v>8903700000000</v>
      </c>
      <c r="AK19" s="29">
        <v>8911200000000</v>
      </c>
      <c r="AL19" s="29">
        <v>13505000000000</v>
      </c>
      <c r="AM19" s="29"/>
      <c r="AN19" s="32">
        <f t="shared" si="0"/>
        <v>0.0180584</v>
      </c>
      <c r="AO19" s="32">
        <f t="shared" si="1"/>
        <v>44527300000000</v>
      </c>
      <c r="AP19" s="29">
        <f t="shared" si="2"/>
        <v>43587000000000</v>
      </c>
      <c r="AQ19" s="29">
        <f t="shared" si="3"/>
        <v>45815400000000</v>
      </c>
      <c r="AR19" s="29">
        <f t="shared" si="4"/>
        <v>12744366666666.7</v>
      </c>
      <c r="AS19" s="29">
        <f t="shared" si="5"/>
        <v>8911200000000</v>
      </c>
      <c r="AT19" s="29">
        <f t="shared" si="6"/>
        <v>13505000000000</v>
      </c>
    </row>
    <row r="20" ht="17.25" customHeight="1" spans="1:46">
      <c r="A20" s="29">
        <v>0.0190168</v>
      </c>
      <c r="B20" s="29">
        <v>0.0197034</v>
      </c>
      <c r="C20" s="29">
        <v>43461200000000</v>
      </c>
      <c r="D20" s="29">
        <v>2277800000</v>
      </c>
      <c r="E20" s="29">
        <v>0</v>
      </c>
      <c r="F20" s="29">
        <v>0</v>
      </c>
      <c r="G20" s="29">
        <v>2</v>
      </c>
      <c r="H20" s="29">
        <v>6910490000000</v>
      </c>
      <c r="I20" s="29">
        <v>7836290000000</v>
      </c>
      <c r="J20" s="29">
        <v>7564940000000</v>
      </c>
      <c r="K20" s="29">
        <v>6746770000000</v>
      </c>
      <c r="L20" s="29">
        <v>14401600000000</v>
      </c>
      <c r="N20" s="29">
        <v>0.0189832</v>
      </c>
      <c r="O20" s="29">
        <v>0.0196471</v>
      </c>
      <c r="P20" s="29">
        <v>44290800000000</v>
      </c>
      <c r="Q20" s="29">
        <v>3529600000</v>
      </c>
      <c r="R20" s="29">
        <v>0</v>
      </c>
      <c r="S20" s="29">
        <v>0</v>
      </c>
      <c r="T20" s="29">
        <v>2</v>
      </c>
      <c r="U20" s="29">
        <v>7207360000000</v>
      </c>
      <c r="V20" s="29">
        <v>8036050000000</v>
      </c>
      <c r="W20" s="29">
        <v>8323110000000</v>
      </c>
      <c r="X20" s="29">
        <v>8330640000000</v>
      </c>
      <c r="Y20" s="29">
        <v>12393100000000</v>
      </c>
      <c r="Z20" s="30"/>
      <c r="AA20" s="30">
        <v>0.0190361</v>
      </c>
      <c r="AB20" s="29">
        <v>0.0197033</v>
      </c>
      <c r="AC20" s="29">
        <v>46830000000000</v>
      </c>
      <c r="AD20" s="29">
        <v>1798310000</v>
      </c>
      <c r="AE20" s="29">
        <v>0</v>
      </c>
      <c r="AF20" s="29">
        <v>0</v>
      </c>
      <c r="AG20" s="29">
        <v>2</v>
      </c>
      <c r="AH20" s="29">
        <v>6490720000000</v>
      </c>
      <c r="AI20" s="29">
        <v>8699900000000</v>
      </c>
      <c r="AJ20" s="29">
        <v>10315800000000</v>
      </c>
      <c r="AK20" s="29">
        <v>9009180000000</v>
      </c>
      <c r="AL20" s="29">
        <v>12314000000000</v>
      </c>
      <c r="AM20" s="29"/>
      <c r="AN20" s="32">
        <f t="shared" si="0"/>
        <v>0.0190168</v>
      </c>
      <c r="AO20" s="32">
        <f t="shared" si="1"/>
        <v>44860666666666.7</v>
      </c>
      <c r="AP20" s="29">
        <f t="shared" si="2"/>
        <v>43461200000000</v>
      </c>
      <c r="AQ20" s="29">
        <f t="shared" si="3"/>
        <v>46830000000000</v>
      </c>
      <c r="AR20" s="29">
        <f t="shared" si="4"/>
        <v>13036233333333.3</v>
      </c>
      <c r="AS20" s="29">
        <f t="shared" si="5"/>
        <v>9009180000000</v>
      </c>
      <c r="AT20" s="29">
        <f t="shared" si="6"/>
        <v>14401600000000</v>
      </c>
    </row>
    <row r="21" ht="17.25" customHeight="1" spans="1:46">
      <c r="A21" s="29">
        <v>0.0199579</v>
      </c>
      <c r="B21" s="29">
        <v>0.020618</v>
      </c>
      <c r="C21" s="29">
        <v>43800900000000</v>
      </c>
      <c r="D21" s="29">
        <v>1693400000</v>
      </c>
      <c r="E21" s="29">
        <v>0</v>
      </c>
      <c r="F21" s="29">
        <v>0</v>
      </c>
      <c r="G21" s="29">
        <v>2</v>
      </c>
      <c r="H21" s="29">
        <v>7044380000000</v>
      </c>
      <c r="I21" s="29">
        <v>7762690000000</v>
      </c>
      <c r="J21" s="29">
        <v>7449860000000</v>
      </c>
      <c r="K21" s="29">
        <v>6325160000000</v>
      </c>
      <c r="L21" s="29">
        <v>15214300000000</v>
      </c>
      <c r="N21" s="29">
        <v>0.0199541</v>
      </c>
      <c r="O21" s="29">
        <v>0.0206151</v>
      </c>
      <c r="P21" s="29">
        <v>44118200000000</v>
      </c>
      <c r="Q21" s="29">
        <v>1483140000</v>
      </c>
      <c r="R21" s="29">
        <v>0</v>
      </c>
      <c r="S21" s="29">
        <v>0</v>
      </c>
      <c r="T21" s="29">
        <v>2</v>
      </c>
      <c r="U21" s="29">
        <v>7376690000000</v>
      </c>
      <c r="V21" s="29">
        <v>7601720000000</v>
      </c>
      <c r="W21" s="29">
        <v>8337360000000</v>
      </c>
      <c r="X21" s="29">
        <v>8151500000000</v>
      </c>
      <c r="Y21" s="29">
        <v>12649500000000</v>
      </c>
      <c r="Z21" s="30"/>
      <c r="AA21" s="30">
        <v>0.0200054</v>
      </c>
      <c r="AB21" s="29">
        <v>0.0206497</v>
      </c>
      <c r="AC21" s="29">
        <v>46579400000000</v>
      </c>
      <c r="AD21" s="29">
        <v>1413220000</v>
      </c>
      <c r="AE21" s="29">
        <v>0</v>
      </c>
      <c r="AF21" s="29">
        <v>0</v>
      </c>
      <c r="AG21" s="29">
        <v>2</v>
      </c>
      <c r="AH21" s="29">
        <v>7442340000000</v>
      </c>
      <c r="AI21" s="29">
        <v>8928820000000</v>
      </c>
      <c r="AJ21" s="29">
        <v>9597450000000</v>
      </c>
      <c r="AK21" s="29">
        <v>8923700000000</v>
      </c>
      <c r="AL21" s="29">
        <v>11685600000000</v>
      </c>
      <c r="AM21" s="29"/>
      <c r="AN21" s="32">
        <f t="shared" si="0"/>
        <v>0.0199579</v>
      </c>
      <c r="AO21" s="32">
        <f t="shared" si="1"/>
        <v>44832833333333.3</v>
      </c>
      <c r="AP21" s="29">
        <f t="shared" si="2"/>
        <v>43800900000000</v>
      </c>
      <c r="AQ21" s="29">
        <f t="shared" si="3"/>
        <v>46579400000000</v>
      </c>
      <c r="AR21" s="29">
        <f t="shared" si="4"/>
        <v>13183133333333.3</v>
      </c>
      <c r="AS21" s="29">
        <f t="shared" si="5"/>
        <v>8923700000000</v>
      </c>
      <c r="AT21" s="29">
        <f t="shared" si="6"/>
        <v>15214300000000</v>
      </c>
    </row>
    <row r="22" ht="17.25" customHeight="1" spans="1:46">
      <c r="A22" s="29">
        <v>0.0209887</v>
      </c>
      <c r="B22" s="29">
        <v>0.0215864</v>
      </c>
      <c r="C22" s="29">
        <v>44051400000000</v>
      </c>
      <c r="D22" s="29">
        <v>1588140000</v>
      </c>
      <c r="E22" s="29">
        <v>0</v>
      </c>
      <c r="F22" s="29">
        <v>0</v>
      </c>
      <c r="G22" s="29">
        <v>2</v>
      </c>
      <c r="H22" s="29">
        <v>6998280000000</v>
      </c>
      <c r="I22" s="29">
        <v>7926240000000</v>
      </c>
      <c r="J22" s="29">
        <v>7518170000000</v>
      </c>
      <c r="K22" s="29">
        <v>7090610000000</v>
      </c>
      <c r="L22" s="29">
        <v>14516900000000</v>
      </c>
      <c r="N22" s="29">
        <v>0.0210385</v>
      </c>
      <c r="O22" s="29">
        <v>0.0216456</v>
      </c>
      <c r="P22" s="29">
        <v>44031600000000</v>
      </c>
      <c r="Q22" s="29">
        <v>1071340000</v>
      </c>
      <c r="R22" s="29">
        <v>0</v>
      </c>
      <c r="S22" s="29">
        <v>0</v>
      </c>
      <c r="T22" s="29">
        <v>2</v>
      </c>
      <c r="U22" s="29">
        <v>6789160000000</v>
      </c>
      <c r="V22" s="29">
        <v>7770020000000</v>
      </c>
      <c r="W22" s="29">
        <v>8646060000000</v>
      </c>
      <c r="X22" s="29">
        <v>7944050000000</v>
      </c>
      <c r="Y22" s="29">
        <v>12880000000000</v>
      </c>
      <c r="Z22" s="30"/>
      <c r="AA22" s="30">
        <v>0.0210203</v>
      </c>
      <c r="AB22" s="29">
        <v>0.0216392</v>
      </c>
      <c r="AC22" s="29">
        <v>47244400000000</v>
      </c>
      <c r="AD22" s="29">
        <v>952270000</v>
      </c>
      <c r="AE22" s="29">
        <v>0</v>
      </c>
      <c r="AF22" s="29">
        <v>0</v>
      </c>
      <c r="AG22" s="29">
        <v>2</v>
      </c>
      <c r="AH22" s="29">
        <v>7605300000000</v>
      </c>
      <c r="AI22" s="29">
        <v>8775010000000</v>
      </c>
      <c r="AJ22" s="29">
        <v>9522180000000</v>
      </c>
      <c r="AK22" s="29">
        <v>9001660000000</v>
      </c>
      <c r="AL22" s="29">
        <v>12339500000000</v>
      </c>
      <c r="AM22" s="29"/>
      <c r="AN22" s="32">
        <f t="shared" si="0"/>
        <v>0.0209887</v>
      </c>
      <c r="AO22" s="32">
        <f t="shared" si="1"/>
        <v>45109133333333.3</v>
      </c>
      <c r="AP22" s="29">
        <f t="shared" si="2"/>
        <v>44031600000000</v>
      </c>
      <c r="AQ22" s="29">
        <f t="shared" si="3"/>
        <v>47244400000000</v>
      </c>
      <c r="AR22" s="29">
        <f t="shared" si="4"/>
        <v>13245466666666.7</v>
      </c>
      <c r="AS22" s="29">
        <f t="shared" si="5"/>
        <v>9001660000000</v>
      </c>
      <c r="AT22" s="29">
        <f t="shared" si="6"/>
        <v>14516900000000</v>
      </c>
    </row>
    <row r="23" ht="17.25" customHeight="1" spans="1:46">
      <c r="A23" s="29">
        <v>0.021935</v>
      </c>
      <c r="B23" s="29">
        <v>0.0225608</v>
      </c>
      <c r="C23" s="29">
        <v>43485500000000</v>
      </c>
      <c r="D23" s="29">
        <v>1190770000</v>
      </c>
      <c r="E23" s="29">
        <v>0</v>
      </c>
      <c r="F23" s="29">
        <v>0</v>
      </c>
      <c r="G23" s="29">
        <v>2</v>
      </c>
      <c r="H23" s="29">
        <v>7051760000000</v>
      </c>
      <c r="I23" s="29">
        <v>8077940000000</v>
      </c>
      <c r="J23" s="29">
        <v>7471430000000</v>
      </c>
      <c r="K23" s="29">
        <v>6939150000000</v>
      </c>
      <c r="L23" s="29">
        <v>13944700000000</v>
      </c>
      <c r="N23" s="29">
        <v>0.0219496</v>
      </c>
      <c r="O23" s="29">
        <v>0.0225807</v>
      </c>
      <c r="P23" s="29">
        <v>45076300000000</v>
      </c>
      <c r="Q23" s="29">
        <v>951517000</v>
      </c>
      <c r="R23" s="29">
        <v>0</v>
      </c>
      <c r="S23" s="29">
        <v>0</v>
      </c>
      <c r="T23" s="29">
        <v>2</v>
      </c>
      <c r="U23" s="29">
        <v>7318160000000</v>
      </c>
      <c r="V23" s="29">
        <v>7753400000000</v>
      </c>
      <c r="W23" s="29">
        <v>8906420000000</v>
      </c>
      <c r="X23" s="29">
        <v>7805190000000</v>
      </c>
      <c r="Y23" s="29">
        <v>13291500000000</v>
      </c>
      <c r="Z23" s="30"/>
      <c r="AA23" s="30">
        <v>0.0219689</v>
      </c>
      <c r="AB23" s="29">
        <v>0.0226375</v>
      </c>
      <c r="AC23" s="29">
        <v>47836400000000</v>
      </c>
      <c r="AD23" s="29">
        <v>703926000</v>
      </c>
      <c r="AE23" s="29">
        <v>0</v>
      </c>
      <c r="AF23" s="29">
        <v>0</v>
      </c>
      <c r="AG23" s="29">
        <v>2</v>
      </c>
      <c r="AH23" s="29">
        <v>7827050000000</v>
      </c>
      <c r="AI23" s="29">
        <v>8850420000000</v>
      </c>
      <c r="AJ23" s="29">
        <v>8757890000000</v>
      </c>
      <c r="AK23" s="29">
        <v>10175300000000</v>
      </c>
      <c r="AL23" s="29">
        <v>12225600000000</v>
      </c>
      <c r="AM23" s="29"/>
      <c r="AN23" s="32">
        <f t="shared" si="0"/>
        <v>0.021935</v>
      </c>
      <c r="AO23" s="32">
        <f t="shared" si="1"/>
        <v>45466066666666.7</v>
      </c>
      <c r="AP23" s="29">
        <f t="shared" si="2"/>
        <v>43485500000000</v>
      </c>
      <c r="AQ23" s="29">
        <f t="shared" si="3"/>
        <v>47836400000000</v>
      </c>
      <c r="AR23" s="29">
        <f t="shared" si="4"/>
        <v>13153933333333.3</v>
      </c>
      <c r="AS23" s="29">
        <f t="shared" si="5"/>
        <v>10175300000000</v>
      </c>
      <c r="AT23" s="29">
        <f t="shared" si="6"/>
        <v>13944700000000</v>
      </c>
    </row>
    <row r="24" ht="17.25" customHeight="1" spans="1:46">
      <c r="A24" s="29">
        <v>0.0230163</v>
      </c>
      <c r="B24" s="29">
        <v>0.0236211</v>
      </c>
      <c r="C24" s="29">
        <v>43485300000000</v>
      </c>
      <c r="D24" s="29">
        <v>4919760000</v>
      </c>
      <c r="E24" s="29">
        <v>0</v>
      </c>
      <c r="F24" s="29">
        <v>0</v>
      </c>
      <c r="G24" s="29">
        <v>2</v>
      </c>
      <c r="H24" s="29">
        <v>7388160000000</v>
      </c>
      <c r="I24" s="29">
        <v>7749860000000</v>
      </c>
      <c r="J24" s="29">
        <v>7267160000000</v>
      </c>
      <c r="K24" s="29">
        <v>7116600000000</v>
      </c>
      <c r="L24" s="29">
        <v>13962500000000</v>
      </c>
      <c r="N24" s="29">
        <v>0.0229712</v>
      </c>
      <c r="O24" s="29">
        <v>0.0236234</v>
      </c>
      <c r="P24" s="29">
        <v>45044100000000</v>
      </c>
      <c r="Q24" s="29">
        <v>10610600000</v>
      </c>
      <c r="R24" s="29">
        <v>0</v>
      </c>
      <c r="S24" s="29">
        <v>0</v>
      </c>
      <c r="T24" s="29">
        <v>2</v>
      </c>
      <c r="U24" s="29">
        <v>7052580000000</v>
      </c>
      <c r="V24" s="29">
        <v>7787810000000</v>
      </c>
      <c r="W24" s="29">
        <v>9327550000000</v>
      </c>
      <c r="X24" s="29">
        <v>8028420000000</v>
      </c>
      <c r="Y24" s="29">
        <v>12847000000000</v>
      </c>
      <c r="AA24" s="30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32">
        <f t="shared" si="0"/>
        <v>0.0230163</v>
      </c>
      <c r="AO24" s="32">
        <f t="shared" si="1"/>
        <v>29509800000000</v>
      </c>
      <c r="AP24" s="29">
        <f t="shared" si="2"/>
        <v>43485300000000</v>
      </c>
      <c r="AQ24" s="29">
        <f t="shared" si="3"/>
        <v>45044100000000</v>
      </c>
      <c r="AR24" s="29">
        <f t="shared" si="4"/>
        <v>8936500000000</v>
      </c>
      <c r="AS24" s="29">
        <f t="shared" si="5"/>
        <v>12847000000000</v>
      </c>
      <c r="AT24" s="29">
        <f t="shared" si="6"/>
        <v>13962500000000</v>
      </c>
    </row>
    <row r="25" ht="17.25" customHeight="1" spans="1:46">
      <c r="A25" s="29">
        <v>0.0239765</v>
      </c>
      <c r="B25" s="29">
        <v>0.0246434</v>
      </c>
      <c r="C25" s="29">
        <v>44438600000000</v>
      </c>
      <c r="D25" s="29">
        <v>1388280000</v>
      </c>
      <c r="E25" s="29">
        <v>0</v>
      </c>
      <c r="F25" s="29">
        <v>0</v>
      </c>
      <c r="G25" s="29">
        <v>2</v>
      </c>
      <c r="H25" s="29">
        <v>7605420000000</v>
      </c>
      <c r="I25" s="29">
        <v>8263640000000</v>
      </c>
      <c r="J25" s="29">
        <v>6843300000000</v>
      </c>
      <c r="K25" s="29">
        <v>7749900000000</v>
      </c>
      <c r="L25" s="29">
        <v>13975100000000</v>
      </c>
      <c r="N25" s="29">
        <v>0.0239014</v>
      </c>
      <c r="O25" s="29">
        <v>0.0245376</v>
      </c>
      <c r="P25" s="29">
        <v>45613700000000</v>
      </c>
      <c r="Q25" s="29">
        <v>1294280000</v>
      </c>
      <c r="R25" s="29">
        <v>0</v>
      </c>
      <c r="S25" s="29">
        <v>0</v>
      </c>
      <c r="T25" s="29">
        <v>2</v>
      </c>
      <c r="U25" s="29">
        <v>7474860000000</v>
      </c>
      <c r="V25" s="29">
        <v>8055800000000</v>
      </c>
      <c r="W25" s="29">
        <v>9213240000000</v>
      </c>
      <c r="X25" s="29">
        <v>8454070000000</v>
      </c>
      <c r="Y25" s="29">
        <v>12414900000000</v>
      </c>
      <c r="AA25" s="30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32">
        <f t="shared" si="0"/>
        <v>0.0239765</v>
      </c>
      <c r="AO25" s="32">
        <f t="shared" si="1"/>
        <v>30017433333333.3</v>
      </c>
      <c r="AP25" s="29">
        <f t="shared" si="2"/>
        <v>44438600000000</v>
      </c>
      <c r="AQ25" s="29">
        <f t="shared" si="3"/>
        <v>45613700000000</v>
      </c>
      <c r="AR25" s="29">
        <f t="shared" si="4"/>
        <v>8796666666666.67</v>
      </c>
      <c r="AS25" s="29">
        <f t="shared" si="5"/>
        <v>12414900000000</v>
      </c>
      <c r="AT25" s="29">
        <f t="shared" si="6"/>
        <v>13975100000000</v>
      </c>
    </row>
    <row r="26" ht="17.25" customHeight="1" spans="1:46">
      <c r="A26" s="29">
        <v>0.025045</v>
      </c>
      <c r="B26" s="29">
        <v>0.0256416</v>
      </c>
      <c r="C26" s="29">
        <v>43992100000000</v>
      </c>
      <c r="D26" s="29">
        <v>2023990000</v>
      </c>
      <c r="E26" s="29">
        <v>0</v>
      </c>
      <c r="F26" s="29">
        <v>0</v>
      </c>
      <c r="G26" s="29">
        <v>2</v>
      </c>
      <c r="H26" s="29">
        <v>7623130000000</v>
      </c>
      <c r="I26" s="29">
        <v>7826160000000</v>
      </c>
      <c r="J26" s="29">
        <v>7098550000000</v>
      </c>
      <c r="K26" s="29">
        <v>7595530000000</v>
      </c>
      <c r="L26" s="29">
        <v>13845900000000</v>
      </c>
      <c r="N26" s="29">
        <v>0.0249922</v>
      </c>
      <c r="O26" s="29">
        <v>0.0255986</v>
      </c>
      <c r="P26" s="29">
        <v>47216600000000</v>
      </c>
      <c r="Q26" s="29">
        <v>1472890000</v>
      </c>
      <c r="R26" s="29">
        <v>0</v>
      </c>
      <c r="S26" s="29">
        <v>0</v>
      </c>
      <c r="T26" s="29">
        <v>2</v>
      </c>
      <c r="U26" s="29">
        <v>7924930000000</v>
      </c>
      <c r="V26" s="29">
        <v>7527790000000</v>
      </c>
      <c r="W26" s="29">
        <v>9982960000000</v>
      </c>
      <c r="X26" s="29">
        <v>9030590000000</v>
      </c>
      <c r="Y26" s="29">
        <v>12749600000000</v>
      </c>
      <c r="AA26" s="30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32">
        <f t="shared" si="0"/>
        <v>0.025045</v>
      </c>
      <c r="AO26" s="32">
        <f t="shared" si="1"/>
        <v>30402900000000</v>
      </c>
      <c r="AP26" s="29">
        <f t="shared" si="2"/>
        <v>43992100000000</v>
      </c>
      <c r="AQ26" s="29">
        <f t="shared" si="3"/>
        <v>47216600000000</v>
      </c>
      <c r="AR26" s="29">
        <f t="shared" si="4"/>
        <v>8865166666666.67</v>
      </c>
      <c r="AS26" s="29">
        <f t="shared" si="5"/>
        <v>12749600000000</v>
      </c>
      <c r="AT26" s="29">
        <f t="shared" si="6"/>
        <v>13845900000000</v>
      </c>
    </row>
    <row r="27" ht="17.25" customHeight="1" spans="1:46">
      <c r="A27" s="29">
        <v>0.0260204</v>
      </c>
      <c r="B27" s="29">
        <v>0.0266395</v>
      </c>
      <c r="C27" s="29">
        <v>43542000000000</v>
      </c>
      <c r="D27" s="29">
        <v>4263100000</v>
      </c>
      <c r="E27" s="29">
        <v>0</v>
      </c>
      <c r="F27" s="29">
        <v>0</v>
      </c>
      <c r="G27" s="29">
        <v>2</v>
      </c>
      <c r="H27" s="29">
        <v>7144480000000</v>
      </c>
      <c r="I27" s="29">
        <v>7930360000000</v>
      </c>
      <c r="J27" s="29">
        <v>7215670000000</v>
      </c>
      <c r="K27" s="29">
        <v>6877310000000</v>
      </c>
      <c r="L27" s="29">
        <v>14372000000000</v>
      </c>
      <c r="N27" s="29">
        <v>0.0260013</v>
      </c>
      <c r="O27" s="29">
        <v>0.026578</v>
      </c>
      <c r="P27" s="29">
        <v>47911400000000</v>
      </c>
      <c r="Q27" s="29">
        <v>2270110000</v>
      </c>
      <c r="R27" s="29">
        <v>0</v>
      </c>
      <c r="S27" s="29">
        <v>0</v>
      </c>
      <c r="T27" s="29">
        <v>2</v>
      </c>
      <c r="U27" s="29">
        <v>7896990000000</v>
      </c>
      <c r="V27" s="29">
        <v>7957530000000</v>
      </c>
      <c r="W27" s="29">
        <v>10206000000000</v>
      </c>
      <c r="X27" s="29">
        <v>9035430000000</v>
      </c>
      <c r="Y27" s="29">
        <v>12814700000000</v>
      </c>
      <c r="AA27" s="30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32">
        <f t="shared" si="0"/>
        <v>0.0260204</v>
      </c>
      <c r="AO27" s="32">
        <f t="shared" si="1"/>
        <v>30484466666666.7</v>
      </c>
      <c r="AP27" s="29">
        <f t="shared" si="2"/>
        <v>43542000000000</v>
      </c>
      <c r="AQ27" s="29">
        <f t="shared" si="3"/>
        <v>47911400000000</v>
      </c>
      <c r="AR27" s="29">
        <f t="shared" si="4"/>
        <v>9062233333333.33</v>
      </c>
      <c r="AS27" s="29">
        <f t="shared" si="5"/>
        <v>12814700000000</v>
      </c>
      <c r="AT27" s="29">
        <f t="shared" si="6"/>
        <v>14372000000000</v>
      </c>
    </row>
    <row r="28" ht="17.25" customHeight="1" spans="1:46">
      <c r="A28" s="29">
        <v>0.0269831</v>
      </c>
      <c r="B28" s="29">
        <v>0.0276121</v>
      </c>
      <c r="C28" s="29">
        <v>43383300000000</v>
      </c>
      <c r="D28" s="29">
        <v>1572420000</v>
      </c>
      <c r="E28" s="29">
        <v>0</v>
      </c>
      <c r="F28" s="29">
        <v>0</v>
      </c>
      <c r="G28" s="29">
        <v>2</v>
      </c>
      <c r="H28" s="29">
        <v>7240630000000</v>
      </c>
      <c r="I28" s="29">
        <v>7761960000000</v>
      </c>
      <c r="J28" s="29">
        <v>7554110000000</v>
      </c>
      <c r="K28" s="29">
        <v>6990750000000</v>
      </c>
      <c r="L28" s="29">
        <v>13834500000000</v>
      </c>
      <c r="N28" s="29">
        <v>0.0270296</v>
      </c>
      <c r="O28" s="29">
        <v>0.0275905</v>
      </c>
      <c r="P28" s="29">
        <v>49270100000000</v>
      </c>
      <c r="Q28" s="29">
        <v>1503500000</v>
      </c>
      <c r="R28" s="29">
        <v>0</v>
      </c>
      <c r="S28" s="29">
        <v>0</v>
      </c>
      <c r="T28" s="29">
        <v>2</v>
      </c>
      <c r="U28" s="29">
        <v>7858470000000</v>
      </c>
      <c r="V28" s="29">
        <v>8482540000000</v>
      </c>
      <c r="W28" s="29">
        <v>10372300000000</v>
      </c>
      <c r="X28" s="29">
        <v>9317960000000</v>
      </c>
      <c r="Y28" s="29">
        <v>13238400000000</v>
      </c>
      <c r="AA28" s="30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32">
        <f t="shared" si="0"/>
        <v>0.0269831</v>
      </c>
      <c r="AO28" s="32">
        <f t="shared" si="1"/>
        <v>30884466666666.7</v>
      </c>
      <c r="AP28" s="29">
        <f t="shared" si="2"/>
        <v>43383300000000</v>
      </c>
      <c r="AQ28" s="29">
        <f t="shared" si="3"/>
        <v>49270100000000</v>
      </c>
      <c r="AR28" s="29">
        <f t="shared" si="4"/>
        <v>9024300000000</v>
      </c>
      <c r="AS28" s="29">
        <f t="shared" si="5"/>
        <v>13238400000000</v>
      </c>
      <c r="AT28" s="29">
        <f t="shared" si="6"/>
        <v>13834500000000</v>
      </c>
    </row>
    <row r="29" ht="17.25" customHeight="1" spans="1:46">
      <c r="A29" s="29">
        <v>0.0280066</v>
      </c>
      <c r="B29" s="29">
        <v>0.0286767</v>
      </c>
      <c r="C29" s="29">
        <v>44121400000000</v>
      </c>
      <c r="D29" s="29">
        <v>1879580000</v>
      </c>
      <c r="E29" s="29">
        <v>0</v>
      </c>
      <c r="F29" s="29">
        <v>0</v>
      </c>
      <c r="G29" s="29">
        <v>2</v>
      </c>
      <c r="H29" s="29">
        <v>7548020000000</v>
      </c>
      <c r="I29" s="29">
        <v>8552980000000</v>
      </c>
      <c r="J29" s="29">
        <v>8257090000000</v>
      </c>
      <c r="K29" s="29">
        <v>7548530000000</v>
      </c>
      <c r="L29" s="29">
        <v>12212500000000</v>
      </c>
      <c r="N29" s="29">
        <v>0.0279829</v>
      </c>
      <c r="O29" s="29">
        <v>0.028523</v>
      </c>
      <c r="P29" s="29">
        <v>49209900000000</v>
      </c>
      <c r="Q29" s="29">
        <v>1123130000</v>
      </c>
      <c r="R29" s="29">
        <v>0</v>
      </c>
      <c r="S29" s="29">
        <v>0</v>
      </c>
      <c r="T29" s="29">
        <v>2</v>
      </c>
      <c r="U29" s="29">
        <v>7684690000000</v>
      </c>
      <c r="V29" s="29">
        <v>8287380000000</v>
      </c>
      <c r="W29" s="29">
        <v>10723700000000</v>
      </c>
      <c r="X29" s="29">
        <v>9544260000000</v>
      </c>
      <c r="Y29" s="29">
        <v>12964000000000</v>
      </c>
      <c r="AA29" s="30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32">
        <f t="shared" si="0"/>
        <v>0.0280066</v>
      </c>
      <c r="AO29" s="32">
        <f t="shared" si="1"/>
        <v>31110433333333.3</v>
      </c>
      <c r="AP29" s="29">
        <f t="shared" si="2"/>
        <v>44121400000000</v>
      </c>
      <c r="AQ29" s="29">
        <f t="shared" si="3"/>
        <v>49209900000000</v>
      </c>
      <c r="AR29" s="29">
        <f t="shared" si="4"/>
        <v>8392166666666.67</v>
      </c>
      <c r="AS29" s="29">
        <f t="shared" si="5"/>
        <v>12212500000000</v>
      </c>
      <c r="AT29" s="29">
        <f t="shared" si="6"/>
        <v>12964000000000</v>
      </c>
    </row>
    <row r="30" ht="17.25" customHeight="1" spans="1:46">
      <c r="A30" s="29">
        <v>0.0290357</v>
      </c>
      <c r="B30" s="29">
        <v>0.0296506</v>
      </c>
      <c r="C30" s="29">
        <v>44421900000000</v>
      </c>
      <c r="D30" s="29">
        <v>1451060000</v>
      </c>
      <c r="E30" s="29">
        <v>0</v>
      </c>
      <c r="F30" s="29">
        <v>0</v>
      </c>
      <c r="G30" s="29">
        <v>2</v>
      </c>
      <c r="H30" s="29">
        <v>7748270000000</v>
      </c>
      <c r="I30" s="29">
        <v>9222060000000</v>
      </c>
      <c r="J30" s="29">
        <v>8594130000000</v>
      </c>
      <c r="K30" s="29">
        <v>8195040000000</v>
      </c>
      <c r="L30" s="29">
        <v>10658500000000</v>
      </c>
      <c r="N30" s="30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AA30" s="30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32">
        <f t="shared" si="0"/>
        <v>0.0290357</v>
      </c>
      <c r="AO30" s="32">
        <f t="shared" si="1"/>
        <v>14807300000000</v>
      </c>
      <c r="AP30" s="29">
        <f t="shared" si="2"/>
        <v>44421900000000</v>
      </c>
      <c r="AQ30" s="29">
        <f t="shared" si="3"/>
        <v>44421900000000</v>
      </c>
      <c r="AR30" s="29">
        <f t="shared" si="4"/>
        <v>3552833333333.33</v>
      </c>
      <c r="AS30" s="29">
        <f t="shared" si="5"/>
        <v>10658500000000</v>
      </c>
      <c r="AT30" s="29">
        <f t="shared" si="6"/>
        <v>10658500000000</v>
      </c>
    </row>
    <row r="31" ht="17.25" customHeight="1" spans="1:46">
      <c r="A31" s="29">
        <v>0.0299908</v>
      </c>
      <c r="B31" s="29">
        <v>0.0306087</v>
      </c>
      <c r="C31" s="29">
        <v>44729500000000</v>
      </c>
      <c r="D31" s="29">
        <v>1016850000</v>
      </c>
      <c r="E31" s="29">
        <v>0</v>
      </c>
      <c r="F31" s="29">
        <v>0</v>
      </c>
      <c r="G31" s="29">
        <v>2</v>
      </c>
      <c r="H31" s="29">
        <v>8700130000000</v>
      </c>
      <c r="I31" s="29">
        <v>8214940000000</v>
      </c>
      <c r="J31" s="29">
        <v>9011840000000</v>
      </c>
      <c r="K31" s="29">
        <v>7856110000000</v>
      </c>
      <c r="L31" s="29">
        <v>10945700000000</v>
      </c>
      <c r="N31" s="30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AA31" s="30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32">
        <f t="shared" si="0"/>
        <v>0.0299908</v>
      </c>
      <c r="AO31" s="32">
        <f t="shared" si="1"/>
        <v>14909833333333.3</v>
      </c>
      <c r="AP31" s="29">
        <f t="shared" si="2"/>
        <v>44729500000000</v>
      </c>
      <c r="AQ31" s="29">
        <f t="shared" si="3"/>
        <v>44729500000000</v>
      </c>
      <c r="AR31" s="29">
        <f t="shared" si="4"/>
        <v>3648566666666.67</v>
      </c>
      <c r="AS31" s="29">
        <f t="shared" si="5"/>
        <v>10945700000000</v>
      </c>
      <c r="AT31" s="29">
        <f t="shared" si="6"/>
        <v>10945700000000</v>
      </c>
    </row>
    <row r="32" ht="17.25" customHeight="1" spans="1:46">
      <c r="A32" s="30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N32" s="30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AA32" s="30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32"/>
      <c r="AO32" s="32"/>
      <c r="AP32" s="29"/>
      <c r="AQ32" s="29"/>
      <c r="AR32" s="29"/>
      <c r="AS32" s="29"/>
      <c r="AT32" s="29"/>
    </row>
    <row r="33" ht="17.25" customHeight="1" spans="1:46">
      <c r="A33" s="30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N33" s="30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AA33" s="30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32"/>
      <c r="AO33" s="32"/>
      <c r="AP33" s="29"/>
      <c r="AQ33" s="29"/>
      <c r="AR33" s="29"/>
      <c r="AS33" s="29"/>
      <c r="AT33" s="29"/>
    </row>
    <row r="34" ht="17.25" customHeight="1" spans="1:46">
      <c r="A34" s="30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N34" s="30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0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32"/>
      <c r="AO34" s="32"/>
      <c r="AP34" s="29"/>
      <c r="AQ34" s="29"/>
      <c r="AR34" s="29"/>
      <c r="AS34" s="29"/>
      <c r="AT34" s="29"/>
    </row>
    <row r="35" ht="17.25" customHeight="1" spans="1:46">
      <c r="A35" s="30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N35" s="30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AA35" s="30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32"/>
      <c r="AO35" s="32"/>
      <c r="AP35" s="29"/>
      <c r="AQ35" s="29"/>
      <c r="AR35" s="29"/>
      <c r="AS35" s="29"/>
      <c r="AT35" s="29"/>
    </row>
    <row r="36" ht="17.25" customHeight="1" spans="1:46">
      <c r="A36" s="30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N36" s="30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AA36" s="30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32"/>
      <c r="AO36" s="32"/>
      <c r="AP36" s="29"/>
      <c r="AQ36" s="29"/>
      <c r="AR36" s="29"/>
      <c r="AS36" s="29"/>
      <c r="AT36" s="29"/>
    </row>
    <row r="37" ht="17.25" customHeight="1" spans="1:46">
      <c r="A37" s="30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N37" s="30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AA37" s="30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32"/>
      <c r="AO37" s="32"/>
      <c r="AP37" s="29"/>
      <c r="AQ37" s="29"/>
      <c r="AR37" s="29"/>
      <c r="AS37" s="29"/>
      <c r="AT37" s="29"/>
    </row>
    <row r="38" ht="17.25" customHeight="1" spans="1:46">
      <c r="A38" s="30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N38" s="30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AA38" s="30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32"/>
      <c r="AO38" s="32"/>
      <c r="AP38" s="29"/>
      <c r="AQ38" s="29"/>
      <c r="AR38" s="29"/>
      <c r="AS38" s="29"/>
      <c r="AT38" s="29"/>
    </row>
    <row r="39" ht="17.25" customHeight="1" spans="1:46">
      <c r="A39" s="30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N39" s="30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AA39" s="30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32"/>
      <c r="AO39" s="32"/>
      <c r="AP39" s="29"/>
      <c r="AQ39" s="29"/>
      <c r="AR39" s="29"/>
      <c r="AS39" s="29"/>
      <c r="AT39" s="29"/>
    </row>
    <row r="40" ht="17.25" customHeight="1" spans="1:46">
      <c r="A40" s="30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N40" s="30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AA40" s="30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32"/>
      <c r="AO40" s="32"/>
      <c r="AP40" s="29"/>
      <c r="AQ40" s="29"/>
      <c r="AR40" s="29"/>
      <c r="AS40" s="29"/>
      <c r="AT40" s="29"/>
    </row>
    <row r="41" ht="17.25" customHeight="1" spans="1:46">
      <c r="A41" s="30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N41" s="30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AA41" s="30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32"/>
      <c r="AO41" s="32"/>
      <c r="AP41" s="29"/>
      <c r="AQ41" s="29"/>
      <c r="AR41" s="29"/>
      <c r="AS41" s="29"/>
      <c r="AT41" s="29"/>
    </row>
    <row r="42" ht="17.25" customHeight="1" spans="1:46">
      <c r="A42" s="30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N42" s="30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AA42" s="30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32"/>
      <c r="AO42" s="32"/>
      <c r="AP42" s="29"/>
      <c r="AQ42" s="29"/>
      <c r="AR42" s="29"/>
      <c r="AS42" s="29"/>
      <c r="AT42" s="29"/>
    </row>
    <row r="43" ht="17.25" customHeight="1" spans="1:46">
      <c r="A43" s="30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N43" s="30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AA43" s="30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32"/>
      <c r="AO43" s="32"/>
      <c r="AP43" s="29"/>
      <c r="AQ43" s="29"/>
      <c r="AR43" s="29"/>
      <c r="AS43" s="29"/>
      <c r="AT43" s="29"/>
    </row>
    <row r="44" ht="17.25" customHeight="1" spans="1:46">
      <c r="A44" s="30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N44" s="30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AA44" s="30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32"/>
      <c r="AO44" s="32"/>
      <c r="AP44" s="29"/>
      <c r="AQ44" s="29"/>
      <c r="AR44" s="29"/>
      <c r="AS44" s="29"/>
      <c r="AT44" s="29"/>
    </row>
    <row r="45" ht="17.25" customHeight="1" spans="1:46">
      <c r="A45" s="30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N45" s="30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AA45" s="30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32"/>
      <c r="AO45" s="32"/>
      <c r="AP45" s="29"/>
      <c r="AQ45" s="29"/>
      <c r="AR45" s="29"/>
      <c r="AS45" s="29"/>
      <c r="AT45" s="29"/>
    </row>
    <row r="46" ht="17.25" customHeight="1" spans="1:46">
      <c r="A46" s="30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N46" s="30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AA46" s="30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32"/>
      <c r="AO46" s="32"/>
      <c r="AP46" s="29"/>
      <c r="AQ46" s="29"/>
      <c r="AR46" s="29"/>
      <c r="AS46" s="29"/>
      <c r="AT46" s="29"/>
    </row>
    <row r="47" ht="17.25" customHeight="1" spans="1:46">
      <c r="A47" s="30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N47" s="30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AA47" s="30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32"/>
      <c r="AO47" s="32"/>
      <c r="AP47" s="29"/>
      <c r="AQ47" s="29"/>
      <c r="AR47" s="29"/>
      <c r="AS47" s="29"/>
      <c r="AT47" s="29"/>
    </row>
    <row r="48" ht="17.25" customHeight="1" spans="1:46">
      <c r="A48" s="30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N48" s="30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AA48" s="30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32"/>
      <c r="AO48" s="32"/>
      <c r="AP48" s="29"/>
      <c r="AQ48" s="29"/>
      <c r="AR48" s="29"/>
      <c r="AS48" s="29"/>
      <c r="AT48" s="29"/>
    </row>
    <row r="49" ht="17.25" customHeight="1" spans="1:46">
      <c r="A49" s="30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N49" s="30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AA49" s="30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N49" s="32"/>
      <c r="AO49" s="32"/>
      <c r="AP49" s="29"/>
      <c r="AQ49" s="29"/>
      <c r="AR49" s="29"/>
      <c r="AS49" s="29"/>
      <c r="AT49" s="29"/>
    </row>
    <row r="50" ht="17.25" customHeight="1" spans="1:46">
      <c r="A50" s="30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N50" s="30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AA50" s="30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N50" s="32"/>
      <c r="AO50" s="32"/>
      <c r="AP50" s="29"/>
      <c r="AQ50" s="29"/>
      <c r="AR50" s="29"/>
      <c r="AS50" s="29"/>
      <c r="AT50" s="29"/>
    </row>
    <row r="51" ht="17.25" customHeight="1" spans="1:46">
      <c r="A51" s="30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N51" s="30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AA51" s="30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N51" s="32"/>
      <c r="AO51" s="32"/>
      <c r="AP51" s="29"/>
      <c r="AQ51" s="29"/>
      <c r="AR51" s="29"/>
      <c r="AS51" s="29"/>
      <c r="AT51" s="29"/>
    </row>
    <row r="52" ht="17.25" customHeight="1" spans="1:46">
      <c r="A52" s="30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N52" s="30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AA52" s="30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N52" s="32"/>
      <c r="AO52" s="32"/>
      <c r="AP52" s="29"/>
      <c r="AQ52" s="29"/>
      <c r="AR52" s="29"/>
      <c r="AS52" s="29"/>
      <c r="AT52" s="29"/>
    </row>
    <row r="53" ht="17.25" customHeight="1" spans="1:46">
      <c r="A53" s="30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N53" s="30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AA53" s="30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N53" s="32"/>
      <c r="AO53" s="32"/>
      <c r="AP53" s="29"/>
      <c r="AQ53" s="29"/>
      <c r="AR53" s="29"/>
      <c r="AS53" s="29"/>
      <c r="AT53" s="29"/>
    </row>
    <row r="54" ht="17.25" customHeight="1" spans="1:46">
      <c r="A54" s="29"/>
      <c r="B54" s="29"/>
      <c r="C54" s="31"/>
      <c r="D54" s="31"/>
      <c r="E54" s="31"/>
      <c r="F54" s="31"/>
      <c r="G54" s="31"/>
      <c r="H54" s="31"/>
      <c r="I54" s="31"/>
      <c r="J54" s="31"/>
      <c r="K54" s="31"/>
      <c r="L54" s="31"/>
      <c r="N54" s="30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AA54" s="30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N54" s="31"/>
      <c r="AO54" s="31"/>
      <c r="AP54" s="31"/>
      <c r="AQ54" s="31"/>
      <c r="AR54" s="31"/>
      <c r="AS54" s="31"/>
      <c r="AT54" s="31"/>
    </row>
    <row r="55" ht="17.25" customHeight="1" spans="1:46">
      <c r="A55" s="29"/>
      <c r="B55" s="29"/>
      <c r="C55" s="31"/>
      <c r="D55" s="31"/>
      <c r="E55" s="31"/>
      <c r="F55" s="31"/>
      <c r="G55" s="31"/>
      <c r="H55" s="31"/>
      <c r="I55" s="31"/>
      <c r="J55" s="31"/>
      <c r="K55" s="31"/>
      <c r="L55" s="31"/>
      <c r="N55" s="30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AA55" s="30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N55" s="31"/>
      <c r="AO55" s="31"/>
      <c r="AP55" s="31"/>
      <c r="AQ55" s="31"/>
      <c r="AR55" s="31"/>
      <c r="AS55" s="31"/>
      <c r="AT55" s="31"/>
    </row>
    <row r="56" ht="17.25" customHeight="1" spans="1:46">
      <c r="A56" s="29"/>
      <c r="B56" s="29"/>
      <c r="C56" s="31"/>
      <c r="D56" s="31"/>
      <c r="E56" s="31"/>
      <c r="F56" s="31"/>
      <c r="G56" s="31"/>
      <c r="H56" s="31"/>
      <c r="I56" s="31"/>
      <c r="J56" s="31"/>
      <c r="K56" s="31"/>
      <c r="L56" s="31"/>
      <c r="N56" s="30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AA56" s="30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N56" s="31"/>
      <c r="AO56" s="31"/>
      <c r="AP56" s="31"/>
      <c r="AQ56" s="31"/>
      <c r="AR56" s="31"/>
      <c r="AS56" s="31"/>
      <c r="AT56" s="31"/>
    </row>
    <row r="57" ht="17.25" customHeight="1" spans="1:46">
      <c r="A57" s="29"/>
      <c r="B57" s="29"/>
      <c r="C57" s="31"/>
      <c r="D57" s="31"/>
      <c r="E57" s="31"/>
      <c r="F57" s="31"/>
      <c r="G57" s="31"/>
      <c r="H57" s="31"/>
      <c r="I57" s="31"/>
      <c r="J57" s="31"/>
      <c r="K57" s="31"/>
      <c r="L57" s="31"/>
      <c r="N57" s="30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AA57" s="30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N57" s="31"/>
      <c r="AO57" s="31"/>
      <c r="AP57" s="31"/>
      <c r="AQ57" s="31"/>
      <c r="AR57" s="31"/>
      <c r="AS57" s="31"/>
      <c r="AT57" s="31"/>
    </row>
    <row r="58" ht="17.25" customHeight="1" spans="1:46">
      <c r="A58" s="29"/>
      <c r="B58" s="29"/>
      <c r="C58" s="31"/>
      <c r="D58" s="31"/>
      <c r="E58" s="31"/>
      <c r="F58" s="31"/>
      <c r="G58" s="31"/>
      <c r="H58" s="31"/>
      <c r="I58" s="31"/>
      <c r="J58" s="31"/>
      <c r="K58" s="31"/>
      <c r="L58" s="31"/>
      <c r="N58" s="30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AA58" s="30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N58" s="31"/>
      <c r="AO58" s="31"/>
      <c r="AP58" s="31"/>
      <c r="AQ58" s="31"/>
      <c r="AR58" s="31"/>
      <c r="AS58" s="31"/>
      <c r="AT58" s="31"/>
    </row>
    <row r="59" ht="17.25" customHeight="1" spans="1:46">
      <c r="A59" s="29"/>
      <c r="B59" s="29"/>
      <c r="C59" s="31"/>
      <c r="D59" s="31"/>
      <c r="E59" s="31"/>
      <c r="F59" s="31"/>
      <c r="G59" s="31"/>
      <c r="H59" s="31"/>
      <c r="I59" s="31"/>
      <c r="J59" s="31"/>
      <c r="K59" s="31"/>
      <c r="L59" s="31"/>
      <c r="N59" s="30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N59" s="31"/>
      <c r="AO59" s="31"/>
      <c r="AP59" s="31"/>
      <c r="AQ59" s="31"/>
      <c r="AR59" s="31"/>
      <c r="AS59" s="31"/>
      <c r="AT59" s="31"/>
    </row>
    <row r="60" ht="17.25" customHeight="1" spans="1:46">
      <c r="A60" s="29"/>
      <c r="B60" s="29"/>
      <c r="C60" s="31"/>
      <c r="D60" s="31"/>
      <c r="E60" s="31"/>
      <c r="F60" s="31"/>
      <c r="G60" s="31"/>
      <c r="H60" s="31"/>
      <c r="I60" s="31"/>
      <c r="J60" s="31"/>
      <c r="K60" s="31"/>
      <c r="L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N60" s="31"/>
      <c r="AO60" s="31"/>
      <c r="AP60" s="31"/>
      <c r="AQ60" s="31"/>
      <c r="AR60" s="31"/>
      <c r="AS60" s="31"/>
      <c r="AT60" s="31"/>
    </row>
    <row r="61" ht="17.25" customHeight="1" spans="1:46">
      <c r="A61" s="29"/>
      <c r="B61" s="29"/>
      <c r="C61" s="31"/>
      <c r="D61" s="31"/>
      <c r="E61" s="31"/>
      <c r="F61" s="31"/>
      <c r="G61" s="31"/>
      <c r="H61" s="31"/>
      <c r="I61" s="31"/>
      <c r="J61" s="31"/>
      <c r="K61" s="31"/>
      <c r="L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N61" s="31"/>
      <c r="AO61" s="31"/>
      <c r="AP61" s="31"/>
      <c r="AQ61" s="31"/>
      <c r="AR61" s="31"/>
      <c r="AS61" s="31"/>
      <c r="AT61" s="31"/>
    </row>
    <row r="62" ht="17.25" customHeight="1" spans="1:46">
      <c r="A62" s="29"/>
      <c r="B62" s="29"/>
      <c r="C62" s="31"/>
      <c r="D62" s="31"/>
      <c r="E62" s="31"/>
      <c r="F62" s="31"/>
      <c r="G62" s="31"/>
      <c r="H62" s="31"/>
      <c r="I62" s="31"/>
      <c r="J62" s="31"/>
      <c r="K62" s="31"/>
      <c r="L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N62" s="31"/>
      <c r="AO62" s="31"/>
      <c r="AP62" s="31"/>
      <c r="AQ62" s="31"/>
      <c r="AR62" s="31"/>
      <c r="AS62" s="31"/>
      <c r="AT62" s="31"/>
    </row>
    <row r="63" ht="17.25" customHeight="1" spans="1:46">
      <c r="A63" s="29"/>
      <c r="B63" s="29"/>
      <c r="C63" s="31"/>
      <c r="D63" s="31"/>
      <c r="E63" s="31"/>
      <c r="F63" s="31"/>
      <c r="G63" s="31"/>
      <c r="H63" s="31"/>
      <c r="I63" s="31"/>
      <c r="J63" s="31"/>
      <c r="K63" s="31"/>
      <c r="L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N63" s="31"/>
      <c r="AO63" s="31"/>
      <c r="AP63" s="31"/>
      <c r="AQ63" s="31"/>
      <c r="AR63" s="31"/>
      <c r="AS63" s="31"/>
      <c r="AT63" s="31"/>
    </row>
    <row r="64" ht="17.25" customHeight="1" spans="1:46">
      <c r="A64" s="29"/>
      <c r="B64" s="29"/>
      <c r="C64" s="31"/>
      <c r="D64" s="31"/>
      <c r="E64" s="31"/>
      <c r="F64" s="31"/>
      <c r="G64" s="31"/>
      <c r="H64" s="31"/>
      <c r="I64" s="31"/>
      <c r="J64" s="31"/>
      <c r="K64" s="31"/>
      <c r="L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N64" s="31"/>
      <c r="AO64" s="31"/>
      <c r="AP64" s="31"/>
      <c r="AQ64" s="31"/>
      <c r="AR64" s="31"/>
      <c r="AS64" s="31"/>
      <c r="AT64" s="31"/>
    </row>
    <row r="65" ht="17.25" customHeight="1" spans="1:46">
      <c r="A65" s="29"/>
      <c r="B65" s="29"/>
      <c r="C65" s="31"/>
      <c r="D65" s="31"/>
      <c r="E65" s="31"/>
      <c r="F65" s="31"/>
      <c r="G65" s="31"/>
      <c r="H65" s="31"/>
      <c r="I65" s="31"/>
      <c r="J65" s="31"/>
      <c r="K65" s="31"/>
      <c r="L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N65" s="31"/>
      <c r="AO65" s="31"/>
      <c r="AP65" s="31"/>
      <c r="AQ65" s="31"/>
      <c r="AR65" s="31"/>
      <c r="AS65" s="31"/>
      <c r="AT65" s="31"/>
    </row>
    <row r="66" ht="17.25" customHeight="1" spans="1:46">
      <c r="A66" s="29"/>
      <c r="B66" s="29"/>
      <c r="C66" s="31"/>
      <c r="D66" s="31"/>
      <c r="E66" s="31"/>
      <c r="F66" s="31"/>
      <c r="G66" s="31"/>
      <c r="H66" s="31"/>
      <c r="I66" s="31"/>
      <c r="J66" s="31"/>
      <c r="K66" s="31"/>
      <c r="L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N66" s="31"/>
      <c r="AO66" s="31"/>
      <c r="AP66" s="31"/>
      <c r="AQ66" s="31"/>
      <c r="AR66" s="31"/>
      <c r="AS66" s="31"/>
      <c r="AT66" s="31"/>
    </row>
    <row r="67" ht="17.25" customHeight="1" spans="1:46">
      <c r="A67" s="29"/>
      <c r="B67" s="29"/>
      <c r="C67" s="31"/>
      <c r="D67" s="31"/>
      <c r="E67" s="31"/>
      <c r="F67" s="31"/>
      <c r="G67" s="31"/>
      <c r="H67" s="31"/>
      <c r="I67" s="31"/>
      <c r="J67" s="31"/>
      <c r="K67" s="31"/>
      <c r="L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N67" s="31"/>
      <c r="AO67" s="31"/>
      <c r="AP67" s="31"/>
      <c r="AQ67" s="31"/>
      <c r="AR67" s="31"/>
      <c r="AS67" s="31"/>
      <c r="AT67" s="31"/>
    </row>
    <row r="68" ht="17.25" customHeight="1" spans="1:46">
      <c r="A68" s="29"/>
      <c r="B68" s="29"/>
      <c r="C68" s="31"/>
      <c r="D68" s="31"/>
      <c r="E68" s="31"/>
      <c r="F68" s="31"/>
      <c r="G68" s="31"/>
      <c r="H68" s="31"/>
      <c r="I68" s="31"/>
      <c r="J68" s="31"/>
      <c r="K68" s="31"/>
      <c r="L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N68" s="31"/>
      <c r="AO68" s="31"/>
      <c r="AP68" s="31"/>
      <c r="AQ68" s="31"/>
      <c r="AR68" s="31"/>
      <c r="AS68" s="31"/>
      <c r="AT68" s="31"/>
    </row>
    <row r="69" ht="17.25" customHeight="1" spans="1:46">
      <c r="A69" s="29"/>
      <c r="B69" s="29"/>
      <c r="C69" s="31"/>
      <c r="D69" s="31"/>
      <c r="E69" s="31"/>
      <c r="F69" s="31"/>
      <c r="G69" s="31"/>
      <c r="H69" s="31"/>
      <c r="I69" s="31"/>
      <c r="J69" s="31"/>
      <c r="K69" s="31"/>
      <c r="L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N69" s="31"/>
      <c r="AO69" s="31"/>
      <c r="AP69" s="31"/>
      <c r="AQ69" s="31"/>
      <c r="AR69" s="31"/>
      <c r="AS69" s="31"/>
      <c r="AT69" s="31"/>
    </row>
    <row r="70" ht="17.25" customHeight="1" spans="1:46">
      <c r="A70" s="29"/>
      <c r="B70" s="29"/>
      <c r="C70" s="31"/>
      <c r="D70" s="31"/>
      <c r="E70" s="31"/>
      <c r="F70" s="31"/>
      <c r="G70" s="31"/>
      <c r="H70" s="31"/>
      <c r="I70" s="31"/>
      <c r="J70" s="31"/>
      <c r="K70" s="31"/>
      <c r="L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N70" s="31"/>
      <c r="AO70" s="31"/>
      <c r="AP70" s="31"/>
      <c r="AQ70" s="31"/>
      <c r="AR70" s="31"/>
      <c r="AS70" s="31"/>
      <c r="AT70" s="31"/>
    </row>
    <row r="71" ht="17.25" customHeight="1" spans="1:46">
      <c r="A71" s="29"/>
      <c r="B71" s="29"/>
      <c r="C71" s="31"/>
      <c r="D71" s="31"/>
      <c r="E71" s="31"/>
      <c r="F71" s="31"/>
      <c r="G71" s="31"/>
      <c r="H71" s="31"/>
      <c r="I71" s="31"/>
      <c r="J71" s="31"/>
      <c r="K71" s="31"/>
      <c r="L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N71" s="31"/>
      <c r="AO71" s="31"/>
      <c r="AP71" s="31"/>
      <c r="AQ71" s="31"/>
      <c r="AR71" s="31"/>
      <c r="AS71" s="31"/>
      <c r="AT71" s="31"/>
    </row>
    <row r="72" ht="17.25" customHeight="1" spans="1:46">
      <c r="A72" s="29"/>
      <c r="B72" s="29"/>
      <c r="C72" s="31"/>
      <c r="D72" s="31"/>
      <c r="E72" s="31"/>
      <c r="F72" s="31"/>
      <c r="G72" s="31"/>
      <c r="H72" s="31"/>
      <c r="I72" s="31"/>
      <c r="J72" s="31"/>
      <c r="K72" s="31"/>
      <c r="L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N72" s="31"/>
      <c r="AO72" s="31"/>
      <c r="AP72" s="31"/>
      <c r="AQ72" s="31"/>
      <c r="AR72" s="31"/>
      <c r="AS72" s="31"/>
      <c r="AT72" s="31"/>
    </row>
    <row r="73" ht="17.25" customHeight="1" spans="1:46">
      <c r="A73" s="29"/>
      <c r="B73" s="29"/>
      <c r="C73" s="31"/>
      <c r="D73" s="31"/>
      <c r="E73" s="31"/>
      <c r="F73" s="31"/>
      <c r="G73" s="31"/>
      <c r="H73" s="31"/>
      <c r="I73" s="31"/>
      <c r="J73" s="31"/>
      <c r="K73" s="31"/>
      <c r="L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N73" s="31"/>
      <c r="AO73" s="31"/>
      <c r="AP73" s="31"/>
      <c r="AQ73" s="31"/>
      <c r="AR73" s="31"/>
      <c r="AS73" s="31"/>
      <c r="AT73" s="31"/>
    </row>
    <row r="74" ht="17.25" customHeight="1" spans="1:46">
      <c r="A74" s="29"/>
      <c r="B74" s="29"/>
      <c r="C74" s="31"/>
      <c r="D74" s="31"/>
      <c r="E74" s="31"/>
      <c r="F74" s="31"/>
      <c r="G74" s="31"/>
      <c r="H74" s="31"/>
      <c r="I74" s="31"/>
      <c r="J74" s="31"/>
      <c r="K74" s="31"/>
      <c r="L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N74" s="31"/>
      <c r="AO74" s="31"/>
      <c r="AP74" s="31"/>
      <c r="AQ74" s="31"/>
      <c r="AR74" s="31"/>
      <c r="AS74" s="31"/>
      <c r="AT74" s="31"/>
    </row>
    <row r="75" ht="17.25" customHeight="1" spans="1:46">
      <c r="A75" s="29"/>
      <c r="B75" s="29"/>
      <c r="C75" s="31"/>
      <c r="D75" s="31"/>
      <c r="E75" s="31"/>
      <c r="F75" s="31"/>
      <c r="G75" s="31"/>
      <c r="H75" s="31"/>
      <c r="I75" s="31"/>
      <c r="J75" s="31"/>
      <c r="K75" s="31"/>
      <c r="L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N75" s="31"/>
      <c r="AO75" s="31"/>
      <c r="AP75" s="31"/>
      <c r="AQ75" s="31"/>
      <c r="AR75" s="31"/>
      <c r="AS75" s="31"/>
      <c r="AT75" s="31"/>
    </row>
    <row r="76" ht="17.25" customHeight="1" spans="1:46">
      <c r="A76" s="29"/>
      <c r="B76" s="29"/>
      <c r="C76" s="31"/>
      <c r="D76" s="31"/>
      <c r="E76" s="31"/>
      <c r="F76" s="31"/>
      <c r="G76" s="31"/>
      <c r="H76" s="31"/>
      <c r="I76" s="31"/>
      <c r="J76" s="31"/>
      <c r="K76" s="31"/>
      <c r="L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N76" s="31"/>
      <c r="AO76" s="31"/>
      <c r="AP76" s="31"/>
      <c r="AQ76" s="31"/>
      <c r="AR76" s="31"/>
      <c r="AS76" s="31"/>
      <c r="AT76" s="31"/>
    </row>
    <row r="77" ht="17.25" customHeight="1" spans="1:46">
      <c r="A77" s="29"/>
      <c r="B77" s="29"/>
      <c r="C77" s="31"/>
      <c r="D77" s="31"/>
      <c r="E77" s="31"/>
      <c r="F77" s="31"/>
      <c r="G77" s="31"/>
      <c r="H77" s="31"/>
      <c r="I77" s="31"/>
      <c r="J77" s="31"/>
      <c r="K77" s="31"/>
      <c r="L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N77" s="31"/>
      <c r="AO77" s="31"/>
      <c r="AP77" s="31"/>
      <c r="AQ77" s="31"/>
      <c r="AR77" s="31"/>
      <c r="AS77" s="31"/>
      <c r="AT77" s="31"/>
    </row>
    <row r="78" ht="17.25" customHeight="1" spans="1:46">
      <c r="A78" s="29"/>
      <c r="B78" s="29"/>
      <c r="C78" s="31"/>
      <c r="D78" s="31"/>
      <c r="E78" s="31"/>
      <c r="F78" s="31"/>
      <c r="G78" s="31"/>
      <c r="H78" s="31"/>
      <c r="I78" s="31"/>
      <c r="J78" s="31"/>
      <c r="K78" s="31"/>
      <c r="L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N78" s="31"/>
      <c r="AO78" s="31"/>
      <c r="AP78" s="31"/>
      <c r="AQ78" s="31"/>
      <c r="AR78" s="31"/>
      <c r="AS78" s="31"/>
      <c r="AT78" s="31"/>
    </row>
    <row r="79" ht="17.25" customHeight="1" spans="1:46">
      <c r="A79" s="29"/>
      <c r="B79" s="29"/>
      <c r="C79" s="31"/>
      <c r="D79" s="31"/>
      <c r="E79" s="31"/>
      <c r="F79" s="31"/>
      <c r="G79" s="31"/>
      <c r="H79" s="31"/>
      <c r="I79" s="31"/>
      <c r="J79" s="31"/>
      <c r="K79" s="31"/>
      <c r="L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N79" s="31"/>
      <c r="AO79" s="31"/>
      <c r="AP79" s="31"/>
      <c r="AQ79" s="31"/>
      <c r="AR79" s="31"/>
      <c r="AS79" s="31"/>
      <c r="AT79" s="31"/>
    </row>
    <row r="80" ht="17.25" customHeight="1" spans="1:46">
      <c r="A80" s="29"/>
      <c r="B80" s="29"/>
      <c r="C80" s="31"/>
      <c r="D80" s="31"/>
      <c r="E80" s="31"/>
      <c r="F80" s="31"/>
      <c r="G80" s="31"/>
      <c r="H80" s="31"/>
      <c r="I80" s="31"/>
      <c r="J80" s="31"/>
      <c r="K80" s="31"/>
      <c r="L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N80" s="31"/>
      <c r="AO80" s="31"/>
      <c r="AP80" s="31"/>
      <c r="AQ80" s="31"/>
      <c r="AR80" s="31"/>
      <c r="AS80" s="31"/>
      <c r="AT80" s="31"/>
    </row>
    <row r="81" ht="17.25" customHeight="1" spans="1:46">
      <c r="A81" s="29"/>
      <c r="B81" s="29"/>
      <c r="C81" s="31"/>
      <c r="D81" s="31"/>
      <c r="E81" s="31"/>
      <c r="F81" s="31"/>
      <c r="G81" s="31"/>
      <c r="H81" s="31"/>
      <c r="I81" s="31"/>
      <c r="J81" s="31"/>
      <c r="K81" s="31"/>
      <c r="L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N81" s="31"/>
      <c r="AO81" s="31"/>
      <c r="AP81" s="31"/>
      <c r="AQ81" s="31"/>
      <c r="AR81" s="31"/>
      <c r="AS81" s="31"/>
      <c r="AT81" s="31"/>
    </row>
    <row r="82" ht="17.25" customHeight="1" spans="1:46">
      <c r="A82" s="29"/>
      <c r="B82" s="29"/>
      <c r="C82" s="31"/>
      <c r="D82" s="31"/>
      <c r="E82" s="31"/>
      <c r="F82" s="31"/>
      <c r="G82" s="31"/>
      <c r="H82" s="31"/>
      <c r="I82" s="31"/>
      <c r="J82" s="31"/>
      <c r="K82" s="31"/>
      <c r="L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N82" s="31"/>
      <c r="AO82" s="31"/>
      <c r="AP82" s="31"/>
      <c r="AQ82" s="31"/>
      <c r="AR82" s="31"/>
      <c r="AS82" s="31"/>
      <c r="AT82" s="31"/>
    </row>
    <row r="83" ht="17.25" customHeight="1" spans="1:46">
      <c r="A83" s="29"/>
      <c r="B83" s="29"/>
      <c r="C83" s="31"/>
      <c r="D83" s="31"/>
      <c r="E83" s="31"/>
      <c r="F83" s="31"/>
      <c r="G83" s="31"/>
      <c r="H83" s="31"/>
      <c r="I83" s="31"/>
      <c r="J83" s="31"/>
      <c r="K83" s="31"/>
      <c r="L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N83" s="31"/>
      <c r="AO83" s="31"/>
      <c r="AP83" s="31"/>
      <c r="AQ83" s="31"/>
      <c r="AR83" s="31"/>
      <c r="AS83" s="31"/>
      <c r="AT83" s="31"/>
    </row>
  </sheetData>
  <mergeCells count="3">
    <mergeCell ref="A1:L1"/>
    <mergeCell ref="N1:Y1"/>
    <mergeCell ref="AA1:AK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53"/>
  <sheetViews>
    <sheetView workbookViewId="0">
      <selection activeCell="A1" sqref="A1:B1"/>
    </sheetView>
  </sheetViews>
  <sheetFormatPr defaultColWidth="8.68148148148148" defaultRowHeight="15" customHeight="1"/>
  <cols>
    <col min="1" max="1" width="12.4296296296296" style="11" customWidth="1"/>
    <col min="2" max="2" width="8.86666666666667" style="11" customWidth="1"/>
    <col min="3" max="3" width="12.4296296296296" style="1" customWidth="1"/>
    <col min="4" max="4" width="12.4296296296296" style="11" customWidth="1"/>
    <col min="5" max="5" width="8.86666666666667" style="11" customWidth="1"/>
    <col min="6" max="6" width="12.4296296296296" style="1" customWidth="1"/>
    <col min="7" max="7" width="12.4296296296296" style="3" customWidth="1"/>
    <col min="8" max="8" width="8.86666666666667" style="3" customWidth="1"/>
    <col min="9" max="11" width="12.4296296296296" style="1" customWidth="1"/>
    <col min="12" max="12" width="10.2888888888889" style="20" customWidth="1"/>
    <col min="13" max="14" width="8.86666666666667" style="11" customWidth="1"/>
    <col min="15" max="20" width="12.4296296296296" style="20" customWidth="1"/>
  </cols>
  <sheetData>
    <row r="1" ht="17.25" customHeight="1" spans="1:20">
      <c r="A1" s="16" t="s">
        <v>1</v>
      </c>
      <c r="B1" s="16"/>
      <c r="D1" s="16" t="s">
        <v>2</v>
      </c>
      <c r="E1" s="16"/>
      <c r="G1" s="16" t="s">
        <v>3</v>
      </c>
      <c r="H1" s="16"/>
      <c r="K1" s="19" t="s">
        <v>4</v>
      </c>
      <c r="L1" s="19"/>
      <c r="M1" s="9"/>
      <c r="N1" s="9"/>
      <c r="O1" s="7"/>
      <c r="P1" s="7"/>
      <c r="Q1" s="13"/>
      <c r="R1" s="13"/>
      <c r="S1" s="13"/>
      <c r="T1" s="7"/>
    </row>
    <row r="2" ht="17.25" customHeight="1" spans="1:20">
      <c r="A2" s="22">
        <v>0.000999724</v>
      </c>
      <c r="B2" s="8">
        <v>115979000</v>
      </c>
      <c r="D2" s="18">
        <v>0.00100427</v>
      </c>
      <c r="E2" s="8">
        <v>120854000</v>
      </c>
      <c r="G2" s="21">
        <v>0.00095142</v>
      </c>
      <c r="H2" s="8">
        <v>117141000</v>
      </c>
      <c r="L2" s="23" t="s">
        <v>5</v>
      </c>
      <c r="M2" s="14" t="s">
        <v>6</v>
      </c>
      <c r="N2" s="14" t="s">
        <v>7</v>
      </c>
      <c r="O2" s="15" t="s">
        <v>8</v>
      </c>
      <c r="P2" s="15" t="s">
        <v>9</v>
      </c>
      <c r="Q2" s="23" t="s">
        <v>10</v>
      </c>
      <c r="R2" s="23" t="s">
        <v>11</v>
      </c>
      <c r="S2" s="23" t="s">
        <v>12</v>
      </c>
      <c r="T2" s="15" t="s">
        <v>13</v>
      </c>
    </row>
    <row r="3" ht="17.25" customHeight="1" spans="1:20">
      <c r="A3" s="22">
        <v>0.0019768</v>
      </c>
      <c r="B3" s="8">
        <v>126519000</v>
      </c>
      <c r="D3" s="18">
        <v>0.00201175</v>
      </c>
      <c r="E3" s="8">
        <v>134485000</v>
      </c>
      <c r="G3" s="21">
        <v>0.00205493</v>
      </c>
      <c r="H3" s="8">
        <v>120931000</v>
      </c>
      <c r="K3" s="1" t="s">
        <v>14</v>
      </c>
      <c r="L3" s="7">
        <f>AVERAGE(B27:B31)/1000000</f>
        <v>143.0018</v>
      </c>
      <c r="M3" s="8">
        <f>AVERAGE('400K_SR100'!L27:L31)</f>
        <v>8819098000000</v>
      </c>
      <c r="N3" s="8">
        <f>AVERAGE('400K_SR100'!C27:C31)</f>
        <v>45230120000000</v>
      </c>
      <c r="O3" s="7">
        <f>Graphs!$B$1*80.9*0.248*SQRT(M3)/1000000</f>
        <v>29.7908085881283</v>
      </c>
      <c r="P3" s="7">
        <f>Graphs!$B$2*80.9*0.248*SQRT(N3)/1000000</f>
        <v>6.74658624848792</v>
      </c>
      <c r="Q3" s="7">
        <f>SQRT(O3^2+P3^2)</f>
        <v>30.5451911492265</v>
      </c>
      <c r="R3" s="7">
        <f>L3*0.4395</f>
        <v>62.8492911</v>
      </c>
      <c r="S3" s="7">
        <f>R3/Q3</f>
        <v>2.05758382041068</v>
      </c>
      <c r="T3" s="7">
        <f>M3/N3</f>
        <v>0.194982856556649</v>
      </c>
    </row>
    <row r="4" ht="17.25" customHeight="1" spans="1:20">
      <c r="A4" s="22">
        <v>0.00298521</v>
      </c>
      <c r="B4" s="8">
        <v>127630000</v>
      </c>
      <c r="D4" s="18">
        <v>0.00303869</v>
      </c>
      <c r="E4" s="8">
        <v>129908000</v>
      </c>
      <c r="G4" s="21">
        <v>0.00304863</v>
      </c>
      <c r="H4" s="8">
        <v>131506000</v>
      </c>
      <c r="K4" s="1" t="s">
        <v>15</v>
      </c>
      <c r="L4" s="7">
        <f>AVERAGE(E27:E31)/1000000</f>
        <v>135.0584</v>
      </c>
      <c r="M4" s="8">
        <f>AVERAGE('400K_SR100'!Y27:Y31)</f>
        <v>8562096000000</v>
      </c>
      <c r="N4" s="8">
        <f>AVERAGE('400K_SR100'!P27:P31)</f>
        <v>44641760000000</v>
      </c>
      <c r="O4" s="7">
        <f>Graphs!$B$1*80.9*0.248*SQRT(M4)/1000000</f>
        <v>29.3535243955233</v>
      </c>
      <c r="P4" s="7">
        <f>Graphs!$B$2*80.9*0.248*SQRT(N4)/1000000</f>
        <v>6.70256232331775</v>
      </c>
      <c r="Q4" s="7">
        <f>SQRT(O4^2+P4^2)</f>
        <v>30.1090308069944</v>
      </c>
      <c r="R4" s="7">
        <f>L4*0.4395</f>
        <v>59.3581668</v>
      </c>
      <c r="S4" s="7">
        <f>R4/Q4</f>
        <v>1.97144063455576</v>
      </c>
      <c r="T4" s="7">
        <f>M4/N4</f>
        <v>0.191795663970238</v>
      </c>
    </row>
    <row r="5" ht="17.25" customHeight="1" spans="1:20">
      <c r="A5" s="22">
        <v>0.00395737</v>
      </c>
      <c r="B5" s="8">
        <v>138705000</v>
      </c>
      <c r="D5" s="18">
        <v>0.0039768</v>
      </c>
      <c r="E5" s="8">
        <v>148200000</v>
      </c>
      <c r="G5" s="21">
        <v>0.00403473</v>
      </c>
      <c r="H5" s="8">
        <v>137738000</v>
      </c>
      <c r="K5" s="1" t="s">
        <v>3</v>
      </c>
      <c r="L5" s="7">
        <f>AVERAGE(H27:H31)/1000000</f>
        <v>143.095</v>
      </c>
      <c r="M5" s="8">
        <f>AVERAGE('400K_SR100'!AL27:AL31)</f>
        <v>9674936000000</v>
      </c>
      <c r="N5" s="8">
        <f>AVERAGE('400K_SR100'!AC27:AC31)</f>
        <v>44690420000000</v>
      </c>
      <c r="O5" s="7">
        <f>Graphs!$B$1*80.9*0.248*SQRT(M5)/1000000</f>
        <v>31.202849558271</v>
      </c>
      <c r="P5" s="7">
        <f>Graphs!$B$2*80.9*0.248*SQRT(N5)/1000000</f>
        <v>6.70621426104609</v>
      </c>
      <c r="Q5" s="7">
        <f>SQRT(O5^2+P5^2)</f>
        <v>31.9153745124689</v>
      </c>
      <c r="R5" s="7">
        <f>L5*0.4395</f>
        <v>62.8902525</v>
      </c>
      <c r="S5" s="7">
        <f>R5/Q5</f>
        <v>1.97053155291753</v>
      </c>
      <c r="T5" s="7">
        <f>M5/N5</f>
        <v>0.216487918439791</v>
      </c>
    </row>
    <row r="6" ht="17.25" customHeight="1" spans="1:20">
      <c r="A6" s="22">
        <v>0.00498979</v>
      </c>
      <c r="B6" s="8">
        <v>136801000</v>
      </c>
      <c r="D6" s="18">
        <v>0.00499222</v>
      </c>
      <c r="E6" s="8">
        <v>149121000</v>
      </c>
      <c r="G6" s="21">
        <v>0.00499236</v>
      </c>
      <c r="H6" s="8">
        <v>146845000</v>
      </c>
      <c r="L6" s="13"/>
      <c r="M6" s="9"/>
      <c r="N6" s="9"/>
      <c r="O6" s="13"/>
      <c r="P6" s="13"/>
      <c r="Q6" s="13"/>
      <c r="R6" s="13"/>
      <c r="S6" s="13"/>
      <c r="T6" s="13"/>
    </row>
    <row r="7" ht="17.25" customHeight="1" spans="1:20">
      <c r="A7" s="22">
        <v>0.00600038</v>
      </c>
      <c r="B7" s="8">
        <v>141701000</v>
      </c>
      <c r="D7" s="18">
        <v>0.00600004</v>
      </c>
      <c r="E7" s="8">
        <v>142967000</v>
      </c>
      <c r="G7" s="21">
        <v>0.00604712</v>
      </c>
      <c r="H7" s="8">
        <v>141692000</v>
      </c>
      <c r="L7" s="13"/>
      <c r="M7" s="9"/>
      <c r="N7" s="9"/>
      <c r="O7" s="13"/>
      <c r="P7" s="13"/>
      <c r="Q7" s="13"/>
      <c r="R7" s="13"/>
      <c r="S7" s="13"/>
      <c r="T7" s="13"/>
    </row>
    <row r="8" ht="17.25" customHeight="1" spans="1:20">
      <c r="A8" s="22">
        <v>0.00698823</v>
      </c>
      <c r="B8" s="8">
        <v>145200000</v>
      </c>
      <c r="D8" s="18">
        <v>0.00704415</v>
      </c>
      <c r="E8" s="8">
        <v>146170000</v>
      </c>
      <c r="G8" s="21">
        <v>0.00700076</v>
      </c>
      <c r="H8" s="8">
        <v>142598000</v>
      </c>
      <c r="L8" s="13"/>
      <c r="M8" s="9"/>
      <c r="N8" s="9"/>
      <c r="O8" s="13"/>
      <c r="P8" s="13"/>
      <c r="Q8" s="13"/>
      <c r="R8" s="13"/>
      <c r="S8" s="13"/>
      <c r="T8" s="13"/>
    </row>
    <row r="9" ht="17.25" customHeight="1" spans="1:20">
      <c r="A9" s="22">
        <v>0.00797659</v>
      </c>
      <c r="B9" s="8">
        <v>134987000</v>
      </c>
      <c r="D9" s="18">
        <v>0.00800857</v>
      </c>
      <c r="E9" s="8">
        <v>141619000</v>
      </c>
      <c r="G9" s="21">
        <v>0.0080479</v>
      </c>
      <c r="H9" s="8">
        <v>144257000</v>
      </c>
      <c r="K9" s="1" t="s">
        <v>14</v>
      </c>
      <c r="L9" s="7">
        <f>AVERAGE(B12:B16)/1000000</f>
        <v>145.4976</v>
      </c>
      <c r="M9" s="8">
        <f>AVERAGE('400K_SR100'!L12:L16)</f>
        <v>8283940000000</v>
      </c>
      <c r="N9" s="8">
        <f>AVERAGE('400K_SR100'!C12:C16)</f>
        <v>44963840000000</v>
      </c>
      <c r="O9" s="7">
        <f>Graphs!$B$1*80.9*0.248*SQRT(M9)/1000000</f>
        <v>28.8727851460701</v>
      </c>
      <c r="P9" s="7">
        <f>Graphs!$B$2*80.9*0.248*SQRT(N9)/1000000</f>
        <v>6.72669758943575</v>
      </c>
      <c r="Q9" s="7">
        <f>SQRT(O9^2+P9^2)</f>
        <v>29.6460146149672</v>
      </c>
      <c r="R9" s="7">
        <f>L9*0.4395</f>
        <v>63.9461952</v>
      </c>
      <c r="S9" s="7">
        <f>R9/Q9</f>
        <v>2.15699128636724</v>
      </c>
      <c r="T9" s="7">
        <f>M9/N9</f>
        <v>0.184235599094739</v>
      </c>
    </row>
    <row r="10" ht="17.25" customHeight="1" spans="1:20">
      <c r="A10" s="22">
        <v>0.00898825</v>
      </c>
      <c r="B10" s="8">
        <v>144067000</v>
      </c>
      <c r="D10" s="18">
        <v>0.00900841</v>
      </c>
      <c r="E10" s="8">
        <v>141051000</v>
      </c>
      <c r="G10" s="21">
        <v>0.00898676</v>
      </c>
      <c r="H10" s="8">
        <v>146075000</v>
      </c>
      <c r="K10" s="1" t="s">
        <v>15</v>
      </c>
      <c r="L10" s="7">
        <f>AVERAGE(E12:E16)/1000000</f>
        <v>140.897</v>
      </c>
      <c r="M10" s="8">
        <f>AVERAGE('400K_SR100'!Y12:Y16)</f>
        <v>8017882000000</v>
      </c>
      <c r="N10" s="8">
        <f>AVERAGE('400K_SR100'!P12:P16)</f>
        <v>45286840000000</v>
      </c>
      <c r="O10" s="7">
        <f>Graphs!$B$1*80.9*0.248*SQRT(M10)/1000000</f>
        <v>28.4053429438944</v>
      </c>
      <c r="P10" s="7">
        <f>Graphs!$B$2*80.9*0.248*SQRT(N10)/1000000</f>
        <v>6.750815139305</v>
      </c>
      <c r="Q10" s="7">
        <f>SQRT(O10^2+P10^2)</f>
        <v>29.1965239849767</v>
      </c>
      <c r="R10" s="7">
        <f>L10*0.4395</f>
        <v>61.9242315</v>
      </c>
      <c r="S10" s="7">
        <f>R10/Q10</f>
        <v>2.1209453403379</v>
      </c>
      <c r="T10" s="7">
        <f>M10/N10</f>
        <v>0.177046621049294</v>
      </c>
    </row>
    <row r="11" ht="17.25" customHeight="1" spans="1:20">
      <c r="A11" s="22">
        <v>0.0100224</v>
      </c>
      <c r="B11" s="8">
        <v>140420000</v>
      </c>
      <c r="D11" s="18">
        <v>0.00997998</v>
      </c>
      <c r="E11" s="8">
        <v>150729000</v>
      </c>
      <c r="G11" s="21">
        <v>0.0101114</v>
      </c>
      <c r="H11" s="8">
        <v>144329000</v>
      </c>
      <c r="K11" s="1" t="s">
        <v>3</v>
      </c>
      <c r="L11" s="7">
        <f>AVERAGE(H12:H16)/1000000</f>
        <v>143.1368</v>
      </c>
      <c r="M11" s="8">
        <f>AVERAGE('400K_SR100'!L12:AL16)</f>
        <v>7617034236320.16</v>
      </c>
      <c r="N11" s="8">
        <f>AVERAGE('400K_SR100'!AC12:AC16)</f>
        <v>45781960000000</v>
      </c>
      <c r="O11" s="7">
        <f>Graphs!$B$1*80.9*0.248*SQRT(M11)/1000000</f>
        <v>27.6861878079138</v>
      </c>
      <c r="P11" s="7">
        <f>Graphs!$B$2*80.9*0.248*SQRT(N11)/1000000</f>
        <v>6.7876180761398</v>
      </c>
      <c r="Q11" s="7">
        <f>SQRT(O11^2+P11^2)</f>
        <v>28.5060827628529</v>
      </c>
      <c r="R11" s="7">
        <f>L11*0.4395</f>
        <v>62.9086236</v>
      </c>
      <c r="S11" s="7">
        <f>R11/Q11</f>
        <v>2.20684911790048</v>
      </c>
      <c r="T11" s="7">
        <f>M11/N11</f>
        <v>0.166376324568021</v>
      </c>
    </row>
    <row r="12" ht="17.25" customHeight="1" spans="1:20">
      <c r="A12" s="22">
        <v>0.0110035</v>
      </c>
      <c r="B12" s="8">
        <v>139083000</v>
      </c>
      <c r="D12" s="18">
        <v>0.0110223</v>
      </c>
      <c r="E12" s="8">
        <v>147359000</v>
      </c>
      <c r="G12" s="21">
        <v>0.0109915</v>
      </c>
      <c r="H12" s="8">
        <v>148838000</v>
      </c>
      <c r="L12" s="13"/>
      <c r="M12" s="9"/>
      <c r="N12" s="9"/>
      <c r="O12" s="13"/>
      <c r="P12" s="13"/>
      <c r="Q12" s="13"/>
      <c r="R12" s="13"/>
      <c r="S12" s="13"/>
      <c r="T12" s="13"/>
    </row>
    <row r="13" ht="17.25" customHeight="1" spans="1:20">
      <c r="A13" s="22">
        <v>0.0120144</v>
      </c>
      <c r="B13" s="8">
        <v>141718000</v>
      </c>
      <c r="D13" s="18">
        <v>0.0119868</v>
      </c>
      <c r="E13" s="8">
        <v>147942000</v>
      </c>
      <c r="G13" s="21">
        <v>0.0120397</v>
      </c>
      <c r="H13" s="8">
        <v>149773000</v>
      </c>
      <c r="L13" s="13"/>
      <c r="M13" s="9"/>
      <c r="N13" s="9"/>
      <c r="O13" s="13"/>
      <c r="P13" s="13"/>
      <c r="Q13" s="13"/>
      <c r="R13" s="13"/>
      <c r="S13" s="13"/>
      <c r="T13" s="13"/>
    </row>
    <row r="14" ht="17.25" customHeight="1" spans="1:20">
      <c r="A14" s="22">
        <v>0.0129708</v>
      </c>
      <c r="B14" s="8">
        <v>153641000</v>
      </c>
      <c r="D14" s="18">
        <v>0.0130168</v>
      </c>
      <c r="E14" s="8">
        <v>139638000</v>
      </c>
      <c r="G14" s="21">
        <v>0.0130128</v>
      </c>
      <c r="H14" s="8">
        <v>143800000</v>
      </c>
      <c r="L14" s="13"/>
      <c r="M14" s="9"/>
      <c r="N14" s="9"/>
      <c r="O14" s="13"/>
      <c r="P14" s="13"/>
      <c r="Q14" s="13"/>
      <c r="R14" s="13"/>
      <c r="S14" s="13"/>
      <c r="T14" s="13"/>
    </row>
    <row r="15" ht="17.25" customHeight="1" spans="1:20">
      <c r="A15" s="22">
        <v>0.0140085</v>
      </c>
      <c r="B15" s="8">
        <v>145588000</v>
      </c>
      <c r="D15" s="18">
        <v>0.0140074</v>
      </c>
      <c r="E15" s="8">
        <v>136349000</v>
      </c>
      <c r="G15" s="21">
        <v>0.0139734</v>
      </c>
      <c r="H15" s="8">
        <v>144448000</v>
      </c>
      <c r="L15" s="13"/>
      <c r="M15" s="9"/>
      <c r="N15" s="9"/>
      <c r="O15" s="13"/>
      <c r="P15" s="13"/>
      <c r="Q15" s="13"/>
      <c r="R15" s="13"/>
      <c r="S15" s="13"/>
      <c r="T15" s="13"/>
    </row>
    <row r="16" ht="17.25" customHeight="1" spans="1:20">
      <c r="A16" s="22">
        <v>0.0149926</v>
      </c>
      <c r="B16" s="8">
        <v>147458000</v>
      </c>
      <c r="D16" s="18">
        <v>0.0149746</v>
      </c>
      <c r="E16" s="8">
        <v>133197000</v>
      </c>
      <c r="G16" s="21">
        <v>0.0150051</v>
      </c>
      <c r="H16" s="8">
        <v>128825000</v>
      </c>
      <c r="L16" s="13"/>
      <c r="M16" s="9"/>
      <c r="N16" s="9"/>
      <c r="O16" s="13"/>
      <c r="P16" s="13"/>
      <c r="Q16" s="13"/>
      <c r="R16" s="13"/>
      <c r="S16" s="13"/>
      <c r="T16" s="13"/>
    </row>
    <row r="17" ht="17.25" customHeight="1" spans="1:20">
      <c r="A17" s="22">
        <v>0.0160169</v>
      </c>
      <c r="B17" s="8">
        <v>141520000</v>
      </c>
      <c r="D17" s="18">
        <v>0.0159461</v>
      </c>
      <c r="E17" s="8">
        <v>140828000</v>
      </c>
      <c r="G17" s="21">
        <v>0.0160267</v>
      </c>
      <c r="H17" s="8">
        <v>138416000</v>
      </c>
      <c r="L17" s="13"/>
      <c r="M17" s="9"/>
      <c r="N17" s="9"/>
      <c r="O17" s="13"/>
      <c r="P17" s="13"/>
      <c r="Q17" s="13"/>
      <c r="R17" s="13"/>
      <c r="S17" s="13"/>
      <c r="T17" s="13"/>
    </row>
    <row r="18" ht="17.25" customHeight="1" spans="1:20">
      <c r="A18" s="22">
        <v>0.0169616</v>
      </c>
      <c r="B18" s="8">
        <v>141083000</v>
      </c>
      <c r="D18" s="18">
        <v>0.0169679</v>
      </c>
      <c r="E18" s="8">
        <v>139953000</v>
      </c>
      <c r="G18" s="21">
        <v>0.0169967</v>
      </c>
      <c r="H18" s="8">
        <v>133483000</v>
      </c>
      <c r="L18" s="13"/>
      <c r="M18" s="9"/>
      <c r="N18" s="9"/>
      <c r="O18" s="13"/>
      <c r="P18" s="13"/>
      <c r="Q18" s="13"/>
      <c r="R18" s="13"/>
      <c r="S18" s="13"/>
      <c r="T18" s="13"/>
    </row>
    <row r="19" ht="17.25" customHeight="1" spans="1:20">
      <c r="A19" s="22">
        <v>0.0179688</v>
      </c>
      <c r="B19" s="8">
        <v>139499000</v>
      </c>
      <c r="D19" s="18">
        <v>0.0179549</v>
      </c>
      <c r="E19" s="8">
        <v>141964000</v>
      </c>
      <c r="G19" s="21">
        <v>0.0180007</v>
      </c>
      <c r="H19" s="8">
        <v>147728000</v>
      </c>
      <c r="L19" s="13"/>
      <c r="M19" s="9"/>
      <c r="N19" s="9"/>
      <c r="O19" s="13"/>
      <c r="P19" s="13"/>
      <c r="Q19" s="13"/>
      <c r="R19" s="13"/>
      <c r="S19" s="13"/>
      <c r="T19" s="13"/>
    </row>
    <row r="20" ht="17.25" customHeight="1" spans="1:20">
      <c r="A20" s="22">
        <v>0.0189679</v>
      </c>
      <c r="B20" s="8">
        <v>154252000</v>
      </c>
      <c r="D20" s="18">
        <v>0.0190017</v>
      </c>
      <c r="E20" s="8">
        <v>143654000</v>
      </c>
      <c r="G20" s="21">
        <v>0.0189863</v>
      </c>
      <c r="H20" s="8">
        <v>145468000</v>
      </c>
      <c r="L20" s="13"/>
      <c r="M20" s="9"/>
      <c r="N20" s="9"/>
      <c r="O20" s="13"/>
      <c r="P20" s="13"/>
      <c r="Q20" s="13"/>
      <c r="R20" s="13"/>
      <c r="S20" s="13"/>
      <c r="T20" s="13"/>
    </row>
    <row r="21" ht="17.25" customHeight="1" spans="1:20">
      <c r="A21" s="22">
        <v>0.0200246</v>
      </c>
      <c r="B21" s="8">
        <v>146406000</v>
      </c>
      <c r="D21" s="18">
        <v>0.0200063</v>
      </c>
      <c r="E21" s="8">
        <v>139472000</v>
      </c>
      <c r="G21" s="21">
        <v>0.0200033</v>
      </c>
      <c r="H21" s="8">
        <v>145859000</v>
      </c>
      <c r="L21" s="13"/>
      <c r="M21" s="9"/>
      <c r="N21" s="9"/>
      <c r="O21" s="13"/>
      <c r="P21" s="13"/>
      <c r="Q21" s="13"/>
      <c r="R21" s="13"/>
      <c r="S21" s="13"/>
      <c r="T21" s="13"/>
    </row>
    <row r="22" ht="17.25" customHeight="1" spans="1:20">
      <c r="A22" s="22">
        <v>0.0210283</v>
      </c>
      <c r="B22" s="8">
        <v>151066000</v>
      </c>
      <c r="D22" s="18">
        <v>0.0209319</v>
      </c>
      <c r="E22" s="8">
        <v>145937000</v>
      </c>
      <c r="G22" s="21">
        <v>0.020987</v>
      </c>
      <c r="H22" s="8">
        <v>135525000</v>
      </c>
      <c r="L22" s="13"/>
      <c r="M22" s="9"/>
      <c r="N22" s="9"/>
      <c r="O22" s="13"/>
      <c r="P22" s="13"/>
      <c r="Q22" s="13"/>
      <c r="R22" s="13"/>
      <c r="S22" s="13"/>
      <c r="T22" s="13"/>
    </row>
    <row r="23" ht="17.25" customHeight="1" spans="1:20">
      <c r="A23" s="22">
        <v>0.0219753</v>
      </c>
      <c r="B23" s="8">
        <v>152284000</v>
      </c>
      <c r="D23" s="18">
        <v>0.0220358</v>
      </c>
      <c r="E23" s="8">
        <v>139596000</v>
      </c>
      <c r="G23" s="21">
        <v>0.0220287</v>
      </c>
      <c r="H23" s="8">
        <v>133871000</v>
      </c>
      <c r="L23" s="13"/>
      <c r="M23" s="9"/>
      <c r="N23" s="9"/>
      <c r="O23" s="13"/>
      <c r="P23" s="13"/>
      <c r="Q23" s="13"/>
      <c r="R23" s="13"/>
      <c r="S23" s="13"/>
      <c r="T23" s="13"/>
    </row>
    <row r="24" ht="17.25" customHeight="1" spans="1:20">
      <c r="A24" s="22">
        <v>0.0229691</v>
      </c>
      <c r="B24" s="8">
        <v>143526000</v>
      </c>
      <c r="D24" s="18">
        <v>0.0230039</v>
      </c>
      <c r="E24" s="8">
        <v>143264000</v>
      </c>
      <c r="G24" s="21">
        <v>0.0230154</v>
      </c>
      <c r="H24" s="8">
        <v>130888000</v>
      </c>
      <c r="L24" s="13"/>
      <c r="M24" s="9"/>
      <c r="N24" s="9"/>
      <c r="O24" s="13"/>
      <c r="P24" s="13"/>
      <c r="Q24" s="13"/>
      <c r="R24" s="13"/>
      <c r="S24" s="13"/>
      <c r="T24" s="13"/>
    </row>
    <row r="25" ht="17.25" customHeight="1" spans="1:20">
      <c r="A25" s="22">
        <v>0.0239808</v>
      </c>
      <c r="B25" s="8">
        <v>149938000</v>
      </c>
      <c r="D25" s="18">
        <v>0.0240219</v>
      </c>
      <c r="E25" s="8">
        <v>144414000</v>
      </c>
      <c r="G25" s="21">
        <v>0.0240588</v>
      </c>
      <c r="H25" s="8">
        <v>133829000</v>
      </c>
      <c r="L25" s="13"/>
      <c r="M25" s="9"/>
      <c r="N25" s="9"/>
      <c r="O25" s="13"/>
      <c r="P25" s="13"/>
      <c r="Q25" s="13"/>
      <c r="R25" s="13"/>
      <c r="S25" s="13"/>
      <c r="T25" s="13"/>
    </row>
    <row r="26" ht="17.25" customHeight="1" spans="1:20">
      <c r="A26" s="22">
        <v>0.0249745</v>
      </c>
      <c r="B26" s="8">
        <v>143062000</v>
      </c>
      <c r="D26" s="18">
        <v>0.0248999</v>
      </c>
      <c r="E26" s="8">
        <v>144702000</v>
      </c>
      <c r="G26" s="21">
        <v>0.0249443</v>
      </c>
      <c r="H26" s="8">
        <v>146498000</v>
      </c>
      <c r="L26" s="13"/>
      <c r="M26" s="9"/>
      <c r="N26" s="9"/>
      <c r="O26" s="13"/>
      <c r="P26" s="13"/>
      <c r="Q26" s="13"/>
      <c r="R26" s="13"/>
      <c r="S26" s="13"/>
      <c r="T26" s="13"/>
    </row>
    <row r="27" ht="17.25" customHeight="1" spans="1:20">
      <c r="A27" s="22">
        <v>0.0260361</v>
      </c>
      <c r="B27" s="8">
        <v>141092000</v>
      </c>
      <c r="D27" s="18">
        <v>0.0260607</v>
      </c>
      <c r="E27" s="8">
        <v>131669000</v>
      </c>
      <c r="G27" s="21">
        <v>0.0260493</v>
      </c>
      <c r="H27" s="8">
        <v>154991000</v>
      </c>
      <c r="L27" s="13"/>
      <c r="M27" s="9"/>
      <c r="N27" s="9"/>
      <c r="O27" s="13"/>
      <c r="P27" s="13"/>
      <c r="Q27" s="13"/>
      <c r="R27" s="13"/>
      <c r="S27" s="13"/>
      <c r="T27" s="13"/>
    </row>
    <row r="28" ht="17.25" customHeight="1" spans="1:20">
      <c r="A28" s="22">
        <v>0.0270118</v>
      </c>
      <c r="B28" s="8">
        <v>144673000</v>
      </c>
      <c r="D28" s="18">
        <v>0.0269735</v>
      </c>
      <c r="E28" s="8">
        <v>135678000</v>
      </c>
      <c r="G28" s="21">
        <v>0.0270171</v>
      </c>
      <c r="H28" s="8">
        <v>150684000</v>
      </c>
      <c r="L28" s="13"/>
      <c r="M28" s="9"/>
      <c r="N28" s="9"/>
      <c r="O28" s="13"/>
      <c r="P28" s="13"/>
      <c r="Q28" s="13"/>
      <c r="R28" s="13"/>
      <c r="S28" s="13"/>
      <c r="T28" s="13"/>
    </row>
    <row r="29" ht="17.25" customHeight="1" spans="1:20">
      <c r="A29" s="22">
        <v>0.0280105</v>
      </c>
      <c r="B29" s="8">
        <v>137275000</v>
      </c>
      <c r="D29" s="18">
        <v>0.0279859</v>
      </c>
      <c r="E29" s="8">
        <v>132164000</v>
      </c>
      <c r="G29" s="21">
        <v>0.0280082</v>
      </c>
      <c r="H29" s="8">
        <v>146222000</v>
      </c>
      <c r="L29" s="13"/>
      <c r="M29" s="9"/>
      <c r="N29" s="9"/>
      <c r="O29" s="13"/>
      <c r="P29" s="13"/>
      <c r="Q29" s="13"/>
      <c r="R29" s="13"/>
      <c r="S29" s="13"/>
      <c r="T29" s="13"/>
    </row>
    <row r="30" ht="17.25" customHeight="1" spans="1:20">
      <c r="A30" s="22">
        <v>0.028947</v>
      </c>
      <c r="B30" s="8">
        <v>152622000</v>
      </c>
      <c r="D30" s="18">
        <v>0.0290413</v>
      </c>
      <c r="E30" s="8">
        <v>138135000</v>
      </c>
      <c r="G30" s="21">
        <v>0.0290313</v>
      </c>
      <c r="H30" s="8">
        <v>130707000</v>
      </c>
      <c r="L30" s="13"/>
      <c r="M30" s="9"/>
      <c r="N30" s="9"/>
      <c r="O30" s="13"/>
      <c r="P30" s="13"/>
      <c r="Q30" s="13"/>
      <c r="R30" s="13"/>
      <c r="S30" s="13"/>
      <c r="T30" s="13"/>
    </row>
    <row r="31" ht="17.25" customHeight="1" spans="1:20">
      <c r="A31" s="22">
        <v>0.0299707</v>
      </c>
      <c r="B31" s="8">
        <v>139347000</v>
      </c>
      <c r="D31" s="18">
        <v>0.0300075</v>
      </c>
      <c r="E31" s="8">
        <v>137646000</v>
      </c>
      <c r="G31" s="21">
        <v>0.0299979</v>
      </c>
      <c r="H31" s="8">
        <v>132871000</v>
      </c>
      <c r="L31" s="13"/>
      <c r="M31" s="9"/>
      <c r="N31" s="9"/>
      <c r="O31" s="13"/>
      <c r="P31" s="13"/>
      <c r="Q31" s="13"/>
      <c r="R31" s="13"/>
      <c r="S31" s="13"/>
      <c r="T31" s="13"/>
    </row>
    <row r="32" ht="17.25" customHeight="1" spans="1:20">
      <c r="A32" s="22"/>
      <c r="B32" s="8"/>
      <c r="D32" s="18"/>
      <c r="E32" s="8"/>
      <c r="G32" s="21"/>
      <c r="H32" s="8"/>
      <c r="L32" s="13"/>
      <c r="M32" s="9"/>
      <c r="N32" s="9"/>
      <c r="O32" s="13"/>
      <c r="P32" s="13"/>
      <c r="Q32" s="13"/>
      <c r="R32" s="13"/>
      <c r="S32" s="13"/>
      <c r="T32" s="13"/>
    </row>
    <row r="33" ht="17.25" customHeight="1" spans="1:20">
      <c r="A33" s="22"/>
      <c r="B33" s="8"/>
      <c r="D33" s="18"/>
      <c r="E33" s="8"/>
      <c r="G33" s="18"/>
      <c r="H33" s="8"/>
      <c r="L33" s="13"/>
      <c r="M33" s="9"/>
      <c r="N33" s="9"/>
      <c r="O33" s="13"/>
      <c r="P33" s="13"/>
      <c r="Q33" s="13"/>
      <c r="R33" s="13"/>
      <c r="S33" s="13"/>
      <c r="T33" s="13"/>
    </row>
    <row r="34" ht="17.25" customHeight="1" spans="1:20">
      <c r="A34" s="22"/>
      <c r="B34" s="8"/>
      <c r="D34" s="18"/>
      <c r="E34" s="8"/>
      <c r="G34" s="18"/>
      <c r="H34" s="8"/>
      <c r="L34" s="13"/>
      <c r="M34" s="9"/>
      <c r="N34" s="9"/>
      <c r="O34" s="13"/>
      <c r="P34" s="13"/>
      <c r="Q34" s="13"/>
      <c r="R34" s="13"/>
      <c r="S34" s="13"/>
      <c r="T34" s="13"/>
    </row>
    <row r="35" ht="17.25" customHeight="1" spans="1:20">
      <c r="A35" s="22"/>
      <c r="B35" s="8"/>
      <c r="D35" s="18"/>
      <c r="E35" s="8"/>
      <c r="G35" s="18"/>
      <c r="H35" s="8"/>
      <c r="L35" s="13"/>
      <c r="M35" s="9"/>
      <c r="N35" s="9"/>
      <c r="O35" s="13"/>
      <c r="P35" s="13"/>
      <c r="Q35" s="13"/>
      <c r="R35" s="13"/>
      <c r="S35" s="13"/>
      <c r="T35" s="13"/>
    </row>
    <row r="36" ht="17.25" customHeight="1" spans="1:20">
      <c r="A36" s="22"/>
      <c r="B36" s="8"/>
      <c r="D36" s="18"/>
      <c r="E36" s="8"/>
      <c r="G36" s="18"/>
      <c r="H36" s="8"/>
      <c r="L36" s="13"/>
      <c r="M36" s="9"/>
      <c r="N36" s="9"/>
      <c r="O36" s="13"/>
      <c r="P36" s="13"/>
      <c r="Q36" s="13"/>
      <c r="R36" s="13"/>
      <c r="S36" s="13"/>
      <c r="T36" s="13"/>
    </row>
    <row r="37" ht="17.25" customHeight="1" spans="1:20">
      <c r="A37" s="22"/>
      <c r="B37" s="8"/>
      <c r="D37" s="18"/>
      <c r="E37" s="8"/>
      <c r="G37" s="18"/>
      <c r="H37" s="8"/>
      <c r="L37" s="13"/>
      <c r="M37" s="9"/>
      <c r="N37" s="9"/>
      <c r="O37" s="13"/>
      <c r="P37" s="13"/>
      <c r="Q37" s="13"/>
      <c r="R37" s="13"/>
      <c r="S37" s="13"/>
      <c r="T37" s="13"/>
    </row>
    <row r="38" ht="17.25" customHeight="1" spans="1:20">
      <c r="A38" s="22"/>
      <c r="B38" s="8"/>
      <c r="D38" s="18"/>
      <c r="E38" s="8"/>
      <c r="G38" s="18"/>
      <c r="H38" s="8"/>
      <c r="L38" s="13"/>
      <c r="M38" s="9"/>
      <c r="N38" s="9"/>
      <c r="O38" s="13"/>
      <c r="P38" s="13"/>
      <c r="Q38" s="13"/>
      <c r="R38" s="13"/>
      <c r="S38" s="13"/>
      <c r="T38" s="13"/>
    </row>
    <row r="39" ht="17.25" customHeight="1" spans="1:20">
      <c r="A39" s="22"/>
      <c r="B39" s="8"/>
      <c r="D39" s="18"/>
      <c r="E39" s="8"/>
      <c r="G39" s="18"/>
      <c r="H39" s="8"/>
      <c r="L39" s="13"/>
      <c r="M39" s="9"/>
      <c r="N39" s="9"/>
      <c r="O39" s="13"/>
      <c r="P39" s="13"/>
      <c r="Q39" s="13"/>
      <c r="R39" s="13"/>
      <c r="S39" s="13"/>
      <c r="T39" s="13"/>
    </row>
    <row r="40" ht="17.25" customHeight="1" spans="1:20">
      <c r="A40" s="22"/>
      <c r="B40" s="8"/>
      <c r="D40" s="18"/>
      <c r="E40" s="8"/>
      <c r="G40" s="18"/>
      <c r="H40" s="8"/>
      <c r="L40" s="13"/>
      <c r="M40" s="9"/>
      <c r="N40" s="9"/>
      <c r="O40" s="13"/>
      <c r="P40" s="13"/>
      <c r="Q40" s="13"/>
      <c r="R40" s="13"/>
      <c r="S40" s="13"/>
      <c r="T40" s="13"/>
    </row>
    <row r="41" ht="17.25" customHeight="1" spans="1:20">
      <c r="A41" s="22"/>
      <c r="B41" s="8"/>
      <c r="D41" s="18"/>
      <c r="E41" s="8"/>
      <c r="G41" s="18"/>
      <c r="H41" s="8"/>
      <c r="L41" s="13"/>
      <c r="M41" s="9"/>
      <c r="N41" s="9"/>
      <c r="O41" s="13"/>
      <c r="P41" s="13"/>
      <c r="Q41" s="13"/>
      <c r="R41" s="13"/>
      <c r="S41" s="13"/>
      <c r="T41" s="13"/>
    </row>
    <row r="42" ht="17.25" customHeight="1" spans="1:20">
      <c r="A42" s="22"/>
      <c r="B42" s="8"/>
      <c r="D42" s="18"/>
      <c r="E42" s="8"/>
      <c r="G42" s="18"/>
      <c r="H42" s="8"/>
      <c r="L42" s="13"/>
      <c r="M42" s="9"/>
      <c r="N42" s="9"/>
      <c r="O42" s="13"/>
      <c r="P42" s="13"/>
      <c r="Q42" s="13"/>
      <c r="R42" s="13"/>
      <c r="S42" s="13"/>
      <c r="T42" s="13"/>
    </row>
    <row r="43" ht="17.25" customHeight="1" spans="1:20">
      <c r="A43" s="22"/>
      <c r="B43" s="8"/>
      <c r="D43" s="18"/>
      <c r="E43" s="8"/>
      <c r="G43" s="18"/>
      <c r="H43" s="8"/>
      <c r="L43" s="13"/>
      <c r="M43" s="9"/>
      <c r="N43" s="9"/>
      <c r="O43" s="13"/>
      <c r="P43" s="13"/>
      <c r="Q43" s="13"/>
      <c r="R43" s="13"/>
      <c r="S43" s="13"/>
      <c r="T43" s="13"/>
    </row>
    <row r="44" ht="17.25" customHeight="1" spans="1:20">
      <c r="A44" s="22"/>
      <c r="B44" s="8"/>
      <c r="D44" s="18"/>
      <c r="E44" s="8"/>
      <c r="G44" s="18"/>
      <c r="H44" s="8"/>
      <c r="L44" s="13"/>
      <c r="M44" s="9"/>
      <c r="N44" s="9"/>
      <c r="O44" s="13"/>
      <c r="P44" s="13"/>
      <c r="Q44" s="13"/>
      <c r="R44" s="13"/>
      <c r="S44" s="13"/>
      <c r="T44" s="13"/>
    </row>
    <row r="45" ht="17.25" customHeight="1" spans="1:20">
      <c r="A45" s="22"/>
      <c r="B45" s="8"/>
      <c r="D45" s="18"/>
      <c r="E45" s="8"/>
      <c r="G45" s="18"/>
      <c r="H45" s="8"/>
      <c r="L45" s="13"/>
      <c r="M45" s="9"/>
      <c r="N45" s="9"/>
      <c r="O45" s="13"/>
      <c r="P45" s="13"/>
      <c r="Q45" s="13"/>
      <c r="R45" s="13"/>
      <c r="S45" s="13"/>
      <c r="T45" s="13"/>
    </row>
    <row r="46" ht="17.25" customHeight="1" spans="1:20">
      <c r="A46" s="22"/>
      <c r="B46" s="8"/>
      <c r="D46" s="18"/>
      <c r="E46" s="8"/>
      <c r="G46" s="18"/>
      <c r="H46" s="8"/>
      <c r="L46" s="13"/>
      <c r="M46" s="9"/>
      <c r="N46" s="9"/>
      <c r="O46" s="13"/>
      <c r="P46" s="13"/>
      <c r="Q46" s="13"/>
      <c r="R46" s="13"/>
      <c r="S46" s="13"/>
      <c r="T46" s="13"/>
    </row>
    <row r="47" ht="17.25" customHeight="1" spans="1:20">
      <c r="A47" s="22"/>
      <c r="B47" s="8"/>
      <c r="D47" s="18"/>
      <c r="E47" s="8"/>
      <c r="G47" s="18"/>
      <c r="H47" s="8"/>
      <c r="L47" s="13"/>
      <c r="M47" s="9"/>
      <c r="N47" s="9"/>
      <c r="O47" s="13"/>
      <c r="P47" s="13"/>
      <c r="Q47" s="13"/>
      <c r="R47" s="13"/>
      <c r="S47" s="13"/>
      <c r="T47" s="13"/>
    </row>
    <row r="48" ht="17.25" customHeight="1" spans="1:20">
      <c r="A48" s="22"/>
      <c r="B48" s="8"/>
      <c r="D48" s="18"/>
      <c r="E48" s="8"/>
      <c r="G48" s="18"/>
      <c r="H48" s="8"/>
      <c r="L48" s="13"/>
      <c r="M48" s="9"/>
      <c r="N48" s="9"/>
      <c r="O48" s="13"/>
      <c r="P48" s="13"/>
      <c r="Q48" s="13"/>
      <c r="R48" s="13"/>
      <c r="S48" s="13"/>
      <c r="T48" s="13"/>
    </row>
    <row r="49" ht="17.25" customHeight="1" spans="1:20">
      <c r="A49" s="22"/>
      <c r="B49" s="8"/>
      <c r="D49" s="18"/>
      <c r="E49" s="8"/>
      <c r="G49" s="18"/>
      <c r="H49" s="8"/>
      <c r="L49" s="13"/>
      <c r="M49" s="9"/>
      <c r="N49" s="9"/>
      <c r="O49" s="13"/>
      <c r="P49" s="13"/>
      <c r="Q49" s="13"/>
      <c r="R49" s="13"/>
      <c r="S49" s="13"/>
      <c r="T49" s="13"/>
    </row>
    <row r="50" ht="17.25" customHeight="1" spans="1:20">
      <c r="A50" s="22"/>
      <c r="B50" s="8"/>
      <c r="D50" s="18"/>
      <c r="E50" s="8"/>
      <c r="G50" s="18"/>
      <c r="H50" s="8"/>
      <c r="L50" s="13"/>
      <c r="M50" s="9"/>
      <c r="N50" s="9"/>
      <c r="O50" s="13"/>
      <c r="P50" s="13"/>
      <c r="Q50" s="13"/>
      <c r="R50" s="13"/>
      <c r="S50" s="13"/>
      <c r="T50" s="13"/>
    </row>
    <row r="51" ht="17.25" customHeight="1" spans="1:20">
      <c r="A51" s="22"/>
      <c r="B51" s="8"/>
      <c r="D51" s="18"/>
      <c r="E51" s="8"/>
      <c r="G51" s="18"/>
      <c r="H51" s="8"/>
      <c r="L51" s="13"/>
      <c r="M51" s="9"/>
      <c r="N51" s="9"/>
      <c r="O51" s="13"/>
      <c r="P51" s="13"/>
      <c r="Q51" s="13"/>
      <c r="R51" s="13"/>
      <c r="S51" s="13"/>
      <c r="T51" s="13"/>
    </row>
    <row r="52" ht="17.25" customHeight="1" spans="1:20">
      <c r="A52" s="22"/>
      <c r="B52" s="8"/>
      <c r="D52" s="18"/>
      <c r="E52" s="8"/>
      <c r="G52" s="18"/>
      <c r="H52" s="8"/>
      <c r="L52" s="13"/>
      <c r="M52" s="9"/>
      <c r="N52" s="9"/>
      <c r="O52" s="13"/>
      <c r="P52" s="13"/>
      <c r="Q52" s="13"/>
      <c r="R52" s="13"/>
      <c r="S52" s="13"/>
      <c r="T52" s="13"/>
    </row>
    <row r="53" ht="17.25" customHeight="1" spans="1:20">
      <c r="A53" s="9"/>
      <c r="B53" s="9"/>
      <c r="D53" s="9"/>
      <c r="E53" s="9"/>
      <c r="G53" s="18"/>
      <c r="H53" s="8"/>
      <c r="L53" s="13"/>
      <c r="M53" s="9"/>
      <c r="N53" s="9"/>
      <c r="O53" s="13"/>
      <c r="P53" s="13"/>
      <c r="Q53" s="13"/>
      <c r="R53" s="13"/>
      <c r="S53" s="13"/>
      <c r="T53" s="13"/>
    </row>
  </sheetData>
  <mergeCells count="4">
    <mergeCell ref="A1:B1"/>
    <mergeCell ref="D1:E1"/>
    <mergeCell ref="G1:H1"/>
    <mergeCell ref="K1:L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T1031"/>
  <sheetViews>
    <sheetView workbookViewId="0">
      <selection activeCell="A1" sqref="A1:L1"/>
    </sheetView>
  </sheetViews>
  <sheetFormatPr defaultColWidth="8.68148148148148" defaultRowHeight="15" customHeight="1"/>
  <cols>
    <col min="1" max="2" width="12.4296296296296" style="3" customWidth="1"/>
    <col min="3" max="6" width="8.86666666666667" style="3" customWidth="1"/>
    <col min="7" max="7" width="8.86666666666667" style="11" customWidth="1"/>
    <col min="8" max="12" width="8.86666666666667" style="3" customWidth="1"/>
    <col min="13" max="13" width="12.4296296296296" style="1" customWidth="1"/>
    <col min="14" max="15" width="12.4296296296296" style="11" customWidth="1"/>
    <col min="16" max="25" width="8.86666666666667" style="11" customWidth="1"/>
    <col min="26" max="26" width="12.4296296296296" style="1" customWidth="1"/>
    <col min="27" max="28" width="12.4296296296296" style="11" customWidth="1"/>
    <col min="29" max="38" width="8.86666666666667" style="11" customWidth="1"/>
    <col min="39" max="46" width="12.4296296296296" style="1" customWidth="1"/>
  </cols>
  <sheetData>
    <row r="1" ht="17.25" customHeight="1" spans="1:46">
      <c r="A1" s="16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N1" s="16" t="s">
        <v>15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AA1" s="16" t="s">
        <v>3</v>
      </c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N1" s="19" t="s">
        <v>17</v>
      </c>
      <c r="AO1" s="19" t="s">
        <v>18</v>
      </c>
      <c r="AP1" s="19" t="s">
        <v>19</v>
      </c>
      <c r="AQ1" s="19" t="s">
        <v>20</v>
      </c>
      <c r="AR1" s="12" t="s">
        <v>21</v>
      </c>
      <c r="AS1" s="12" t="s">
        <v>22</v>
      </c>
      <c r="AT1" s="12" t="s">
        <v>23</v>
      </c>
    </row>
    <row r="2" ht="17.25" customHeight="1" spans="1:46">
      <c r="A2" s="17">
        <v>0.000999724</v>
      </c>
      <c r="B2" s="8">
        <v>0.00155238</v>
      </c>
      <c r="C2" s="8">
        <v>42156600000000</v>
      </c>
      <c r="D2" s="8">
        <v>961663000</v>
      </c>
      <c r="E2" s="8">
        <v>0</v>
      </c>
      <c r="F2" s="8">
        <v>0</v>
      </c>
      <c r="G2" s="8">
        <v>2</v>
      </c>
      <c r="H2" s="8">
        <v>9849780000000</v>
      </c>
      <c r="I2" s="8">
        <v>9897400000000</v>
      </c>
      <c r="J2" s="8">
        <v>10032800000000</v>
      </c>
      <c r="K2" s="8">
        <v>9845430000000</v>
      </c>
      <c r="L2" s="8">
        <v>2531120000000</v>
      </c>
      <c r="N2" s="17">
        <v>0.00100427</v>
      </c>
      <c r="O2" s="8">
        <v>0.00158017</v>
      </c>
      <c r="P2" s="8">
        <v>42305600000000</v>
      </c>
      <c r="Q2" s="8">
        <v>1001130000</v>
      </c>
      <c r="R2" s="8">
        <v>0</v>
      </c>
      <c r="S2" s="8">
        <v>0</v>
      </c>
      <c r="T2" s="8">
        <v>2</v>
      </c>
      <c r="U2" s="8">
        <v>10179200000000</v>
      </c>
      <c r="V2" s="8">
        <v>9946590000000</v>
      </c>
      <c r="W2" s="8">
        <v>9780490000000</v>
      </c>
      <c r="X2" s="8">
        <v>9869800000000</v>
      </c>
      <c r="Y2" s="8">
        <v>2529280000000</v>
      </c>
      <c r="AA2" s="17">
        <v>0.00095142</v>
      </c>
      <c r="AB2" s="8">
        <v>0.00150962</v>
      </c>
      <c r="AC2" s="8">
        <v>42155500000000</v>
      </c>
      <c r="AD2" s="8">
        <v>525627000</v>
      </c>
      <c r="AE2" s="8">
        <v>0</v>
      </c>
      <c r="AF2" s="8">
        <v>0</v>
      </c>
      <c r="AG2" s="8">
        <v>2</v>
      </c>
      <c r="AH2" s="8">
        <v>10037700000000</v>
      </c>
      <c r="AI2" s="8">
        <v>10016700000000</v>
      </c>
      <c r="AJ2" s="8">
        <v>9992960000000</v>
      </c>
      <c r="AK2" s="8">
        <v>9990350000000</v>
      </c>
      <c r="AL2" s="8">
        <v>2117820000000</v>
      </c>
      <c r="AN2" s="8">
        <f t="shared" ref="AN2:AN31" si="0">A2</f>
        <v>0.000999724</v>
      </c>
      <c r="AO2" s="8">
        <f t="shared" ref="AO2:AO31" si="1">(C2+P2+AC2)/3</f>
        <v>42205900000000</v>
      </c>
      <c r="AP2" s="8">
        <f t="shared" ref="AP2:AP31" si="2">MIN(C2,P2,AC2)</f>
        <v>42155500000000</v>
      </c>
      <c r="AQ2" s="8">
        <f t="shared" ref="AQ2:AQ31" si="3">MAX(C2,P2,AC2)</f>
        <v>42305600000000</v>
      </c>
      <c r="AR2" s="8">
        <f t="shared" ref="AR2:AR31" si="4">(L2+Y2+AL2)/3</f>
        <v>2392740000000</v>
      </c>
      <c r="AS2" s="8">
        <f t="shared" ref="AS2:AS31" si="5">MIN(L2,Y2,AL2)</f>
        <v>2117820000000</v>
      </c>
      <c r="AT2" s="8">
        <f t="shared" ref="AT2:AT31" si="6">MAX(L2,Y2,AL2)</f>
        <v>2531120000000</v>
      </c>
    </row>
    <row r="3" ht="17.25" customHeight="1" spans="1:46">
      <c r="A3" s="17">
        <v>0.0019768</v>
      </c>
      <c r="B3" s="8">
        <v>0.00257969</v>
      </c>
      <c r="C3" s="8">
        <v>43658800000000</v>
      </c>
      <c r="D3" s="8">
        <v>869481000</v>
      </c>
      <c r="E3" s="8">
        <v>0</v>
      </c>
      <c r="F3" s="8">
        <v>0</v>
      </c>
      <c r="G3" s="8">
        <v>2</v>
      </c>
      <c r="H3" s="8">
        <v>9611230000000</v>
      </c>
      <c r="I3" s="8">
        <v>10075900000000</v>
      </c>
      <c r="J3" s="8">
        <v>9976450000000</v>
      </c>
      <c r="K3" s="8">
        <v>10117100000000</v>
      </c>
      <c r="L3" s="8">
        <v>3877940000000</v>
      </c>
      <c r="N3" s="17">
        <v>0.00201175</v>
      </c>
      <c r="O3" s="8">
        <v>0.00265259</v>
      </c>
      <c r="P3" s="8">
        <v>43343900000000</v>
      </c>
      <c r="Q3" s="8">
        <v>1036710000</v>
      </c>
      <c r="R3" s="8">
        <v>0</v>
      </c>
      <c r="S3" s="8">
        <v>0</v>
      </c>
      <c r="T3" s="8">
        <v>2</v>
      </c>
      <c r="U3" s="8">
        <v>9827870000000</v>
      </c>
      <c r="V3" s="8">
        <v>9380860000000</v>
      </c>
      <c r="W3" s="8">
        <v>9686330000000</v>
      </c>
      <c r="X3" s="8">
        <v>9700850000000</v>
      </c>
      <c r="Y3" s="8">
        <v>4747150000000</v>
      </c>
      <c r="AA3" s="17">
        <v>0.00205493</v>
      </c>
      <c r="AB3" s="8">
        <v>0.00263119</v>
      </c>
      <c r="AC3" s="8">
        <v>43542700000000</v>
      </c>
      <c r="AD3" s="8">
        <v>991693000</v>
      </c>
      <c r="AE3" s="8">
        <v>0</v>
      </c>
      <c r="AF3" s="8">
        <v>0</v>
      </c>
      <c r="AG3" s="8">
        <v>2</v>
      </c>
      <c r="AH3" s="8">
        <v>10377600000000</v>
      </c>
      <c r="AI3" s="8">
        <v>9951940000000</v>
      </c>
      <c r="AJ3" s="8">
        <v>9712570000000</v>
      </c>
      <c r="AK3" s="8">
        <v>9724790000000</v>
      </c>
      <c r="AL3" s="8">
        <v>3775700000000</v>
      </c>
      <c r="AN3" s="8">
        <f t="shared" si="0"/>
        <v>0.0019768</v>
      </c>
      <c r="AO3" s="8">
        <f t="shared" si="1"/>
        <v>43515133333333.3</v>
      </c>
      <c r="AP3" s="8">
        <f t="shared" si="2"/>
        <v>43343900000000</v>
      </c>
      <c r="AQ3" s="8">
        <f t="shared" si="3"/>
        <v>43658800000000</v>
      </c>
      <c r="AR3" s="8">
        <f t="shared" si="4"/>
        <v>4133596666666.67</v>
      </c>
      <c r="AS3" s="8">
        <f t="shared" si="5"/>
        <v>3775700000000</v>
      </c>
      <c r="AT3" s="8">
        <f t="shared" si="6"/>
        <v>4747150000000</v>
      </c>
    </row>
    <row r="4" ht="17.25" customHeight="1" spans="1:46">
      <c r="A4" s="17">
        <v>0.00298521</v>
      </c>
      <c r="B4" s="8">
        <v>0.00359339</v>
      </c>
      <c r="C4" s="8">
        <v>44475600000000</v>
      </c>
      <c r="D4" s="8">
        <v>1097860000</v>
      </c>
      <c r="E4" s="8">
        <v>0</v>
      </c>
      <c r="F4" s="8">
        <v>0</v>
      </c>
      <c r="G4" s="8">
        <v>2</v>
      </c>
      <c r="H4" s="8">
        <v>9250950000000</v>
      </c>
      <c r="I4" s="8">
        <v>9937950000000</v>
      </c>
      <c r="J4" s="8">
        <v>9699800000000</v>
      </c>
      <c r="K4" s="8">
        <v>10287900000000</v>
      </c>
      <c r="L4" s="8">
        <v>5298970000000</v>
      </c>
      <c r="N4" s="17">
        <v>0.00303869</v>
      </c>
      <c r="O4" s="8">
        <v>0.00365773</v>
      </c>
      <c r="P4" s="8">
        <v>44751000000000</v>
      </c>
      <c r="Q4" s="8">
        <v>3203480000</v>
      </c>
      <c r="R4" s="8">
        <v>0</v>
      </c>
      <c r="S4" s="8">
        <v>0</v>
      </c>
      <c r="T4" s="8">
        <v>2</v>
      </c>
      <c r="U4" s="8">
        <v>10543300000000</v>
      </c>
      <c r="V4" s="8">
        <v>9459330000000</v>
      </c>
      <c r="W4" s="8">
        <v>9769220000000</v>
      </c>
      <c r="X4" s="8">
        <v>9222820000000</v>
      </c>
      <c r="Y4" s="8">
        <v>5756260000000</v>
      </c>
      <c r="AA4" s="17">
        <v>0.00304863</v>
      </c>
      <c r="AB4" s="8">
        <v>0.00367528</v>
      </c>
      <c r="AC4" s="8">
        <v>44371200000000</v>
      </c>
      <c r="AD4" s="8">
        <v>1850710000</v>
      </c>
      <c r="AE4" s="8">
        <v>0</v>
      </c>
      <c r="AF4" s="8">
        <v>0</v>
      </c>
      <c r="AG4" s="8">
        <v>2</v>
      </c>
      <c r="AH4" s="8">
        <v>10654100000000</v>
      </c>
      <c r="AI4" s="8">
        <v>9684270000000</v>
      </c>
      <c r="AJ4" s="8">
        <v>9867990000000</v>
      </c>
      <c r="AK4" s="8">
        <v>9412370000000</v>
      </c>
      <c r="AL4" s="8">
        <v>4752090000000</v>
      </c>
      <c r="AN4" s="8">
        <f t="shared" si="0"/>
        <v>0.00298521</v>
      </c>
      <c r="AO4" s="8">
        <f t="shared" si="1"/>
        <v>44532600000000</v>
      </c>
      <c r="AP4" s="8">
        <f t="shared" si="2"/>
        <v>44371200000000</v>
      </c>
      <c r="AQ4" s="8">
        <f t="shared" si="3"/>
        <v>44751000000000</v>
      </c>
      <c r="AR4" s="8">
        <f t="shared" si="4"/>
        <v>5269106666666.67</v>
      </c>
      <c r="AS4" s="8">
        <f t="shared" si="5"/>
        <v>4752090000000</v>
      </c>
      <c r="AT4" s="8">
        <f t="shared" si="6"/>
        <v>5756260000000</v>
      </c>
    </row>
    <row r="5" ht="17.25" customHeight="1" spans="1:46">
      <c r="A5" s="17">
        <v>0.00395737</v>
      </c>
      <c r="B5" s="8">
        <v>0.00461832</v>
      </c>
      <c r="C5" s="8">
        <v>44850600000000</v>
      </c>
      <c r="D5" s="8">
        <v>2062860000</v>
      </c>
      <c r="E5" s="8">
        <v>0</v>
      </c>
      <c r="F5" s="8">
        <v>0</v>
      </c>
      <c r="G5" s="8">
        <v>2</v>
      </c>
      <c r="H5" s="8">
        <v>9384630000000</v>
      </c>
      <c r="I5" s="8">
        <v>9841860000000</v>
      </c>
      <c r="J5" s="8">
        <v>9711330000000</v>
      </c>
      <c r="K5" s="8">
        <v>9647970000000</v>
      </c>
      <c r="L5" s="8">
        <v>6264800000000</v>
      </c>
      <c r="N5" s="17">
        <v>0.0039768</v>
      </c>
      <c r="O5" s="8">
        <v>0.004683</v>
      </c>
      <c r="P5" s="8">
        <v>44815900000000</v>
      </c>
      <c r="Q5" s="8">
        <v>3463030000</v>
      </c>
      <c r="R5" s="8">
        <v>0</v>
      </c>
      <c r="S5" s="8">
        <v>0</v>
      </c>
      <c r="T5" s="8">
        <v>2</v>
      </c>
      <c r="U5" s="8">
        <v>9414380000000</v>
      </c>
      <c r="V5" s="8">
        <v>9527330000000</v>
      </c>
      <c r="W5" s="8">
        <v>8883010000000</v>
      </c>
      <c r="X5" s="8">
        <v>8958500000000</v>
      </c>
      <c r="Y5" s="8">
        <v>8032460000000</v>
      </c>
      <c r="AA5" s="17">
        <v>0.00403473</v>
      </c>
      <c r="AB5" s="8">
        <v>0.00469107</v>
      </c>
      <c r="AC5" s="8">
        <v>44681800000000</v>
      </c>
      <c r="AD5" s="8">
        <v>2806670000</v>
      </c>
      <c r="AE5" s="8">
        <v>0</v>
      </c>
      <c r="AF5" s="8">
        <v>0</v>
      </c>
      <c r="AG5" s="8">
        <v>2</v>
      </c>
      <c r="AH5" s="8">
        <v>9526080000000</v>
      </c>
      <c r="AI5" s="8">
        <v>9913790000000</v>
      </c>
      <c r="AJ5" s="8">
        <v>9814080000000</v>
      </c>
      <c r="AK5" s="8">
        <v>9264230000000</v>
      </c>
      <c r="AL5" s="8">
        <v>6163510000000</v>
      </c>
      <c r="AN5" s="8">
        <f t="shared" si="0"/>
        <v>0.00395737</v>
      </c>
      <c r="AO5" s="8">
        <f t="shared" si="1"/>
        <v>44782766666666.7</v>
      </c>
      <c r="AP5" s="8">
        <f t="shared" si="2"/>
        <v>44681800000000</v>
      </c>
      <c r="AQ5" s="8">
        <f t="shared" si="3"/>
        <v>44850600000000</v>
      </c>
      <c r="AR5" s="8">
        <f t="shared" si="4"/>
        <v>6820256666666.67</v>
      </c>
      <c r="AS5" s="8">
        <f t="shared" si="5"/>
        <v>6163510000000</v>
      </c>
      <c r="AT5" s="8">
        <f t="shared" si="6"/>
        <v>8032460000000</v>
      </c>
    </row>
    <row r="6" ht="17.25" customHeight="1" spans="1:46">
      <c r="A6" s="17">
        <v>0.00498979</v>
      </c>
      <c r="B6" s="8">
        <v>0.00564167</v>
      </c>
      <c r="C6" s="8">
        <v>44332500000000</v>
      </c>
      <c r="D6" s="8">
        <v>3296200000</v>
      </c>
      <c r="E6" s="8">
        <v>0</v>
      </c>
      <c r="F6" s="8">
        <v>0</v>
      </c>
      <c r="G6" s="8">
        <v>2</v>
      </c>
      <c r="H6" s="8">
        <v>9369020000000</v>
      </c>
      <c r="I6" s="8">
        <v>9506270000000</v>
      </c>
      <c r="J6" s="8">
        <v>9677470000000</v>
      </c>
      <c r="K6" s="8">
        <v>9248530000000</v>
      </c>
      <c r="L6" s="8">
        <v>6530770000000</v>
      </c>
      <c r="N6" s="17">
        <v>0.00499222</v>
      </c>
      <c r="O6" s="8">
        <v>0.0057028</v>
      </c>
      <c r="P6" s="8">
        <v>44502900000000</v>
      </c>
      <c r="Q6" s="8">
        <v>4559830000</v>
      </c>
      <c r="R6" s="8">
        <v>0</v>
      </c>
      <c r="S6" s="8">
        <v>0</v>
      </c>
      <c r="T6" s="8">
        <v>2</v>
      </c>
      <c r="U6" s="8">
        <v>9473020000000</v>
      </c>
      <c r="V6" s="8">
        <v>9381470000000</v>
      </c>
      <c r="W6" s="8">
        <v>8658220000000</v>
      </c>
      <c r="X6" s="8">
        <v>8828280000000</v>
      </c>
      <c r="Y6" s="8">
        <v>8160140000000</v>
      </c>
      <c r="AA6" s="17">
        <v>0.00499236</v>
      </c>
      <c r="AB6" s="8">
        <v>0.0056921</v>
      </c>
      <c r="AC6" s="8">
        <v>45422800000000</v>
      </c>
      <c r="AD6" s="8">
        <v>3023020000</v>
      </c>
      <c r="AE6" s="8">
        <v>0</v>
      </c>
      <c r="AF6" s="8">
        <v>0</v>
      </c>
      <c r="AG6" s="8">
        <v>2</v>
      </c>
      <c r="AH6" s="8">
        <v>9465090000000</v>
      </c>
      <c r="AI6" s="8">
        <v>8986800000000</v>
      </c>
      <c r="AJ6" s="8">
        <v>9467480000000</v>
      </c>
      <c r="AK6" s="8">
        <v>9719680000000</v>
      </c>
      <c r="AL6" s="8">
        <v>7783410000000</v>
      </c>
      <c r="AN6" s="8">
        <f t="shared" si="0"/>
        <v>0.00498979</v>
      </c>
      <c r="AO6" s="8">
        <f t="shared" si="1"/>
        <v>44752733333333.3</v>
      </c>
      <c r="AP6" s="8">
        <f t="shared" si="2"/>
        <v>44332500000000</v>
      </c>
      <c r="AQ6" s="8">
        <f t="shared" si="3"/>
        <v>45422800000000</v>
      </c>
      <c r="AR6" s="8">
        <f t="shared" si="4"/>
        <v>7491440000000</v>
      </c>
      <c r="AS6" s="8">
        <f t="shared" si="5"/>
        <v>6530770000000</v>
      </c>
      <c r="AT6" s="8">
        <f t="shared" si="6"/>
        <v>8160140000000</v>
      </c>
    </row>
    <row r="7" ht="17.25" customHeight="1" spans="1:46">
      <c r="A7" s="17">
        <v>0.00600038</v>
      </c>
      <c r="B7" s="8">
        <v>0.0066756</v>
      </c>
      <c r="C7" s="8">
        <v>44501100000000</v>
      </c>
      <c r="D7" s="8">
        <v>2050560000</v>
      </c>
      <c r="E7" s="8">
        <v>0</v>
      </c>
      <c r="F7" s="8">
        <v>0</v>
      </c>
      <c r="G7" s="8">
        <v>2</v>
      </c>
      <c r="H7" s="8">
        <v>8861750000000</v>
      </c>
      <c r="I7" s="8">
        <v>9848620000000</v>
      </c>
      <c r="J7" s="8">
        <v>9080860000000</v>
      </c>
      <c r="K7" s="8">
        <v>9671060000000</v>
      </c>
      <c r="L7" s="8">
        <v>7037910000000</v>
      </c>
      <c r="N7" s="17">
        <v>0.00600004</v>
      </c>
      <c r="O7" s="8">
        <v>0.0066813</v>
      </c>
      <c r="P7" s="8">
        <v>44332300000000</v>
      </c>
      <c r="Q7" s="8">
        <v>3455620000</v>
      </c>
      <c r="R7" s="8">
        <v>0</v>
      </c>
      <c r="S7" s="8">
        <v>0</v>
      </c>
      <c r="T7" s="8">
        <v>2</v>
      </c>
      <c r="U7" s="8">
        <v>9214800000000</v>
      </c>
      <c r="V7" s="8">
        <v>9585150000000</v>
      </c>
      <c r="W7" s="8">
        <v>9067990000000</v>
      </c>
      <c r="X7" s="8">
        <v>8661420000000</v>
      </c>
      <c r="Y7" s="8">
        <v>7802170000000</v>
      </c>
      <c r="AA7" s="17">
        <v>0.00604712</v>
      </c>
      <c r="AB7" s="8">
        <v>0.0067223</v>
      </c>
      <c r="AC7" s="8">
        <v>45567900000000</v>
      </c>
      <c r="AD7" s="8">
        <v>3802820000</v>
      </c>
      <c r="AE7" s="8">
        <v>0</v>
      </c>
      <c r="AF7" s="8">
        <v>0</v>
      </c>
      <c r="AG7" s="8">
        <v>2</v>
      </c>
      <c r="AH7" s="8">
        <v>9340810000000</v>
      </c>
      <c r="AI7" s="8">
        <v>9284240000000</v>
      </c>
      <c r="AJ7" s="8">
        <v>9134820000000</v>
      </c>
      <c r="AK7" s="8">
        <v>9814340000000</v>
      </c>
      <c r="AL7" s="8">
        <v>7993310000000</v>
      </c>
      <c r="AN7" s="8">
        <f t="shared" si="0"/>
        <v>0.00600038</v>
      </c>
      <c r="AO7" s="8">
        <f t="shared" si="1"/>
        <v>44800433333333.3</v>
      </c>
      <c r="AP7" s="8">
        <f t="shared" si="2"/>
        <v>44332300000000</v>
      </c>
      <c r="AQ7" s="8">
        <f t="shared" si="3"/>
        <v>45567900000000</v>
      </c>
      <c r="AR7" s="8">
        <f t="shared" si="4"/>
        <v>7611130000000</v>
      </c>
      <c r="AS7" s="8">
        <f t="shared" si="5"/>
        <v>7037910000000</v>
      </c>
      <c r="AT7" s="8">
        <f t="shared" si="6"/>
        <v>7993310000000</v>
      </c>
    </row>
    <row r="8" ht="17.25" customHeight="1" spans="1:46">
      <c r="A8" s="17">
        <v>0.00698823</v>
      </c>
      <c r="B8" s="8">
        <v>0.00768013</v>
      </c>
      <c r="C8" s="8">
        <v>44928400000000</v>
      </c>
      <c r="D8" s="8">
        <v>2478550000</v>
      </c>
      <c r="E8" s="8">
        <v>0</v>
      </c>
      <c r="F8" s="8">
        <v>0</v>
      </c>
      <c r="G8" s="8">
        <v>2</v>
      </c>
      <c r="H8" s="8">
        <v>9302720000000</v>
      </c>
      <c r="I8" s="8">
        <v>9662300000000</v>
      </c>
      <c r="J8" s="8">
        <v>9116040000000</v>
      </c>
      <c r="K8" s="8">
        <v>10358600000000</v>
      </c>
      <c r="L8" s="8">
        <v>6487710000000</v>
      </c>
      <c r="N8" s="17">
        <v>0.00704415</v>
      </c>
      <c r="O8" s="8">
        <v>0.00774068</v>
      </c>
      <c r="P8" s="8">
        <v>45983700000000</v>
      </c>
      <c r="Q8" s="8">
        <v>4316950000</v>
      </c>
      <c r="R8" s="8">
        <v>0</v>
      </c>
      <c r="S8" s="8">
        <v>0</v>
      </c>
      <c r="T8" s="8">
        <v>2</v>
      </c>
      <c r="U8" s="8">
        <v>9388900000000</v>
      </c>
      <c r="V8" s="8">
        <v>9711310000000</v>
      </c>
      <c r="W8" s="8">
        <v>9626500000000</v>
      </c>
      <c r="X8" s="8">
        <v>8574700000000</v>
      </c>
      <c r="Y8" s="8">
        <v>8681550000000</v>
      </c>
      <c r="AA8" s="17">
        <v>0.00700076</v>
      </c>
      <c r="AB8" s="8">
        <v>0.00768026</v>
      </c>
      <c r="AC8" s="8">
        <v>44562500000000</v>
      </c>
      <c r="AD8" s="8">
        <v>3003700000</v>
      </c>
      <c r="AE8" s="8">
        <v>0</v>
      </c>
      <c r="AF8" s="8">
        <v>0</v>
      </c>
      <c r="AG8" s="8">
        <v>2</v>
      </c>
      <c r="AH8" s="8">
        <v>8846310000000</v>
      </c>
      <c r="AI8" s="8">
        <v>9278900000000</v>
      </c>
      <c r="AJ8" s="8">
        <v>9052660000000</v>
      </c>
      <c r="AK8" s="8">
        <v>9086140000000</v>
      </c>
      <c r="AL8" s="8">
        <v>8295780000000</v>
      </c>
      <c r="AN8" s="8">
        <f t="shared" si="0"/>
        <v>0.00698823</v>
      </c>
      <c r="AO8" s="8">
        <f t="shared" si="1"/>
        <v>45158200000000</v>
      </c>
      <c r="AP8" s="8">
        <f t="shared" si="2"/>
        <v>44562500000000</v>
      </c>
      <c r="AQ8" s="8">
        <f t="shared" si="3"/>
        <v>45983700000000</v>
      </c>
      <c r="AR8" s="8">
        <f t="shared" si="4"/>
        <v>7821680000000</v>
      </c>
      <c r="AS8" s="8">
        <f t="shared" si="5"/>
        <v>6487710000000</v>
      </c>
      <c r="AT8" s="8">
        <f t="shared" si="6"/>
        <v>8681550000000</v>
      </c>
    </row>
    <row r="9" ht="17.25" customHeight="1" spans="1:46">
      <c r="A9" s="17">
        <v>0.00797659</v>
      </c>
      <c r="B9" s="8">
        <v>0.00861983</v>
      </c>
      <c r="C9" s="8">
        <v>44771500000000</v>
      </c>
      <c r="D9" s="8">
        <v>4849650000</v>
      </c>
      <c r="E9" s="8">
        <v>0</v>
      </c>
      <c r="F9" s="8">
        <v>0</v>
      </c>
      <c r="G9" s="8">
        <v>2</v>
      </c>
      <c r="H9" s="8">
        <v>9242840000000</v>
      </c>
      <c r="I9" s="8">
        <v>9338920000000</v>
      </c>
      <c r="J9" s="8">
        <v>9054800000000</v>
      </c>
      <c r="K9" s="8">
        <v>11063700000000</v>
      </c>
      <c r="L9" s="8">
        <v>6070730000000</v>
      </c>
      <c r="N9" s="17">
        <v>0.00800857</v>
      </c>
      <c r="O9" s="8">
        <v>0.00868341</v>
      </c>
      <c r="P9" s="8">
        <v>46548400000000</v>
      </c>
      <c r="Q9" s="8">
        <v>4520760000</v>
      </c>
      <c r="R9" s="8">
        <v>0</v>
      </c>
      <c r="S9" s="8">
        <v>0</v>
      </c>
      <c r="T9" s="8">
        <v>2</v>
      </c>
      <c r="U9" s="8">
        <v>10784800000000</v>
      </c>
      <c r="V9" s="8">
        <v>8973770000000</v>
      </c>
      <c r="W9" s="8">
        <v>9519460000000</v>
      </c>
      <c r="X9" s="8">
        <v>8506740000000</v>
      </c>
      <c r="Y9" s="8">
        <v>8761210000000</v>
      </c>
      <c r="AA9" s="17">
        <v>0.0080479</v>
      </c>
      <c r="AB9" s="8">
        <v>0.00873531</v>
      </c>
      <c r="AC9" s="8">
        <v>44119800000000</v>
      </c>
      <c r="AD9" s="8">
        <v>2280000000</v>
      </c>
      <c r="AE9" s="8">
        <v>0</v>
      </c>
      <c r="AF9" s="8">
        <v>0</v>
      </c>
      <c r="AG9" s="8">
        <v>2</v>
      </c>
      <c r="AH9" s="8">
        <v>8828660000000</v>
      </c>
      <c r="AI9" s="8">
        <v>9076310000000</v>
      </c>
      <c r="AJ9" s="8">
        <v>8673430000000</v>
      </c>
      <c r="AK9" s="8">
        <v>8662250000000</v>
      </c>
      <c r="AL9" s="8">
        <v>8876490000000</v>
      </c>
      <c r="AN9" s="8">
        <f t="shared" si="0"/>
        <v>0.00797659</v>
      </c>
      <c r="AO9" s="8">
        <f t="shared" si="1"/>
        <v>45146566666666.7</v>
      </c>
      <c r="AP9" s="8">
        <f t="shared" si="2"/>
        <v>44119800000000</v>
      </c>
      <c r="AQ9" s="8">
        <f t="shared" si="3"/>
        <v>46548400000000</v>
      </c>
      <c r="AR9" s="8">
        <f t="shared" si="4"/>
        <v>7902810000000</v>
      </c>
      <c r="AS9" s="8">
        <f t="shared" si="5"/>
        <v>6070730000000</v>
      </c>
      <c r="AT9" s="8">
        <f t="shared" si="6"/>
        <v>8876490000000</v>
      </c>
    </row>
    <row r="10" ht="17.25" customHeight="1" spans="1:46">
      <c r="A10" s="17">
        <v>0.00898825</v>
      </c>
      <c r="B10" s="8">
        <v>0.00967476</v>
      </c>
      <c r="C10" s="8">
        <v>44780900000000</v>
      </c>
      <c r="D10" s="8">
        <v>1867930000</v>
      </c>
      <c r="E10" s="8">
        <v>0</v>
      </c>
      <c r="F10" s="8">
        <v>0</v>
      </c>
      <c r="G10" s="8">
        <v>2</v>
      </c>
      <c r="H10" s="8">
        <v>8957080000000</v>
      </c>
      <c r="I10" s="8">
        <v>9163110000000</v>
      </c>
      <c r="J10" s="8">
        <v>9571440000000</v>
      </c>
      <c r="K10" s="8">
        <v>9975870000000</v>
      </c>
      <c r="L10" s="8">
        <v>7112780000000</v>
      </c>
      <c r="N10" s="17">
        <v>0.00900841</v>
      </c>
      <c r="O10" s="8">
        <v>0.00968054</v>
      </c>
      <c r="P10" s="8">
        <v>45052000000000</v>
      </c>
      <c r="Q10" s="8">
        <v>5663880000</v>
      </c>
      <c r="R10" s="8">
        <v>0</v>
      </c>
      <c r="S10" s="8">
        <v>0</v>
      </c>
      <c r="T10" s="8">
        <v>2</v>
      </c>
      <c r="U10" s="8">
        <v>9627270000000</v>
      </c>
      <c r="V10" s="8">
        <v>8779710000000</v>
      </c>
      <c r="W10" s="8">
        <v>9203730000000</v>
      </c>
      <c r="X10" s="8">
        <v>8966380000000</v>
      </c>
      <c r="Y10" s="8">
        <v>8474650000000</v>
      </c>
      <c r="AA10" s="17">
        <v>0.00898676</v>
      </c>
      <c r="AB10" s="8">
        <v>0.00968283</v>
      </c>
      <c r="AC10" s="8">
        <v>45145600000000</v>
      </c>
      <c r="AD10" s="8">
        <v>4405360000</v>
      </c>
      <c r="AE10" s="8">
        <v>0</v>
      </c>
      <c r="AF10" s="8">
        <v>0</v>
      </c>
      <c r="AG10" s="8">
        <v>2</v>
      </c>
      <c r="AH10" s="8">
        <v>9067840000000</v>
      </c>
      <c r="AI10" s="8">
        <v>8812240000000</v>
      </c>
      <c r="AJ10" s="8">
        <v>8535220000000</v>
      </c>
      <c r="AK10" s="8">
        <v>9362230000000</v>
      </c>
      <c r="AL10" s="8">
        <v>9365690000000</v>
      </c>
      <c r="AN10" s="8">
        <f t="shared" si="0"/>
        <v>0.00898825</v>
      </c>
      <c r="AO10" s="8">
        <f t="shared" si="1"/>
        <v>44992833333333.3</v>
      </c>
      <c r="AP10" s="8">
        <f t="shared" si="2"/>
        <v>44780900000000</v>
      </c>
      <c r="AQ10" s="8">
        <f t="shared" si="3"/>
        <v>45145600000000</v>
      </c>
      <c r="AR10" s="8">
        <f t="shared" si="4"/>
        <v>8317706666666.67</v>
      </c>
      <c r="AS10" s="8">
        <f t="shared" si="5"/>
        <v>7112780000000</v>
      </c>
      <c r="AT10" s="8">
        <f t="shared" si="6"/>
        <v>9365690000000</v>
      </c>
    </row>
    <row r="11" ht="17.25" customHeight="1" spans="1:46">
      <c r="A11" s="17">
        <v>0.0100224</v>
      </c>
      <c r="B11" s="8">
        <v>0.0106916</v>
      </c>
      <c r="C11" s="8">
        <v>45571600000000</v>
      </c>
      <c r="D11" s="8">
        <v>3770470000</v>
      </c>
      <c r="E11" s="8">
        <v>0</v>
      </c>
      <c r="F11" s="8">
        <v>0</v>
      </c>
      <c r="G11" s="8">
        <v>2</v>
      </c>
      <c r="H11" s="8">
        <v>8628010000000</v>
      </c>
      <c r="I11" s="8">
        <v>9628960000000</v>
      </c>
      <c r="J11" s="8">
        <v>9344410000000</v>
      </c>
      <c r="K11" s="8">
        <v>10467200000000</v>
      </c>
      <c r="L11" s="8">
        <v>7502860000000</v>
      </c>
      <c r="N11" s="17">
        <v>0.00997998</v>
      </c>
      <c r="O11" s="8">
        <v>0.0106982</v>
      </c>
      <c r="P11" s="8">
        <v>46044600000000</v>
      </c>
      <c r="Q11" s="8">
        <v>3509030000</v>
      </c>
      <c r="R11" s="8">
        <v>0</v>
      </c>
      <c r="S11" s="8">
        <v>0</v>
      </c>
      <c r="T11" s="8">
        <v>2</v>
      </c>
      <c r="U11" s="8">
        <v>9618180000000</v>
      </c>
      <c r="V11" s="8">
        <v>9009150000000</v>
      </c>
      <c r="W11" s="8">
        <v>9574780000000</v>
      </c>
      <c r="X11" s="8">
        <v>9526210000000</v>
      </c>
      <c r="Y11" s="8">
        <v>8315850000000</v>
      </c>
      <c r="AA11" s="17">
        <v>0.0101114</v>
      </c>
      <c r="AB11" s="8">
        <v>0.0107992</v>
      </c>
      <c r="AC11" s="8">
        <v>45161900000000</v>
      </c>
      <c r="AD11" s="8">
        <v>1986760000</v>
      </c>
      <c r="AE11" s="8">
        <v>0</v>
      </c>
      <c r="AF11" s="8">
        <v>0</v>
      </c>
      <c r="AG11" s="8">
        <v>2</v>
      </c>
      <c r="AH11" s="8">
        <v>8689330000000</v>
      </c>
      <c r="AI11" s="8">
        <v>9626830000000</v>
      </c>
      <c r="AJ11" s="8">
        <v>7886870000000</v>
      </c>
      <c r="AK11" s="8">
        <v>9101280000000</v>
      </c>
      <c r="AL11" s="8">
        <v>9854820000000</v>
      </c>
      <c r="AN11" s="8">
        <f t="shared" si="0"/>
        <v>0.0100224</v>
      </c>
      <c r="AO11" s="8">
        <f t="shared" si="1"/>
        <v>45592700000000</v>
      </c>
      <c r="AP11" s="8">
        <f t="shared" si="2"/>
        <v>45161900000000</v>
      </c>
      <c r="AQ11" s="8">
        <f t="shared" si="3"/>
        <v>46044600000000</v>
      </c>
      <c r="AR11" s="8">
        <f t="shared" si="4"/>
        <v>8557843333333.33</v>
      </c>
      <c r="AS11" s="8">
        <f t="shared" si="5"/>
        <v>7502860000000</v>
      </c>
      <c r="AT11" s="8">
        <f t="shared" si="6"/>
        <v>9854820000000</v>
      </c>
    </row>
    <row r="12" ht="17.25" customHeight="1" spans="1:46">
      <c r="A12" s="17">
        <v>0.0110035</v>
      </c>
      <c r="B12" s="8">
        <v>0.0116662</v>
      </c>
      <c r="C12" s="8">
        <v>44721100000000</v>
      </c>
      <c r="D12" s="8">
        <v>4013200000</v>
      </c>
      <c r="E12" s="8">
        <v>0</v>
      </c>
      <c r="F12" s="8">
        <v>0</v>
      </c>
      <c r="G12" s="8">
        <v>2</v>
      </c>
      <c r="H12" s="8">
        <v>8539230000000</v>
      </c>
      <c r="I12" s="8">
        <v>8980550000000</v>
      </c>
      <c r="J12" s="8">
        <v>9494540000000</v>
      </c>
      <c r="K12" s="8">
        <v>10038500000000</v>
      </c>
      <c r="L12" s="8">
        <v>7667600000000</v>
      </c>
      <c r="N12" s="17">
        <v>0.0110223</v>
      </c>
      <c r="O12" s="8">
        <v>0.0117245</v>
      </c>
      <c r="P12" s="8">
        <v>46017000000000</v>
      </c>
      <c r="Q12" s="8">
        <v>4969870000</v>
      </c>
      <c r="R12" s="8">
        <v>0</v>
      </c>
      <c r="S12" s="8">
        <v>0</v>
      </c>
      <c r="T12" s="8">
        <v>2</v>
      </c>
      <c r="U12" s="8">
        <v>9238600000000</v>
      </c>
      <c r="V12" s="8">
        <v>10548000000000</v>
      </c>
      <c r="W12" s="8">
        <v>8854220000000</v>
      </c>
      <c r="X12" s="8">
        <v>8440660000000</v>
      </c>
      <c r="Y12" s="8">
        <v>8935440000000</v>
      </c>
      <c r="AA12" s="17">
        <v>0.0109915</v>
      </c>
      <c r="AB12" s="8">
        <v>0.0117008</v>
      </c>
      <c r="AC12" s="8">
        <v>45037700000000</v>
      </c>
      <c r="AD12" s="8">
        <v>3771410000</v>
      </c>
      <c r="AE12" s="8">
        <v>0</v>
      </c>
      <c r="AF12" s="8">
        <v>0</v>
      </c>
      <c r="AG12" s="8">
        <v>2</v>
      </c>
      <c r="AH12" s="8">
        <v>8969820000000</v>
      </c>
      <c r="AI12" s="8">
        <v>9282210000000</v>
      </c>
      <c r="AJ12" s="8">
        <v>8267850000000</v>
      </c>
      <c r="AK12" s="8">
        <v>8652300000000</v>
      </c>
      <c r="AL12" s="8">
        <v>9865090000000</v>
      </c>
      <c r="AN12" s="8">
        <f t="shared" si="0"/>
        <v>0.0110035</v>
      </c>
      <c r="AO12" s="8">
        <f t="shared" si="1"/>
        <v>45258600000000</v>
      </c>
      <c r="AP12" s="8">
        <f t="shared" si="2"/>
        <v>44721100000000</v>
      </c>
      <c r="AQ12" s="8">
        <f t="shared" si="3"/>
        <v>46017000000000</v>
      </c>
      <c r="AR12" s="8">
        <f t="shared" si="4"/>
        <v>8822710000000</v>
      </c>
      <c r="AS12" s="8">
        <f t="shared" si="5"/>
        <v>7667600000000</v>
      </c>
      <c r="AT12" s="8">
        <f t="shared" si="6"/>
        <v>9865090000000</v>
      </c>
    </row>
    <row r="13" ht="17.25" customHeight="1" spans="1:46">
      <c r="A13" s="17">
        <v>0.0120144</v>
      </c>
      <c r="B13" s="8">
        <v>0.0126897</v>
      </c>
      <c r="C13" s="8">
        <v>44629900000000</v>
      </c>
      <c r="D13" s="8">
        <v>2988620000</v>
      </c>
      <c r="E13" s="8">
        <v>0</v>
      </c>
      <c r="F13" s="8">
        <v>0</v>
      </c>
      <c r="G13" s="8">
        <v>2</v>
      </c>
      <c r="H13" s="8">
        <v>9088720000000</v>
      </c>
      <c r="I13" s="8">
        <v>8712160000000</v>
      </c>
      <c r="J13" s="8">
        <v>9304090000000</v>
      </c>
      <c r="K13" s="8">
        <v>9708210000000</v>
      </c>
      <c r="L13" s="8">
        <v>7815690000000</v>
      </c>
      <c r="N13" s="17">
        <v>0.0119868</v>
      </c>
      <c r="O13" s="8">
        <v>0.0126918</v>
      </c>
      <c r="P13" s="8">
        <v>44983000000000</v>
      </c>
      <c r="Q13" s="8">
        <v>4684850000</v>
      </c>
      <c r="R13" s="8">
        <v>0</v>
      </c>
      <c r="S13" s="8">
        <v>0</v>
      </c>
      <c r="T13" s="8">
        <v>2</v>
      </c>
      <c r="U13" s="8">
        <v>9275220000000</v>
      </c>
      <c r="V13" s="8">
        <v>9726330000000</v>
      </c>
      <c r="W13" s="8">
        <v>8972420000000</v>
      </c>
      <c r="X13" s="8">
        <v>8542460000000</v>
      </c>
      <c r="Y13" s="8">
        <v>8458700000000</v>
      </c>
      <c r="AA13" s="17">
        <v>0.0120397</v>
      </c>
      <c r="AB13" s="8">
        <v>0.0127534</v>
      </c>
      <c r="AC13" s="8">
        <v>46041100000000</v>
      </c>
      <c r="AD13" s="8">
        <v>5258560000</v>
      </c>
      <c r="AE13" s="8">
        <v>0</v>
      </c>
      <c r="AF13" s="8">
        <v>0</v>
      </c>
      <c r="AG13" s="8">
        <v>2</v>
      </c>
      <c r="AH13" s="8">
        <v>8705640000000</v>
      </c>
      <c r="AI13" s="8">
        <v>8966060000000</v>
      </c>
      <c r="AJ13" s="8">
        <v>9406450000000</v>
      </c>
      <c r="AK13" s="8">
        <v>8760140000000</v>
      </c>
      <c r="AL13" s="8">
        <v>10200500000000</v>
      </c>
      <c r="AN13" s="8">
        <f t="shared" si="0"/>
        <v>0.0120144</v>
      </c>
      <c r="AO13" s="8">
        <f t="shared" si="1"/>
        <v>45218000000000</v>
      </c>
      <c r="AP13" s="8">
        <f t="shared" si="2"/>
        <v>44629900000000</v>
      </c>
      <c r="AQ13" s="8">
        <f t="shared" si="3"/>
        <v>46041100000000</v>
      </c>
      <c r="AR13" s="8">
        <f t="shared" si="4"/>
        <v>8824963333333.33</v>
      </c>
      <c r="AS13" s="8">
        <f t="shared" si="5"/>
        <v>7815690000000</v>
      </c>
      <c r="AT13" s="8">
        <f t="shared" si="6"/>
        <v>10200500000000</v>
      </c>
    </row>
    <row r="14" ht="17.25" customHeight="1" spans="1:46">
      <c r="A14" s="17">
        <v>0.0129708</v>
      </c>
      <c r="B14" s="8">
        <v>0.0137029</v>
      </c>
      <c r="C14" s="8">
        <v>45435000000000</v>
      </c>
      <c r="D14" s="8">
        <v>3508770000</v>
      </c>
      <c r="E14" s="8">
        <v>0</v>
      </c>
      <c r="F14" s="8">
        <v>0</v>
      </c>
      <c r="G14" s="8">
        <v>2</v>
      </c>
      <c r="H14" s="8">
        <v>9196980000000</v>
      </c>
      <c r="I14" s="8">
        <v>8281640000000</v>
      </c>
      <c r="J14" s="8">
        <v>8689240000000</v>
      </c>
      <c r="K14" s="8">
        <v>9905870000000</v>
      </c>
      <c r="L14" s="8">
        <v>9360730000000</v>
      </c>
      <c r="N14" s="17">
        <v>0.0130168</v>
      </c>
      <c r="O14" s="8">
        <v>0.0136822</v>
      </c>
      <c r="P14" s="8">
        <v>44806000000000</v>
      </c>
      <c r="Q14" s="8">
        <v>4610210000</v>
      </c>
      <c r="R14" s="8">
        <v>0</v>
      </c>
      <c r="S14" s="8">
        <v>0</v>
      </c>
      <c r="T14" s="8">
        <v>2</v>
      </c>
      <c r="U14" s="8">
        <v>9716000000000</v>
      </c>
      <c r="V14" s="8">
        <v>9132170000000</v>
      </c>
      <c r="W14" s="8">
        <v>9147620000000</v>
      </c>
      <c r="X14" s="8">
        <v>9556470000000</v>
      </c>
      <c r="Y14" s="8">
        <v>7252670000000</v>
      </c>
      <c r="AA14" s="17">
        <v>0.0130128</v>
      </c>
      <c r="AB14" s="8">
        <v>0.013698</v>
      </c>
      <c r="AC14" s="8">
        <v>46253100000000</v>
      </c>
      <c r="AD14" s="8">
        <v>2086520000</v>
      </c>
      <c r="AE14" s="8">
        <v>0</v>
      </c>
      <c r="AF14" s="8">
        <v>0</v>
      </c>
      <c r="AG14" s="8">
        <v>2</v>
      </c>
      <c r="AH14" s="8">
        <v>8790510000000</v>
      </c>
      <c r="AI14" s="8">
        <v>9897620000000</v>
      </c>
      <c r="AJ14" s="8">
        <v>8351450000000</v>
      </c>
      <c r="AK14" s="8">
        <v>9357820000000</v>
      </c>
      <c r="AL14" s="8">
        <v>9849830000000</v>
      </c>
      <c r="AN14" s="8">
        <f t="shared" si="0"/>
        <v>0.0129708</v>
      </c>
      <c r="AO14" s="8">
        <f t="shared" si="1"/>
        <v>45498033333333.3</v>
      </c>
      <c r="AP14" s="8">
        <f t="shared" si="2"/>
        <v>44806000000000</v>
      </c>
      <c r="AQ14" s="8">
        <f t="shared" si="3"/>
        <v>46253100000000</v>
      </c>
      <c r="AR14" s="8">
        <f t="shared" si="4"/>
        <v>8821076666666.67</v>
      </c>
      <c r="AS14" s="8">
        <f t="shared" si="5"/>
        <v>7252670000000</v>
      </c>
      <c r="AT14" s="8">
        <f t="shared" si="6"/>
        <v>9849830000000</v>
      </c>
    </row>
    <row r="15" ht="17.25" customHeight="1" spans="1:46">
      <c r="A15" s="17">
        <v>0.0140085</v>
      </c>
      <c r="B15" s="8">
        <v>0.0147022</v>
      </c>
      <c r="C15" s="8">
        <v>45613200000000</v>
      </c>
      <c r="D15" s="8">
        <v>8307170000</v>
      </c>
      <c r="E15" s="8">
        <v>0</v>
      </c>
      <c r="F15" s="8">
        <v>0</v>
      </c>
      <c r="G15" s="8">
        <v>2</v>
      </c>
      <c r="H15" s="8">
        <v>9088040000000</v>
      </c>
      <c r="I15" s="8">
        <v>8796330000000</v>
      </c>
      <c r="J15" s="8">
        <v>9170180000000</v>
      </c>
      <c r="K15" s="8">
        <v>10268800000000</v>
      </c>
      <c r="L15" s="8">
        <v>8289050000000</v>
      </c>
      <c r="N15" s="17">
        <v>0.0140074</v>
      </c>
      <c r="O15" s="8">
        <v>0.0146572</v>
      </c>
      <c r="P15" s="8">
        <v>45168900000000</v>
      </c>
      <c r="Q15" s="8">
        <v>3384320000</v>
      </c>
      <c r="R15" s="8">
        <v>0</v>
      </c>
      <c r="S15" s="8">
        <v>0</v>
      </c>
      <c r="T15" s="8">
        <v>2</v>
      </c>
      <c r="U15" s="8">
        <v>9489090000000</v>
      </c>
      <c r="V15" s="8">
        <v>8957870000000</v>
      </c>
      <c r="W15" s="8">
        <v>9321390000000</v>
      </c>
      <c r="X15" s="8">
        <v>9971350000000</v>
      </c>
      <c r="Y15" s="8">
        <v>7428200000000</v>
      </c>
      <c r="AA15" s="17">
        <v>0.0139734</v>
      </c>
      <c r="AB15" s="8">
        <v>0.0146617</v>
      </c>
      <c r="AC15" s="8">
        <v>46097200000000</v>
      </c>
      <c r="AD15" s="8">
        <v>5498090000</v>
      </c>
      <c r="AE15" s="8">
        <v>0</v>
      </c>
      <c r="AF15" s="8">
        <v>0</v>
      </c>
      <c r="AG15" s="8">
        <v>2</v>
      </c>
      <c r="AH15" s="8">
        <v>9486280000000</v>
      </c>
      <c r="AI15" s="8">
        <v>9459520000000</v>
      </c>
      <c r="AJ15" s="8">
        <v>8139090000000</v>
      </c>
      <c r="AK15" s="8">
        <v>8830970000000</v>
      </c>
      <c r="AL15" s="8">
        <v>10181400000000</v>
      </c>
      <c r="AN15" s="8">
        <f t="shared" si="0"/>
        <v>0.0140085</v>
      </c>
      <c r="AO15" s="8">
        <f t="shared" si="1"/>
        <v>45626433333333.3</v>
      </c>
      <c r="AP15" s="8">
        <f t="shared" si="2"/>
        <v>45168900000000</v>
      </c>
      <c r="AQ15" s="8">
        <f t="shared" si="3"/>
        <v>46097200000000</v>
      </c>
      <c r="AR15" s="8">
        <f t="shared" si="4"/>
        <v>8632883333333.33</v>
      </c>
      <c r="AS15" s="8">
        <f t="shared" si="5"/>
        <v>7428200000000</v>
      </c>
      <c r="AT15" s="8">
        <f t="shared" si="6"/>
        <v>10181400000000</v>
      </c>
    </row>
    <row r="16" ht="17.25" customHeight="1" spans="1:46">
      <c r="A16" s="17">
        <v>0.0149926</v>
      </c>
      <c r="B16" s="8">
        <v>0.0156953</v>
      </c>
      <c r="C16" s="8">
        <v>44420000000000</v>
      </c>
      <c r="D16" s="8">
        <v>2607540000</v>
      </c>
      <c r="E16" s="8">
        <v>0</v>
      </c>
      <c r="F16" s="8">
        <v>0</v>
      </c>
      <c r="G16" s="8">
        <v>2</v>
      </c>
      <c r="H16" s="8">
        <v>9031120000000</v>
      </c>
      <c r="I16" s="8">
        <v>8713080000000</v>
      </c>
      <c r="J16" s="8">
        <v>9241980000000</v>
      </c>
      <c r="K16" s="8">
        <v>9146800000000</v>
      </c>
      <c r="L16" s="8">
        <v>8286630000000</v>
      </c>
      <c r="N16" s="17">
        <v>0.0149746</v>
      </c>
      <c r="O16" s="8">
        <v>0.0156093</v>
      </c>
      <c r="P16" s="8">
        <v>45459300000000</v>
      </c>
      <c r="Q16" s="8">
        <v>3025880000</v>
      </c>
      <c r="R16" s="8">
        <v>0</v>
      </c>
      <c r="S16" s="8">
        <v>0</v>
      </c>
      <c r="T16" s="8">
        <v>2</v>
      </c>
      <c r="U16" s="8">
        <v>8775230000000</v>
      </c>
      <c r="V16" s="8">
        <v>9384360000000</v>
      </c>
      <c r="W16" s="8">
        <v>9189030000000</v>
      </c>
      <c r="X16" s="8">
        <v>10096200000000</v>
      </c>
      <c r="Y16" s="8">
        <v>8014400000000</v>
      </c>
      <c r="AA16" s="17">
        <v>0.0150051</v>
      </c>
      <c r="AB16" s="8">
        <v>0.0156189</v>
      </c>
      <c r="AC16" s="8">
        <v>45480700000000</v>
      </c>
      <c r="AD16" s="8">
        <v>3419830000</v>
      </c>
      <c r="AE16" s="8">
        <v>0</v>
      </c>
      <c r="AF16" s="8">
        <v>0</v>
      </c>
      <c r="AG16" s="8">
        <v>2</v>
      </c>
      <c r="AH16" s="8">
        <v>8105020000000</v>
      </c>
      <c r="AI16" s="8">
        <v>10050300000000</v>
      </c>
      <c r="AJ16" s="8">
        <v>8693670000000</v>
      </c>
      <c r="AK16" s="8">
        <v>8827020000000</v>
      </c>
      <c r="AL16" s="8">
        <v>9804210000000</v>
      </c>
      <c r="AN16" s="8">
        <f t="shared" si="0"/>
        <v>0.0149926</v>
      </c>
      <c r="AO16" s="8">
        <f t="shared" si="1"/>
        <v>45120000000000</v>
      </c>
      <c r="AP16" s="8">
        <f t="shared" si="2"/>
        <v>44420000000000</v>
      </c>
      <c r="AQ16" s="8">
        <f t="shared" si="3"/>
        <v>45480700000000</v>
      </c>
      <c r="AR16" s="8">
        <f t="shared" si="4"/>
        <v>8701746666666.67</v>
      </c>
      <c r="AS16" s="8">
        <f t="shared" si="5"/>
        <v>8014400000000</v>
      </c>
      <c r="AT16" s="8">
        <f t="shared" si="6"/>
        <v>9804210000000</v>
      </c>
    </row>
    <row r="17" ht="17.25" customHeight="1" spans="1:46">
      <c r="A17" s="17">
        <v>0.0160169</v>
      </c>
      <c r="B17" s="8">
        <v>0.0166913</v>
      </c>
      <c r="C17" s="8">
        <v>44670300000000</v>
      </c>
      <c r="D17" s="8">
        <v>4776050000</v>
      </c>
      <c r="E17" s="8">
        <v>0</v>
      </c>
      <c r="F17" s="8">
        <v>0</v>
      </c>
      <c r="G17" s="8">
        <v>2</v>
      </c>
      <c r="H17" s="8">
        <v>8616870000000</v>
      </c>
      <c r="I17" s="8">
        <v>9569020000000</v>
      </c>
      <c r="J17" s="8">
        <v>9327880000000</v>
      </c>
      <c r="K17" s="8">
        <v>8659950000000</v>
      </c>
      <c r="L17" s="8">
        <v>8496140000000</v>
      </c>
      <c r="N17" s="17">
        <v>0.0159461</v>
      </c>
      <c r="O17" s="8">
        <v>0.0166171</v>
      </c>
      <c r="P17" s="8">
        <v>44798400000000</v>
      </c>
      <c r="Q17" s="8">
        <v>3459040000</v>
      </c>
      <c r="R17" s="8">
        <v>0</v>
      </c>
      <c r="S17" s="8">
        <v>0</v>
      </c>
      <c r="T17" s="8">
        <v>2</v>
      </c>
      <c r="U17" s="8">
        <v>8567960000000</v>
      </c>
      <c r="V17" s="8">
        <v>9315930000000</v>
      </c>
      <c r="W17" s="8">
        <v>9317240000000</v>
      </c>
      <c r="X17" s="8">
        <v>9728320000000</v>
      </c>
      <c r="Y17" s="8">
        <v>7868040000000</v>
      </c>
      <c r="AA17" s="17">
        <v>0.0160267</v>
      </c>
      <c r="AB17" s="8">
        <v>0.0166863</v>
      </c>
      <c r="AC17" s="8">
        <v>45545900000000</v>
      </c>
      <c r="AD17" s="8">
        <v>2931270000</v>
      </c>
      <c r="AE17" s="8">
        <v>0</v>
      </c>
      <c r="AF17" s="8">
        <v>0</v>
      </c>
      <c r="AG17" s="8">
        <v>2</v>
      </c>
      <c r="AH17" s="8">
        <v>8682050000000</v>
      </c>
      <c r="AI17" s="8">
        <v>9185990000000</v>
      </c>
      <c r="AJ17" s="8">
        <v>8306350000000</v>
      </c>
      <c r="AK17" s="8">
        <v>9311950000000</v>
      </c>
      <c r="AL17" s="8">
        <v>10058400000000</v>
      </c>
      <c r="AN17" s="8">
        <f t="shared" si="0"/>
        <v>0.0160169</v>
      </c>
      <c r="AO17" s="8">
        <f t="shared" si="1"/>
        <v>45004866666666.7</v>
      </c>
      <c r="AP17" s="8">
        <f t="shared" si="2"/>
        <v>44670300000000</v>
      </c>
      <c r="AQ17" s="8">
        <f t="shared" si="3"/>
        <v>45545900000000</v>
      </c>
      <c r="AR17" s="8">
        <f t="shared" si="4"/>
        <v>8807526666666.67</v>
      </c>
      <c r="AS17" s="8">
        <f t="shared" si="5"/>
        <v>7868040000000</v>
      </c>
      <c r="AT17" s="8">
        <f t="shared" si="6"/>
        <v>10058400000000</v>
      </c>
    </row>
    <row r="18" ht="17.25" customHeight="1" spans="1:46">
      <c r="A18" s="17">
        <v>0.0169616</v>
      </c>
      <c r="B18" s="8">
        <v>0.0176339</v>
      </c>
      <c r="C18" s="8">
        <v>44177600000000</v>
      </c>
      <c r="D18" s="8">
        <v>2914170000</v>
      </c>
      <c r="E18" s="8">
        <v>0</v>
      </c>
      <c r="F18" s="8">
        <v>0</v>
      </c>
      <c r="G18" s="8">
        <v>2</v>
      </c>
      <c r="H18" s="8">
        <v>8430210000000</v>
      </c>
      <c r="I18" s="8">
        <v>8855780000000</v>
      </c>
      <c r="J18" s="8">
        <v>9665630000000</v>
      </c>
      <c r="K18" s="8">
        <v>8665870000000</v>
      </c>
      <c r="L18" s="8">
        <v>8558890000000</v>
      </c>
      <c r="N18" s="17">
        <v>0.0169679</v>
      </c>
      <c r="O18" s="8">
        <v>0.0176348</v>
      </c>
      <c r="P18" s="8">
        <v>44960700000000</v>
      </c>
      <c r="Q18" s="8">
        <v>2280750000</v>
      </c>
      <c r="R18" s="8">
        <v>0</v>
      </c>
      <c r="S18" s="8">
        <v>0</v>
      </c>
      <c r="T18" s="8">
        <v>2</v>
      </c>
      <c r="U18" s="8">
        <v>8735000000000</v>
      </c>
      <c r="V18" s="8">
        <v>9842740000000</v>
      </c>
      <c r="W18" s="8">
        <v>9276800000000</v>
      </c>
      <c r="X18" s="8">
        <v>9288230000000</v>
      </c>
      <c r="Y18" s="8">
        <v>7817360000000</v>
      </c>
      <c r="AA18" s="17">
        <v>0.0169967</v>
      </c>
      <c r="AB18" s="8">
        <v>0.0176328</v>
      </c>
      <c r="AC18" s="8">
        <v>45297700000000</v>
      </c>
      <c r="AD18" s="8">
        <v>2647470000</v>
      </c>
      <c r="AE18" s="8">
        <v>0</v>
      </c>
      <c r="AF18" s="8">
        <v>0</v>
      </c>
      <c r="AG18" s="8">
        <v>2</v>
      </c>
      <c r="AH18" s="8">
        <v>8957850000000</v>
      </c>
      <c r="AI18" s="8">
        <v>9496480000000</v>
      </c>
      <c r="AJ18" s="8">
        <v>8221800000000</v>
      </c>
      <c r="AK18" s="8">
        <v>9598550000000</v>
      </c>
      <c r="AL18" s="8">
        <v>9022520000000</v>
      </c>
      <c r="AN18" s="8">
        <f t="shared" si="0"/>
        <v>0.0169616</v>
      </c>
      <c r="AO18" s="8">
        <f t="shared" si="1"/>
        <v>44812000000000</v>
      </c>
      <c r="AP18" s="8">
        <f t="shared" si="2"/>
        <v>44177600000000</v>
      </c>
      <c r="AQ18" s="8">
        <f t="shared" si="3"/>
        <v>45297700000000</v>
      </c>
      <c r="AR18" s="8">
        <f t="shared" si="4"/>
        <v>8466256666666.67</v>
      </c>
      <c r="AS18" s="8">
        <f t="shared" si="5"/>
        <v>7817360000000</v>
      </c>
      <c r="AT18" s="8">
        <f t="shared" si="6"/>
        <v>9022520000000</v>
      </c>
    </row>
    <row r="19" ht="17.25" customHeight="1" spans="1:46">
      <c r="A19" s="17">
        <v>0.0179688</v>
      </c>
      <c r="B19" s="8">
        <v>0.0186335</v>
      </c>
      <c r="C19" s="8">
        <v>44003100000000</v>
      </c>
      <c r="D19" s="8">
        <v>3546450000</v>
      </c>
      <c r="E19" s="8">
        <v>0</v>
      </c>
      <c r="F19" s="8">
        <v>0</v>
      </c>
      <c r="G19" s="8">
        <v>2</v>
      </c>
      <c r="H19" s="8">
        <v>8448150000000</v>
      </c>
      <c r="I19" s="8">
        <v>8085430000000</v>
      </c>
      <c r="J19" s="8">
        <v>9487170000000</v>
      </c>
      <c r="K19" s="8">
        <v>9271780000000</v>
      </c>
      <c r="L19" s="8">
        <v>8709990000000</v>
      </c>
      <c r="N19" s="17">
        <v>0.0179549</v>
      </c>
      <c r="O19" s="8">
        <v>0.0186314</v>
      </c>
      <c r="P19" s="8">
        <v>45245000000000</v>
      </c>
      <c r="Q19" s="8">
        <v>2829880000</v>
      </c>
      <c r="R19" s="8">
        <v>0</v>
      </c>
      <c r="S19" s="8">
        <v>0</v>
      </c>
      <c r="T19" s="8">
        <v>2</v>
      </c>
      <c r="U19" s="8">
        <v>8545700000000</v>
      </c>
      <c r="V19" s="8">
        <v>9178470000000</v>
      </c>
      <c r="W19" s="8">
        <v>8506680000000</v>
      </c>
      <c r="X19" s="8">
        <v>10248600000000</v>
      </c>
      <c r="Y19" s="8">
        <v>8764120000000</v>
      </c>
      <c r="AA19" s="17">
        <v>0.0180007</v>
      </c>
      <c r="AB19" s="8">
        <v>0.0187047</v>
      </c>
      <c r="AC19" s="8">
        <v>44830700000000</v>
      </c>
      <c r="AD19" s="8">
        <v>6056110000</v>
      </c>
      <c r="AE19" s="8">
        <v>0</v>
      </c>
      <c r="AF19" s="8">
        <v>0</v>
      </c>
      <c r="AG19" s="8">
        <v>2</v>
      </c>
      <c r="AH19" s="8">
        <v>7989710000000</v>
      </c>
      <c r="AI19" s="8">
        <v>8944720000000</v>
      </c>
      <c r="AJ19" s="8">
        <v>8071070000000</v>
      </c>
      <c r="AK19" s="8">
        <v>9626990000000</v>
      </c>
      <c r="AL19" s="8">
        <v>10196900000000</v>
      </c>
      <c r="AN19" s="8">
        <f t="shared" si="0"/>
        <v>0.0179688</v>
      </c>
      <c r="AO19" s="8">
        <f t="shared" si="1"/>
        <v>44692933333333.3</v>
      </c>
      <c r="AP19" s="8">
        <f t="shared" si="2"/>
        <v>44003100000000</v>
      </c>
      <c r="AQ19" s="8">
        <f t="shared" si="3"/>
        <v>45245000000000</v>
      </c>
      <c r="AR19" s="8">
        <f t="shared" si="4"/>
        <v>9223670000000</v>
      </c>
      <c r="AS19" s="8">
        <f t="shared" si="5"/>
        <v>8709990000000</v>
      </c>
      <c r="AT19" s="8">
        <f t="shared" si="6"/>
        <v>10196900000000</v>
      </c>
    </row>
    <row r="20" ht="17.25" customHeight="1" spans="1:46">
      <c r="A20" s="17">
        <v>0.0189679</v>
      </c>
      <c r="B20" s="8">
        <v>0.019703</v>
      </c>
      <c r="C20" s="8">
        <v>44205200000000</v>
      </c>
      <c r="D20" s="8">
        <v>3204360000</v>
      </c>
      <c r="E20" s="8">
        <v>0</v>
      </c>
      <c r="F20" s="8">
        <v>0</v>
      </c>
      <c r="G20" s="8">
        <v>2</v>
      </c>
      <c r="H20" s="8">
        <v>8513300000000</v>
      </c>
      <c r="I20" s="8">
        <v>8791380000000</v>
      </c>
      <c r="J20" s="8">
        <v>9614940000000</v>
      </c>
      <c r="K20" s="8">
        <v>8634340000000</v>
      </c>
      <c r="L20" s="8">
        <v>8646830000000</v>
      </c>
      <c r="N20" s="17">
        <v>0.0190017</v>
      </c>
      <c r="O20" s="8">
        <v>0.0196863</v>
      </c>
      <c r="P20" s="8">
        <v>45724200000000</v>
      </c>
      <c r="Q20" s="8">
        <v>3333690000</v>
      </c>
      <c r="R20" s="8">
        <v>0</v>
      </c>
      <c r="S20" s="8">
        <v>0</v>
      </c>
      <c r="T20" s="8">
        <v>2</v>
      </c>
      <c r="U20" s="8">
        <v>8516020000000</v>
      </c>
      <c r="V20" s="8">
        <v>9214430000000</v>
      </c>
      <c r="W20" s="8">
        <v>8986770000000</v>
      </c>
      <c r="X20" s="8">
        <v>10441300000000</v>
      </c>
      <c r="Y20" s="8">
        <v>8564110000000</v>
      </c>
      <c r="AA20" s="17">
        <v>0.0189863</v>
      </c>
      <c r="AB20" s="8">
        <v>0.0196795</v>
      </c>
      <c r="AC20" s="8">
        <v>45414100000000</v>
      </c>
      <c r="AD20" s="8">
        <v>4917660000</v>
      </c>
      <c r="AE20" s="8">
        <v>0</v>
      </c>
      <c r="AF20" s="8">
        <v>0</v>
      </c>
      <c r="AG20" s="8">
        <v>2</v>
      </c>
      <c r="AH20" s="8">
        <v>7817210000000</v>
      </c>
      <c r="AI20" s="8">
        <v>9412470000000</v>
      </c>
      <c r="AJ20" s="8">
        <v>7971910000000</v>
      </c>
      <c r="AK20" s="8">
        <v>9837360000000</v>
      </c>
      <c r="AL20" s="8">
        <v>10373400000000</v>
      </c>
      <c r="AN20" s="8">
        <f t="shared" si="0"/>
        <v>0.0189679</v>
      </c>
      <c r="AO20" s="8">
        <f t="shared" si="1"/>
        <v>45114500000000</v>
      </c>
      <c r="AP20" s="8">
        <f t="shared" si="2"/>
        <v>44205200000000</v>
      </c>
      <c r="AQ20" s="8">
        <f t="shared" si="3"/>
        <v>45724200000000</v>
      </c>
      <c r="AR20" s="8">
        <f t="shared" si="4"/>
        <v>9194780000000</v>
      </c>
      <c r="AS20" s="8">
        <f t="shared" si="5"/>
        <v>8564110000000</v>
      </c>
      <c r="AT20" s="8">
        <f t="shared" si="6"/>
        <v>10373400000000</v>
      </c>
    </row>
    <row r="21" ht="17.25" customHeight="1" spans="1:46">
      <c r="A21" s="17">
        <v>0.0200246</v>
      </c>
      <c r="B21" s="8">
        <v>0.0207223</v>
      </c>
      <c r="C21" s="8">
        <v>45235400000000</v>
      </c>
      <c r="D21" s="8">
        <v>3187910000</v>
      </c>
      <c r="E21" s="8">
        <v>0</v>
      </c>
      <c r="F21" s="8">
        <v>0</v>
      </c>
      <c r="G21" s="8">
        <v>2</v>
      </c>
      <c r="H21" s="8">
        <v>8743000000000</v>
      </c>
      <c r="I21" s="8">
        <v>8440450000000</v>
      </c>
      <c r="J21" s="8">
        <v>10168800000000</v>
      </c>
      <c r="K21" s="8">
        <v>8687020000000</v>
      </c>
      <c r="L21" s="8">
        <v>9195190000000</v>
      </c>
      <c r="N21" s="17">
        <v>0.0200063</v>
      </c>
      <c r="O21" s="8">
        <v>0.0206709</v>
      </c>
      <c r="P21" s="8">
        <v>46208100000000</v>
      </c>
      <c r="Q21" s="8">
        <v>2598590000</v>
      </c>
      <c r="R21" s="8">
        <v>0</v>
      </c>
      <c r="S21" s="8">
        <v>0</v>
      </c>
      <c r="T21" s="8">
        <v>2</v>
      </c>
      <c r="U21" s="8">
        <v>8929850000000</v>
      </c>
      <c r="V21" s="8">
        <v>9878390000000</v>
      </c>
      <c r="W21" s="8">
        <v>9497910000000</v>
      </c>
      <c r="X21" s="8">
        <v>9955280000000</v>
      </c>
      <c r="Y21" s="8">
        <v>7946370000000</v>
      </c>
      <c r="AA21" s="17">
        <v>0.0200033</v>
      </c>
      <c r="AB21" s="8">
        <v>0.0206984</v>
      </c>
      <c r="AC21" s="8">
        <v>46473500000000</v>
      </c>
      <c r="AD21" s="8">
        <v>5682370000</v>
      </c>
      <c r="AE21" s="8">
        <v>0</v>
      </c>
      <c r="AF21" s="8">
        <v>0</v>
      </c>
      <c r="AG21" s="8">
        <v>2</v>
      </c>
      <c r="AH21" s="8">
        <v>7642460000000</v>
      </c>
      <c r="AI21" s="8">
        <v>10083100000000</v>
      </c>
      <c r="AJ21" s="8">
        <v>8530450000000</v>
      </c>
      <c r="AK21" s="8">
        <v>9348210000000</v>
      </c>
      <c r="AL21" s="8">
        <v>10866300000000</v>
      </c>
      <c r="AN21" s="8">
        <f t="shared" si="0"/>
        <v>0.0200246</v>
      </c>
      <c r="AO21" s="8">
        <f t="shared" si="1"/>
        <v>45972333333333.3</v>
      </c>
      <c r="AP21" s="8">
        <f t="shared" si="2"/>
        <v>45235400000000</v>
      </c>
      <c r="AQ21" s="8">
        <f t="shared" si="3"/>
        <v>46473500000000</v>
      </c>
      <c r="AR21" s="8">
        <f t="shared" si="4"/>
        <v>9335953333333.33</v>
      </c>
      <c r="AS21" s="8">
        <f t="shared" si="5"/>
        <v>7946370000000</v>
      </c>
      <c r="AT21" s="8">
        <f t="shared" si="6"/>
        <v>10866300000000</v>
      </c>
    </row>
    <row r="22" ht="17.25" customHeight="1" spans="1:46">
      <c r="A22" s="17">
        <v>0.0210283</v>
      </c>
      <c r="B22" s="8">
        <v>0.0217481</v>
      </c>
      <c r="C22" s="8">
        <v>46105400000000</v>
      </c>
      <c r="D22" s="8">
        <v>4075410000</v>
      </c>
      <c r="E22" s="8">
        <v>0</v>
      </c>
      <c r="F22" s="8">
        <v>0</v>
      </c>
      <c r="G22" s="8">
        <v>2</v>
      </c>
      <c r="H22" s="8">
        <v>9177390000000</v>
      </c>
      <c r="I22" s="8">
        <v>9126740000000</v>
      </c>
      <c r="J22" s="8">
        <v>10267300000000</v>
      </c>
      <c r="K22" s="8">
        <v>9427880000000</v>
      </c>
      <c r="L22" s="8">
        <v>8105920000000</v>
      </c>
      <c r="N22" s="17">
        <v>0.0209319</v>
      </c>
      <c r="O22" s="8">
        <v>0.0216273</v>
      </c>
      <c r="P22" s="8">
        <v>45752400000000</v>
      </c>
      <c r="Q22" s="8">
        <v>4088840000</v>
      </c>
      <c r="R22" s="8">
        <v>0</v>
      </c>
      <c r="S22" s="8">
        <v>0</v>
      </c>
      <c r="T22" s="8">
        <v>2</v>
      </c>
      <c r="U22" s="8">
        <v>8913010000000</v>
      </c>
      <c r="V22" s="8">
        <v>9565650000000</v>
      </c>
      <c r="W22" s="8">
        <v>9540340000000</v>
      </c>
      <c r="X22" s="8">
        <v>9762600000000</v>
      </c>
      <c r="Y22" s="8">
        <v>7970330000000</v>
      </c>
      <c r="AA22" s="17">
        <v>0.020987</v>
      </c>
      <c r="AB22" s="8">
        <v>0.0216329</v>
      </c>
      <c r="AC22" s="8">
        <v>45214700000000</v>
      </c>
      <c r="AD22" s="8">
        <v>4259470000</v>
      </c>
      <c r="AE22" s="8">
        <v>0</v>
      </c>
      <c r="AF22" s="8">
        <v>0</v>
      </c>
      <c r="AG22" s="8">
        <v>2</v>
      </c>
      <c r="AH22" s="8">
        <v>7877140000000</v>
      </c>
      <c r="AI22" s="8">
        <v>9209960000000</v>
      </c>
      <c r="AJ22" s="8">
        <v>8268440000000</v>
      </c>
      <c r="AK22" s="8">
        <v>9170670000000</v>
      </c>
      <c r="AL22" s="8">
        <v>10687400000000</v>
      </c>
      <c r="AN22" s="8">
        <f t="shared" si="0"/>
        <v>0.0210283</v>
      </c>
      <c r="AO22" s="8">
        <f t="shared" si="1"/>
        <v>45690833333333.3</v>
      </c>
      <c r="AP22" s="8">
        <f t="shared" si="2"/>
        <v>45214700000000</v>
      </c>
      <c r="AQ22" s="8">
        <f t="shared" si="3"/>
        <v>46105400000000</v>
      </c>
      <c r="AR22" s="8">
        <f t="shared" si="4"/>
        <v>8921216666666.67</v>
      </c>
      <c r="AS22" s="8">
        <f t="shared" si="5"/>
        <v>7970330000000</v>
      </c>
      <c r="AT22" s="8">
        <f t="shared" si="6"/>
        <v>10687400000000</v>
      </c>
    </row>
    <row r="23" ht="17.25" customHeight="1" spans="1:46">
      <c r="A23" s="17">
        <v>0.0219753</v>
      </c>
      <c r="B23" s="8">
        <v>0.0227009</v>
      </c>
      <c r="C23" s="8">
        <v>46227600000000</v>
      </c>
      <c r="D23" s="8">
        <v>3884270000</v>
      </c>
      <c r="E23" s="8">
        <v>0</v>
      </c>
      <c r="F23" s="8">
        <v>0</v>
      </c>
      <c r="G23" s="8">
        <v>2</v>
      </c>
      <c r="H23" s="8">
        <v>10109900000000</v>
      </c>
      <c r="I23" s="8">
        <v>9053900000000</v>
      </c>
      <c r="J23" s="8">
        <v>9443520000000</v>
      </c>
      <c r="K23" s="8">
        <v>9294790000000</v>
      </c>
      <c r="L23" s="8">
        <v>8324840000000</v>
      </c>
      <c r="N23" s="17">
        <v>0.0220358</v>
      </c>
      <c r="O23" s="8">
        <v>0.022701</v>
      </c>
      <c r="P23" s="8">
        <v>45143400000000</v>
      </c>
      <c r="Q23" s="8">
        <v>4609610000</v>
      </c>
      <c r="R23" s="8">
        <v>0</v>
      </c>
      <c r="S23" s="8">
        <v>0</v>
      </c>
      <c r="T23" s="8">
        <v>2</v>
      </c>
      <c r="U23" s="8">
        <v>8750150000000</v>
      </c>
      <c r="V23" s="8">
        <v>9241780000000</v>
      </c>
      <c r="W23" s="8">
        <v>9534780000000</v>
      </c>
      <c r="X23" s="8">
        <v>9274580000000</v>
      </c>
      <c r="Y23" s="8">
        <v>8339270000000</v>
      </c>
      <c r="AA23" s="17">
        <v>0.0220287</v>
      </c>
      <c r="AB23" s="8">
        <v>0.0226666</v>
      </c>
      <c r="AC23" s="8">
        <v>45567200000000</v>
      </c>
      <c r="AD23" s="8">
        <v>3137910000</v>
      </c>
      <c r="AE23" s="8">
        <v>0</v>
      </c>
      <c r="AF23" s="8">
        <v>0</v>
      </c>
      <c r="AG23" s="8">
        <v>2</v>
      </c>
      <c r="AH23" s="8">
        <v>8892400000000</v>
      </c>
      <c r="AI23" s="8">
        <v>9512460000000</v>
      </c>
      <c r="AJ23" s="8">
        <v>7873870000000</v>
      </c>
      <c r="AK23" s="8">
        <v>9239110000000</v>
      </c>
      <c r="AL23" s="8">
        <v>10048100000000</v>
      </c>
      <c r="AN23" s="8">
        <f t="shared" si="0"/>
        <v>0.0219753</v>
      </c>
      <c r="AO23" s="8">
        <f t="shared" si="1"/>
        <v>45646066666666.7</v>
      </c>
      <c r="AP23" s="8">
        <f t="shared" si="2"/>
        <v>45143400000000</v>
      </c>
      <c r="AQ23" s="8">
        <f t="shared" si="3"/>
        <v>46227600000000</v>
      </c>
      <c r="AR23" s="8">
        <f t="shared" si="4"/>
        <v>8904070000000</v>
      </c>
      <c r="AS23" s="8">
        <f t="shared" si="5"/>
        <v>8324840000000</v>
      </c>
      <c r="AT23" s="8">
        <f t="shared" si="6"/>
        <v>10048100000000</v>
      </c>
    </row>
    <row r="24" ht="17.25" customHeight="1" spans="1:46">
      <c r="A24" s="17">
        <v>0.0229691</v>
      </c>
      <c r="B24" s="8">
        <v>0.023653</v>
      </c>
      <c r="C24" s="8">
        <v>46800800000000</v>
      </c>
      <c r="D24" s="8">
        <v>3430160000</v>
      </c>
      <c r="E24" s="8">
        <v>0</v>
      </c>
      <c r="F24" s="8">
        <v>0</v>
      </c>
      <c r="G24" s="8">
        <v>2</v>
      </c>
      <c r="H24" s="8">
        <v>10522900000000</v>
      </c>
      <c r="I24" s="8">
        <v>9139110000000</v>
      </c>
      <c r="J24" s="8">
        <v>9500140000000</v>
      </c>
      <c r="K24" s="8">
        <v>9186760000000</v>
      </c>
      <c r="L24" s="8">
        <v>8451550000000</v>
      </c>
      <c r="N24" s="17">
        <v>0.0230039</v>
      </c>
      <c r="O24" s="8">
        <v>0.0236866</v>
      </c>
      <c r="P24" s="8">
        <v>45036900000000</v>
      </c>
      <c r="Q24" s="8">
        <v>4123160000</v>
      </c>
      <c r="R24" s="8">
        <v>0</v>
      </c>
      <c r="S24" s="8">
        <v>0</v>
      </c>
      <c r="T24" s="8">
        <v>2</v>
      </c>
      <c r="U24" s="8">
        <v>8556980000000</v>
      </c>
      <c r="V24" s="8">
        <v>9403320000000</v>
      </c>
      <c r="W24" s="8">
        <v>9211120000000</v>
      </c>
      <c r="X24" s="8">
        <v>9042210000000</v>
      </c>
      <c r="Y24" s="8">
        <v>8822840000000</v>
      </c>
      <c r="AA24" s="17">
        <v>0.0230154</v>
      </c>
      <c r="AB24" s="8">
        <v>0.0236392</v>
      </c>
      <c r="AC24" s="8">
        <v>45319800000000</v>
      </c>
      <c r="AD24" s="8">
        <v>3297260000</v>
      </c>
      <c r="AE24" s="8">
        <v>0</v>
      </c>
      <c r="AF24" s="8">
        <v>0</v>
      </c>
      <c r="AG24" s="8">
        <v>2</v>
      </c>
      <c r="AH24" s="8">
        <v>8562620000000</v>
      </c>
      <c r="AI24" s="8">
        <v>9022010000000</v>
      </c>
      <c r="AJ24" s="8">
        <v>8150630000000</v>
      </c>
      <c r="AK24" s="8">
        <v>9735840000000</v>
      </c>
      <c r="AL24" s="8">
        <v>9847590000000</v>
      </c>
      <c r="AN24" s="8">
        <f t="shared" si="0"/>
        <v>0.0229691</v>
      </c>
      <c r="AO24" s="8">
        <f t="shared" si="1"/>
        <v>45719166666666.7</v>
      </c>
      <c r="AP24" s="8">
        <f t="shared" si="2"/>
        <v>45036900000000</v>
      </c>
      <c r="AQ24" s="8">
        <f t="shared" si="3"/>
        <v>46800800000000</v>
      </c>
      <c r="AR24" s="8">
        <f t="shared" si="4"/>
        <v>9040660000000</v>
      </c>
      <c r="AS24" s="8">
        <f t="shared" si="5"/>
        <v>8451550000000</v>
      </c>
      <c r="AT24" s="8">
        <f t="shared" si="6"/>
        <v>9847590000000</v>
      </c>
    </row>
    <row r="25" ht="17.25" customHeight="1" spans="1:46">
      <c r="A25" s="17">
        <v>0.0239808</v>
      </c>
      <c r="B25" s="8">
        <v>0.0246953</v>
      </c>
      <c r="C25" s="8">
        <v>45891900000000</v>
      </c>
      <c r="D25" s="8">
        <v>5055030000</v>
      </c>
      <c r="E25" s="8">
        <v>0</v>
      </c>
      <c r="F25" s="8">
        <v>0</v>
      </c>
      <c r="G25" s="8">
        <v>2</v>
      </c>
      <c r="H25" s="8">
        <v>9425860000000</v>
      </c>
      <c r="I25" s="8">
        <v>9483780000000</v>
      </c>
      <c r="J25" s="8">
        <v>9330890000000</v>
      </c>
      <c r="K25" s="8">
        <v>8943530000000</v>
      </c>
      <c r="L25" s="8">
        <v>8706730000000</v>
      </c>
      <c r="N25" s="17">
        <v>0.0240219</v>
      </c>
      <c r="O25" s="8">
        <v>0.02471</v>
      </c>
      <c r="P25" s="8">
        <v>44665000000000</v>
      </c>
      <c r="Q25" s="8">
        <v>3711470000</v>
      </c>
      <c r="R25" s="8">
        <v>0</v>
      </c>
      <c r="S25" s="8">
        <v>0</v>
      </c>
      <c r="T25" s="8">
        <v>2</v>
      </c>
      <c r="U25" s="8">
        <v>8821470000000</v>
      </c>
      <c r="V25" s="8">
        <v>9221790000000</v>
      </c>
      <c r="W25" s="8">
        <v>9199550000000</v>
      </c>
      <c r="X25" s="8">
        <v>8968470000000</v>
      </c>
      <c r="Y25" s="8">
        <v>8449300000000</v>
      </c>
      <c r="AA25" s="17">
        <v>0.0240588</v>
      </c>
      <c r="AB25" s="8">
        <v>0.0246966</v>
      </c>
      <c r="AC25" s="8">
        <v>44446100000000</v>
      </c>
      <c r="AD25" s="8">
        <v>2954430000</v>
      </c>
      <c r="AE25" s="8">
        <v>0</v>
      </c>
      <c r="AF25" s="8">
        <v>0</v>
      </c>
      <c r="AG25" s="8">
        <v>2</v>
      </c>
      <c r="AH25" s="8">
        <v>8100430000000</v>
      </c>
      <c r="AI25" s="8">
        <v>8730320000000</v>
      </c>
      <c r="AJ25" s="8">
        <v>8328540000000</v>
      </c>
      <c r="AK25" s="8">
        <v>9532390000000</v>
      </c>
      <c r="AL25" s="8">
        <v>9753460000000</v>
      </c>
      <c r="AN25" s="8">
        <f t="shared" si="0"/>
        <v>0.0239808</v>
      </c>
      <c r="AO25" s="8">
        <f t="shared" si="1"/>
        <v>45001000000000</v>
      </c>
      <c r="AP25" s="8">
        <f t="shared" si="2"/>
        <v>44446100000000</v>
      </c>
      <c r="AQ25" s="8">
        <f t="shared" si="3"/>
        <v>45891900000000</v>
      </c>
      <c r="AR25" s="8">
        <f t="shared" si="4"/>
        <v>8969830000000</v>
      </c>
      <c r="AS25" s="8">
        <f t="shared" si="5"/>
        <v>8449300000000</v>
      </c>
      <c r="AT25" s="8">
        <f t="shared" si="6"/>
        <v>9753460000000</v>
      </c>
    </row>
    <row r="26" ht="17.25" customHeight="1" spans="1:46">
      <c r="A26" s="17">
        <v>0.0249745</v>
      </c>
      <c r="B26" s="8">
        <v>0.0256562</v>
      </c>
      <c r="C26" s="8">
        <v>44884700000000</v>
      </c>
      <c r="D26" s="8">
        <v>4302380000</v>
      </c>
      <c r="E26" s="8">
        <v>0</v>
      </c>
      <c r="F26" s="8">
        <v>0</v>
      </c>
      <c r="G26" s="8">
        <v>2</v>
      </c>
      <c r="H26" s="8">
        <v>8589210000000</v>
      </c>
      <c r="I26" s="8">
        <v>9499970000000</v>
      </c>
      <c r="J26" s="8">
        <v>9152330000000</v>
      </c>
      <c r="K26" s="8">
        <v>8570550000000</v>
      </c>
      <c r="L26" s="8">
        <v>9072040000000</v>
      </c>
      <c r="N26" s="17">
        <v>0.0248999</v>
      </c>
      <c r="O26" s="8">
        <v>0.0255895</v>
      </c>
      <c r="P26" s="8">
        <v>45198600000000</v>
      </c>
      <c r="Q26" s="8">
        <v>2662430000</v>
      </c>
      <c r="R26" s="8">
        <v>0</v>
      </c>
      <c r="S26" s="8">
        <v>0</v>
      </c>
      <c r="T26" s="8">
        <v>2</v>
      </c>
      <c r="U26" s="8">
        <v>8961240000000</v>
      </c>
      <c r="V26" s="8">
        <v>9774370000000</v>
      </c>
      <c r="W26" s="8">
        <v>9584050000000</v>
      </c>
      <c r="X26" s="8">
        <v>8772810000000</v>
      </c>
      <c r="Y26" s="8">
        <v>8105090000000</v>
      </c>
      <c r="AA26" s="17">
        <v>0.0249443</v>
      </c>
      <c r="AB26" s="8">
        <v>0.0256424</v>
      </c>
      <c r="AC26" s="8">
        <v>44265900000000</v>
      </c>
      <c r="AD26" s="8">
        <v>2718570000</v>
      </c>
      <c r="AE26" s="8">
        <v>0</v>
      </c>
      <c r="AF26" s="8">
        <v>0</v>
      </c>
      <c r="AG26" s="8">
        <v>2</v>
      </c>
      <c r="AH26" s="8">
        <v>8212270000000</v>
      </c>
      <c r="AI26" s="8">
        <v>8799020000000</v>
      </c>
      <c r="AJ26" s="8">
        <v>8135150000000</v>
      </c>
      <c r="AK26" s="8">
        <v>9185070000000</v>
      </c>
      <c r="AL26" s="8">
        <v>9927200000000</v>
      </c>
      <c r="AN26" s="8">
        <f t="shared" si="0"/>
        <v>0.0249745</v>
      </c>
      <c r="AO26" s="8">
        <f t="shared" si="1"/>
        <v>44783066666666.7</v>
      </c>
      <c r="AP26" s="8">
        <f t="shared" si="2"/>
        <v>44265900000000</v>
      </c>
      <c r="AQ26" s="8">
        <f t="shared" si="3"/>
        <v>45198600000000</v>
      </c>
      <c r="AR26" s="8">
        <f t="shared" si="4"/>
        <v>9034776666666.67</v>
      </c>
      <c r="AS26" s="8">
        <f t="shared" si="5"/>
        <v>8105090000000</v>
      </c>
      <c r="AT26" s="8">
        <f t="shared" si="6"/>
        <v>9927200000000</v>
      </c>
    </row>
    <row r="27" ht="17.25" customHeight="1" spans="1:46">
      <c r="A27" s="17">
        <v>0.0260361</v>
      </c>
      <c r="B27" s="8">
        <v>0.0267084</v>
      </c>
      <c r="C27" s="8">
        <v>44694400000000</v>
      </c>
      <c r="D27" s="8">
        <v>3261330000</v>
      </c>
      <c r="E27" s="8">
        <v>0</v>
      </c>
      <c r="F27" s="8">
        <v>0</v>
      </c>
      <c r="G27" s="8">
        <v>2</v>
      </c>
      <c r="H27" s="8">
        <v>9019150000000</v>
      </c>
      <c r="I27" s="8">
        <v>8894000000000</v>
      </c>
      <c r="J27" s="8">
        <v>8661920000000</v>
      </c>
      <c r="K27" s="8">
        <v>9520190000000</v>
      </c>
      <c r="L27" s="8">
        <v>8598790000000</v>
      </c>
      <c r="N27" s="17">
        <v>0.0260607</v>
      </c>
      <c r="O27" s="8">
        <v>0.0266881</v>
      </c>
      <c r="P27" s="8">
        <v>44990400000000</v>
      </c>
      <c r="Q27" s="8">
        <v>2794570000</v>
      </c>
      <c r="R27" s="8">
        <v>0</v>
      </c>
      <c r="S27" s="8">
        <v>0</v>
      </c>
      <c r="T27" s="8">
        <v>2</v>
      </c>
      <c r="U27" s="8">
        <v>8543360000000</v>
      </c>
      <c r="V27" s="8">
        <v>9586340000000</v>
      </c>
      <c r="W27" s="8">
        <v>9452690000000</v>
      </c>
      <c r="X27" s="8">
        <v>9297740000000</v>
      </c>
      <c r="Y27" s="8">
        <v>8105740000000</v>
      </c>
      <c r="AA27" s="17">
        <v>0.0260493</v>
      </c>
      <c r="AB27" s="8">
        <v>0.0267879</v>
      </c>
      <c r="AC27" s="8">
        <v>45164300000000</v>
      </c>
      <c r="AD27" s="8">
        <v>5205200000</v>
      </c>
      <c r="AE27" s="8">
        <v>0</v>
      </c>
      <c r="AF27" s="8">
        <v>0</v>
      </c>
      <c r="AG27" s="8">
        <v>2</v>
      </c>
      <c r="AH27" s="8">
        <v>8138800000000</v>
      </c>
      <c r="AI27" s="8">
        <v>9490170000000</v>
      </c>
      <c r="AJ27" s="8">
        <v>8217160000000</v>
      </c>
      <c r="AK27" s="8">
        <v>9685420000000</v>
      </c>
      <c r="AL27" s="8">
        <v>9631790000000</v>
      </c>
      <c r="AN27" s="8">
        <f t="shared" si="0"/>
        <v>0.0260361</v>
      </c>
      <c r="AO27" s="8">
        <f t="shared" si="1"/>
        <v>44949700000000</v>
      </c>
      <c r="AP27" s="8">
        <f t="shared" si="2"/>
        <v>44694400000000</v>
      </c>
      <c r="AQ27" s="8">
        <f t="shared" si="3"/>
        <v>45164300000000</v>
      </c>
      <c r="AR27" s="8">
        <f t="shared" si="4"/>
        <v>8778773333333.33</v>
      </c>
      <c r="AS27" s="8">
        <f t="shared" si="5"/>
        <v>8105740000000</v>
      </c>
      <c r="AT27" s="8">
        <f t="shared" si="6"/>
        <v>9631790000000</v>
      </c>
    </row>
    <row r="28" ht="17.25" customHeight="1" spans="1:46">
      <c r="A28" s="17">
        <v>0.0270118</v>
      </c>
      <c r="B28" s="8">
        <v>0.0277013</v>
      </c>
      <c r="C28" s="8">
        <v>44821000000000</v>
      </c>
      <c r="D28" s="8">
        <v>5560670000</v>
      </c>
      <c r="E28" s="8">
        <v>0</v>
      </c>
      <c r="F28" s="8">
        <v>0</v>
      </c>
      <c r="G28" s="8">
        <v>2</v>
      </c>
      <c r="H28" s="8">
        <v>10208000000000</v>
      </c>
      <c r="I28" s="8">
        <v>8586500000000</v>
      </c>
      <c r="J28" s="8">
        <v>8530790000000</v>
      </c>
      <c r="K28" s="8">
        <v>9105850000000</v>
      </c>
      <c r="L28" s="8">
        <v>8389380000000</v>
      </c>
      <c r="N28" s="17">
        <v>0.0269735</v>
      </c>
      <c r="O28" s="8">
        <v>0.02762</v>
      </c>
      <c r="P28" s="8">
        <v>44861900000000</v>
      </c>
      <c r="Q28" s="8">
        <v>4206220000</v>
      </c>
      <c r="R28" s="8">
        <v>0</v>
      </c>
      <c r="S28" s="8">
        <v>0</v>
      </c>
      <c r="T28" s="8">
        <v>2</v>
      </c>
      <c r="U28" s="8">
        <v>8680810000000</v>
      </c>
      <c r="V28" s="8">
        <v>10138700000000</v>
      </c>
      <c r="W28" s="8">
        <v>8676540000000</v>
      </c>
      <c r="X28" s="8">
        <v>8886450000000</v>
      </c>
      <c r="Y28" s="8">
        <v>8476810000000</v>
      </c>
      <c r="AA28" s="17">
        <v>0.0270171</v>
      </c>
      <c r="AB28" s="8">
        <v>0.0277352</v>
      </c>
      <c r="AC28" s="8">
        <v>44553700000000</v>
      </c>
      <c r="AD28" s="8">
        <v>3490010000</v>
      </c>
      <c r="AE28" s="8">
        <v>0</v>
      </c>
      <c r="AF28" s="8">
        <v>0</v>
      </c>
      <c r="AG28" s="8">
        <v>2</v>
      </c>
      <c r="AH28" s="8">
        <v>8449930000000</v>
      </c>
      <c r="AI28" s="8">
        <v>9235090000000</v>
      </c>
      <c r="AJ28" s="8">
        <v>8063880000000</v>
      </c>
      <c r="AK28" s="8">
        <v>8908260000000</v>
      </c>
      <c r="AL28" s="8">
        <v>9894400000000</v>
      </c>
      <c r="AN28" s="8">
        <f t="shared" si="0"/>
        <v>0.0270118</v>
      </c>
      <c r="AO28" s="8">
        <f t="shared" si="1"/>
        <v>44745533333333.3</v>
      </c>
      <c r="AP28" s="8">
        <f t="shared" si="2"/>
        <v>44553700000000</v>
      </c>
      <c r="AQ28" s="8">
        <f t="shared" si="3"/>
        <v>44861900000000</v>
      </c>
      <c r="AR28" s="8">
        <f t="shared" si="4"/>
        <v>8920196666666.67</v>
      </c>
      <c r="AS28" s="8">
        <f t="shared" si="5"/>
        <v>8389380000000</v>
      </c>
      <c r="AT28" s="8">
        <f t="shared" si="6"/>
        <v>9894400000000</v>
      </c>
    </row>
    <row r="29" ht="17.25" customHeight="1" spans="1:46">
      <c r="A29" s="17">
        <v>0.0280105</v>
      </c>
      <c r="B29" s="8">
        <v>0.0286647</v>
      </c>
      <c r="C29" s="8">
        <v>45283700000000</v>
      </c>
      <c r="D29" s="8">
        <v>3166610000</v>
      </c>
      <c r="E29" s="8">
        <v>0</v>
      </c>
      <c r="F29" s="8">
        <v>0</v>
      </c>
      <c r="G29" s="8">
        <v>2</v>
      </c>
      <c r="H29" s="8">
        <v>8922830000000</v>
      </c>
      <c r="I29" s="8">
        <v>9422720000000</v>
      </c>
      <c r="J29" s="8">
        <v>8392810000000</v>
      </c>
      <c r="K29" s="8">
        <v>9778330000000</v>
      </c>
      <c r="L29" s="8">
        <v>8766690000000</v>
      </c>
      <c r="N29" s="17">
        <v>0.0279859</v>
      </c>
      <c r="O29" s="8">
        <v>0.0286157</v>
      </c>
      <c r="P29" s="8">
        <v>44358000000000</v>
      </c>
      <c r="Q29" s="8">
        <v>3483880000</v>
      </c>
      <c r="R29" s="8">
        <v>0</v>
      </c>
      <c r="S29" s="8">
        <v>0</v>
      </c>
      <c r="T29" s="8">
        <v>2</v>
      </c>
      <c r="U29" s="8">
        <v>8461160000000</v>
      </c>
      <c r="V29" s="8">
        <v>9939930000000</v>
      </c>
      <c r="W29" s="8">
        <v>8678680000000</v>
      </c>
      <c r="X29" s="8">
        <v>8573120000000</v>
      </c>
      <c r="Y29" s="8">
        <v>8704460000000</v>
      </c>
      <c r="AA29" s="17">
        <v>0.0280082</v>
      </c>
      <c r="AB29" s="8">
        <v>0.028705</v>
      </c>
      <c r="AC29" s="8">
        <v>44494400000000</v>
      </c>
      <c r="AD29" s="8">
        <v>29304400000</v>
      </c>
      <c r="AE29" s="8">
        <v>0</v>
      </c>
      <c r="AF29" s="8">
        <v>0</v>
      </c>
      <c r="AG29" s="8">
        <v>2</v>
      </c>
      <c r="AH29" s="8">
        <v>8170980000000</v>
      </c>
      <c r="AI29" s="8">
        <v>9191990000000</v>
      </c>
      <c r="AJ29" s="8">
        <v>8263210000000</v>
      </c>
      <c r="AK29" s="8">
        <v>9015260000000</v>
      </c>
      <c r="AL29" s="8">
        <v>9851560000000</v>
      </c>
      <c r="AN29" s="8">
        <f t="shared" si="0"/>
        <v>0.0280105</v>
      </c>
      <c r="AO29" s="8">
        <f t="shared" si="1"/>
        <v>44712033333333.3</v>
      </c>
      <c r="AP29" s="8">
        <f t="shared" si="2"/>
        <v>44358000000000</v>
      </c>
      <c r="AQ29" s="8">
        <f t="shared" si="3"/>
        <v>45283700000000</v>
      </c>
      <c r="AR29" s="8">
        <f t="shared" si="4"/>
        <v>9107570000000</v>
      </c>
      <c r="AS29" s="8">
        <f t="shared" si="5"/>
        <v>8704460000000</v>
      </c>
      <c r="AT29" s="8">
        <f t="shared" si="6"/>
        <v>9851560000000</v>
      </c>
    </row>
    <row r="30" ht="17.25" customHeight="1" spans="1:46">
      <c r="A30" s="17">
        <v>0.028947</v>
      </c>
      <c r="B30" s="8">
        <v>0.0296743</v>
      </c>
      <c r="C30" s="8">
        <v>45595900000000</v>
      </c>
      <c r="D30" s="8">
        <v>3620230000</v>
      </c>
      <c r="E30" s="8">
        <v>0</v>
      </c>
      <c r="F30" s="8">
        <v>0</v>
      </c>
      <c r="G30" s="8">
        <v>2</v>
      </c>
      <c r="H30" s="8">
        <v>8494480000000</v>
      </c>
      <c r="I30" s="8">
        <v>9065760000000</v>
      </c>
      <c r="J30" s="8">
        <v>9428660000000</v>
      </c>
      <c r="K30" s="8">
        <v>9197060000000</v>
      </c>
      <c r="L30" s="8">
        <v>9409630000000</v>
      </c>
      <c r="N30" s="17">
        <v>0.0290413</v>
      </c>
      <c r="O30" s="8">
        <v>0.0296995</v>
      </c>
      <c r="P30" s="8">
        <v>44542200000000</v>
      </c>
      <c r="Q30" s="8">
        <v>2910850000</v>
      </c>
      <c r="R30" s="8">
        <v>0</v>
      </c>
      <c r="S30" s="8">
        <v>0</v>
      </c>
      <c r="T30" s="8">
        <v>2</v>
      </c>
      <c r="U30" s="8">
        <v>8530690000000</v>
      </c>
      <c r="V30" s="8">
        <v>9652010000000</v>
      </c>
      <c r="W30" s="8">
        <v>8516130000000</v>
      </c>
      <c r="X30" s="8">
        <v>9282220000000</v>
      </c>
      <c r="Y30" s="8">
        <v>8559950000000</v>
      </c>
      <c r="AA30" s="17">
        <v>0.0290313</v>
      </c>
      <c r="AB30" s="8">
        <v>0.0296542</v>
      </c>
      <c r="AC30" s="8">
        <v>44138000000000</v>
      </c>
      <c r="AD30" s="8">
        <v>2446780000</v>
      </c>
      <c r="AE30" s="8">
        <v>0</v>
      </c>
      <c r="AF30" s="8">
        <v>0</v>
      </c>
      <c r="AG30" s="8">
        <v>2</v>
      </c>
      <c r="AH30" s="8">
        <v>8008730000000</v>
      </c>
      <c r="AI30" s="8">
        <v>9629170000000</v>
      </c>
      <c r="AJ30" s="8">
        <v>8142010000000</v>
      </c>
      <c r="AK30" s="8">
        <v>8930460000000</v>
      </c>
      <c r="AL30" s="8">
        <v>9426370000000</v>
      </c>
      <c r="AN30" s="8">
        <f t="shared" si="0"/>
        <v>0.028947</v>
      </c>
      <c r="AO30" s="8">
        <f t="shared" si="1"/>
        <v>44758700000000</v>
      </c>
      <c r="AP30" s="8">
        <f t="shared" si="2"/>
        <v>44138000000000</v>
      </c>
      <c r="AQ30" s="8">
        <f t="shared" si="3"/>
        <v>45595900000000</v>
      </c>
      <c r="AR30" s="8">
        <f t="shared" si="4"/>
        <v>9131983333333.33</v>
      </c>
      <c r="AS30" s="8">
        <f t="shared" si="5"/>
        <v>8559950000000</v>
      </c>
      <c r="AT30" s="8">
        <f t="shared" si="6"/>
        <v>9426370000000</v>
      </c>
    </row>
    <row r="31" ht="17.25" customHeight="1" spans="1:46">
      <c r="A31" s="17">
        <v>0.0299707</v>
      </c>
      <c r="B31" s="8">
        <v>0.0306348</v>
      </c>
      <c r="C31" s="8">
        <v>45755600000000</v>
      </c>
      <c r="D31" s="8">
        <v>2969970000</v>
      </c>
      <c r="E31" s="8">
        <v>0</v>
      </c>
      <c r="F31" s="8">
        <v>0</v>
      </c>
      <c r="G31" s="8">
        <v>2</v>
      </c>
      <c r="H31" s="8">
        <v>9095110000000</v>
      </c>
      <c r="I31" s="8">
        <v>9299850000000</v>
      </c>
      <c r="J31" s="8">
        <v>9360670000000</v>
      </c>
      <c r="K31" s="8">
        <v>9068380000000</v>
      </c>
      <c r="L31" s="8">
        <v>8931000000000</v>
      </c>
      <c r="N31" s="17">
        <v>0.0300075</v>
      </c>
      <c r="O31" s="8">
        <v>0.0306634</v>
      </c>
      <c r="P31" s="8">
        <v>44456300000000</v>
      </c>
      <c r="Q31" s="8">
        <v>2906560000</v>
      </c>
      <c r="R31" s="8">
        <v>0</v>
      </c>
      <c r="S31" s="8">
        <v>0</v>
      </c>
      <c r="T31" s="8">
        <v>2</v>
      </c>
      <c r="U31" s="8">
        <v>8016650000000</v>
      </c>
      <c r="V31" s="8">
        <v>9018900000000</v>
      </c>
      <c r="W31" s="8">
        <v>8754070000000</v>
      </c>
      <c r="X31" s="8">
        <v>9702690000000</v>
      </c>
      <c r="Y31" s="8">
        <v>8963520000000</v>
      </c>
      <c r="AA31" s="17">
        <v>0.0299979</v>
      </c>
      <c r="AB31" s="8">
        <v>0.0306311</v>
      </c>
      <c r="AC31" s="8">
        <v>45101700000000</v>
      </c>
      <c r="AD31" s="8">
        <v>2818010000</v>
      </c>
      <c r="AE31" s="8">
        <v>0</v>
      </c>
      <c r="AF31" s="8">
        <v>0</v>
      </c>
      <c r="AG31" s="8">
        <v>2</v>
      </c>
      <c r="AH31" s="8">
        <v>8682750000000</v>
      </c>
      <c r="AI31" s="8">
        <v>9571390000000</v>
      </c>
      <c r="AJ31" s="8">
        <v>8111120000000</v>
      </c>
      <c r="AK31" s="8">
        <v>9164070000000</v>
      </c>
      <c r="AL31" s="8">
        <v>9570560000000</v>
      </c>
      <c r="AN31" s="8">
        <f t="shared" si="0"/>
        <v>0.0299707</v>
      </c>
      <c r="AO31" s="8">
        <f t="shared" si="1"/>
        <v>45104533333333.3</v>
      </c>
      <c r="AP31" s="8">
        <f t="shared" si="2"/>
        <v>44456300000000</v>
      </c>
      <c r="AQ31" s="8">
        <f t="shared" si="3"/>
        <v>45755600000000</v>
      </c>
      <c r="AR31" s="8">
        <f t="shared" si="4"/>
        <v>9155026666666.67</v>
      </c>
      <c r="AS31" s="8">
        <f t="shared" si="5"/>
        <v>8931000000000</v>
      </c>
      <c r="AT31" s="8">
        <f t="shared" si="6"/>
        <v>9570560000000</v>
      </c>
    </row>
    <row r="32" ht="17.25" customHeight="1" spans="1:46">
      <c r="A32" s="1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N32" s="17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17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N32" s="8"/>
      <c r="AO32" s="8"/>
      <c r="AP32" s="8"/>
      <c r="AQ32" s="8"/>
      <c r="AR32" s="8"/>
      <c r="AS32" s="8"/>
      <c r="AT32" s="8"/>
    </row>
    <row r="33" ht="17.25" customHeight="1" spans="1:46">
      <c r="A33" s="1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N33" s="17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AA33" s="17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N33" s="8"/>
      <c r="AO33" s="8"/>
      <c r="AP33" s="8"/>
      <c r="AQ33" s="8"/>
      <c r="AR33" s="8"/>
      <c r="AS33" s="8"/>
      <c r="AT33" s="8"/>
    </row>
    <row r="34" ht="17.25" customHeight="1" spans="1:46">
      <c r="A34" s="1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N34" s="17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AA34" s="17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N34" s="8"/>
      <c r="AO34" s="8"/>
      <c r="AP34" s="8"/>
      <c r="AQ34" s="8"/>
      <c r="AR34" s="8"/>
      <c r="AS34" s="8"/>
      <c r="AT34" s="8"/>
    </row>
    <row r="35" ht="17.25" customHeight="1" spans="1:46">
      <c r="A35" s="1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N35" s="17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AA35" s="17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N35" s="8"/>
      <c r="AO35" s="8"/>
      <c r="AP35" s="8"/>
      <c r="AQ35" s="8"/>
      <c r="AR35" s="8"/>
      <c r="AS35" s="8"/>
      <c r="AT35" s="8"/>
    </row>
    <row r="36" ht="17.25" customHeight="1" spans="1:46">
      <c r="A36" s="1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N36" s="17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AA36" s="17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N36" s="8"/>
      <c r="AO36" s="8"/>
      <c r="AP36" s="8"/>
      <c r="AQ36" s="8"/>
      <c r="AR36" s="8"/>
      <c r="AS36" s="8"/>
      <c r="AT36" s="8"/>
    </row>
    <row r="37" ht="17.25" customHeight="1" spans="1:46">
      <c r="A37" s="1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N37" s="17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AA37" s="17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N37" s="8"/>
      <c r="AO37" s="8"/>
      <c r="AP37" s="8"/>
      <c r="AQ37" s="8"/>
      <c r="AR37" s="8"/>
      <c r="AS37" s="8"/>
      <c r="AT37" s="8"/>
    </row>
    <row r="38" ht="17.25" customHeight="1" spans="1:46">
      <c r="A38" s="1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N38" s="17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AA38" s="17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N38" s="8"/>
      <c r="AO38" s="8"/>
      <c r="AP38" s="8"/>
      <c r="AQ38" s="8"/>
      <c r="AR38" s="8"/>
      <c r="AS38" s="8"/>
      <c r="AT38" s="8"/>
    </row>
    <row r="39" ht="17.25" customHeight="1" spans="1:46">
      <c r="A39" s="1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N39" s="17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AA39" s="17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N39" s="8"/>
      <c r="AO39" s="8"/>
      <c r="AP39" s="8"/>
      <c r="AQ39" s="8"/>
      <c r="AR39" s="8"/>
      <c r="AS39" s="8"/>
      <c r="AT39" s="8"/>
    </row>
    <row r="40" ht="17.25" customHeight="1" spans="1:46">
      <c r="A40" s="1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N40" s="17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AA40" s="17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N40" s="8"/>
      <c r="AO40" s="8"/>
      <c r="AP40" s="8"/>
      <c r="AQ40" s="8"/>
      <c r="AR40" s="8"/>
      <c r="AS40" s="8"/>
      <c r="AT40" s="8"/>
    </row>
    <row r="41" ht="17.25" customHeight="1" spans="1:46">
      <c r="A41" s="1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N41" s="17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AA41" s="17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N41" s="8"/>
      <c r="AO41" s="8"/>
      <c r="AP41" s="8"/>
      <c r="AQ41" s="8"/>
      <c r="AR41" s="8"/>
      <c r="AS41" s="8"/>
      <c r="AT41" s="8"/>
    </row>
    <row r="42" ht="17.25" customHeight="1" spans="1:46">
      <c r="A42" s="1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N42" s="17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AA42" s="17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N42" s="8"/>
      <c r="AO42" s="8"/>
      <c r="AP42" s="8"/>
      <c r="AQ42" s="8"/>
      <c r="AR42" s="8"/>
      <c r="AS42" s="8"/>
      <c r="AT42" s="8"/>
    </row>
    <row r="43" ht="17.25" customHeight="1" spans="1:46">
      <c r="A43" s="1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N43" s="17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AA43" s="17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N43" s="8"/>
      <c r="AO43" s="8"/>
      <c r="AP43" s="8"/>
      <c r="AQ43" s="8"/>
      <c r="AR43" s="8"/>
      <c r="AS43" s="8"/>
      <c r="AT43" s="8"/>
    </row>
    <row r="44" ht="17.25" customHeight="1" spans="1:46">
      <c r="A44" s="1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N44" s="17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AA44" s="17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N44" s="8"/>
      <c r="AO44" s="8"/>
      <c r="AP44" s="8"/>
      <c r="AQ44" s="8"/>
      <c r="AR44" s="8"/>
      <c r="AS44" s="8"/>
      <c r="AT44" s="8"/>
    </row>
    <row r="45" ht="17.25" customHeight="1" spans="1:46">
      <c r="A45" s="1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N45" s="17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AA45" s="17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N45" s="8"/>
      <c r="AO45" s="8"/>
      <c r="AP45" s="8"/>
      <c r="AQ45" s="8"/>
      <c r="AR45" s="8"/>
      <c r="AS45" s="8"/>
      <c r="AT45" s="8"/>
    </row>
    <row r="46" ht="17.25" customHeight="1" spans="1:46">
      <c r="A46" s="1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N46" s="17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AA46" s="17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N46" s="8"/>
      <c r="AO46" s="8"/>
      <c r="AP46" s="8"/>
      <c r="AQ46" s="8"/>
      <c r="AR46" s="8"/>
      <c r="AS46" s="8"/>
      <c r="AT46" s="8"/>
    </row>
    <row r="47" ht="17.25" customHeight="1" spans="1:46">
      <c r="A47" s="1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N47" s="17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AA47" s="17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N47" s="8"/>
      <c r="AO47" s="8"/>
      <c r="AP47" s="8"/>
      <c r="AQ47" s="8"/>
      <c r="AR47" s="8"/>
      <c r="AS47" s="8"/>
      <c r="AT47" s="8"/>
    </row>
    <row r="48" ht="17.25" customHeight="1" spans="1:46">
      <c r="A48" s="1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N48" s="17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AA48" s="17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N48" s="8"/>
      <c r="AO48" s="8"/>
      <c r="AP48" s="8"/>
      <c r="AQ48" s="8"/>
      <c r="AR48" s="8"/>
      <c r="AS48" s="8"/>
      <c r="AT48" s="8"/>
    </row>
    <row r="49" ht="17.25" customHeight="1" spans="1:46">
      <c r="A49" s="1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N49" s="17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AA49" s="17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N49" s="8"/>
      <c r="AO49" s="8"/>
      <c r="AP49" s="8"/>
      <c r="AQ49" s="8"/>
      <c r="AR49" s="8"/>
      <c r="AS49" s="8"/>
      <c r="AT49" s="8"/>
    </row>
    <row r="50" ht="17.25" customHeight="1" spans="1:46">
      <c r="A50" s="1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N50" s="17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AA50" s="17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N50" s="8"/>
      <c r="AO50" s="8"/>
      <c r="AP50" s="8"/>
      <c r="AQ50" s="8"/>
      <c r="AR50" s="8"/>
      <c r="AS50" s="8"/>
      <c r="AT50" s="8"/>
    </row>
    <row r="51" ht="17.25" customHeight="1" spans="1:46">
      <c r="A51" s="1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N51" s="17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AA51" s="17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N51" s="8"/>
      <c r="AO51" s="8"/>
      <c r="AP51" s="8"/>
      <c r="AQ51" s="8"/>
      <c r="AR51" s="8"/>
      <c r="AS51" s="8"/>
      <c r="AT51" s="8"/>
    </row>
    <row r="52" ht="17.25" customHeight="1" spans="1:46">
      <c r="A52" s="1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N52" s="17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AA52" s="17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N52" s="8"/>
      <c r="AO52" s="8"/>
      <c r="AP52" s="8"/>
      <c r="AQ52" s="8"/>
      <c r="AR52" s="8"/>
      <c r="AS52" s="8"/>
      <c r="AT52" s="8"/>
    </row>
    <row r="53" ht="17.25" customHeight="1" spans="1:46">
      <c r="A53" s="8"/>
      <c r="B53" s="8"/>
      <c r="C53" s="8"/>
      <c r="D53" s="8"/>
      <c r="E53" s="8"/>
      <c r="F53" s="8"/>
      <c r="G53" s="9"/>
      <c r="H53" s="8"/>
      <c r="I53" s="8"/>
      <c r="J53" s="8"/>
      <c r="K53" s="8"/>
      <c r="L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AA53" s="17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N53" s="9"/>
      <c r="AO53" s="9"/>
      <c r="AP53" s="9"/>
      <c r="AQ53" s="9"/>
      <c r="AR53" s="9"/>
      <c r="AS53" s="9"/>
      <c r="AT53" s="9"/>
    </row>
    <row r="54" ht="17.25" customHeight="1" spans="1:46">
      <c r="A54" s="8"/>
      <c r="B54" s="8"/>
      <c r="C54" s="8"/>
      <c r="D54" s="8"/>
      <c r="E54" s="8"/>
      <c r="F54" s="8"/>
      <c r="G54" s="9"/>
      <c r="H54" s="8"/>
      <c r="I54" s="8"/>
      <c r="J54" s="8"/>
      <c r="K54" s="8"/>
      <c r="L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N54" s="9"/>
      <c r="AO54" s="9"/>
      <c r="AP54" s="9"/>
      <c r="AQ54" s="9"/>
      <c r="AR54" s="9"/>
      <c r="AS54" s="9"/>
      <c r="AT54" s="9"/>
    </row>
    <row r="55" ht="17.25" customHeight="1" spans="1:46">
      <c r="A55" s="8"/>
      <c r="B55" s="8"/>
      <c r="C55" s="8"/>
      <c r="D55" s="8"/>
      <c r="E55" s="8"/>
      <c r="F55" s="8"/>
      <c r="G55" s="9"/>
      <c r="H55" s="8"/>
      <c r="I55" s="8"/>
      <c r="J55" s="8"/>
      <c r="K55" s="8"/>
      <c r="L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N55" s="9"/>
      <c r="AO55" s="9"/>
      <c r="AP55" s="9"/>
      <c r="AQ55" s="9"/>
      <c r="AR55" s="9"/>
      <c r="AS55" s="9"/>
      <c r="AT55" s="9"/>
    </row>
    <row r="56" ht="17.25" customHeight="1" spans="1:46">
      <c r="A56" s="8"/>
      <c r="B56" s="8"/>
      <c r="C56" s="8"/>
      <c r="D56" s="8"/>
      <c r="E56" s="8"/>
      <c r="F56" s="8"/>
      <c r="G56" s="9"/>
      <c r="H56" s="8"/>
      <c r="I56" s="8"/>
      <c r="J56" s="8"/>
      <c r="K56" s="8"/>
      <c r="L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N56" s="9"/>
      <c r="AO56" s="9"/>
      <c r="AP56" s="9"/>
      <c r="AQ56" s="9"/>
      <c r="AR56" s="9"/>
      <c r="AS56" s="9"/>
      <c r="AT56" s="9"/>
    </row>
    <row r="57" ht="17.25" customHeight="1" spans="1:46">
      <c r="A57" s="8"/>
      <c r="B57" s="8"/>
      <c r="C57" s="8"/>
      <c r="D57" s="8"/>
      <c r="E57" s="8"/>
      <c r="F57" s="8"/>
      <c r="G57" s="9"/>
      <c r="H57" s="8"/>
      <c r="I57" s="8"/>
      <c r="J57" s="8"/>
      <c r="K57" s="8"/>
      <c r="L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N57" s="9"/>
      <c r="AO57" s="9"/>
      <c r="AP57" s="9"/>
      <c r="AQ57" s="9"/>
      <c r="AR57" s="9"/>
      <c r="AS57" s="9"/>
      <c r="AT57" s="9"/>
    </row>
    <row r="58" ht="17.25" customHeight="1" spans="1:46">
      <c r="A58" s="8"/>
      <c r="B58" s="8"/>
      <c r="C58" s="8"/>
      <c r="D58" s="8"/>
      <c r="E58" s="8"/>
      <c r="F58" s="8"/>
      <c r="G58" s="9"/>
      <c r="H58" s="8"/>
      <c r="I58" s="8"/>
      <c r="J58" s="8"/>
      <c r="K58" s="8"/>
      <c r="L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N58" s="9"/>
      <c r="AO58" s="9"/>
      <c r="AP58" s="9"/>
      <c r="AQ58" s="9"/>
      <c r="AR58" s="9"/>
      <c r="AS58" s="9"/>
      <c r="AT58" s="9"/>
    </row>
    <row r="59" ht="17.25" customHeight="1" spans="1:46">
      <c r="A59" s="8"/>
      <c r="B59" s="8"/>
      <c r="C59" s="8"/>
      <c r="D59" s="8"/>
      <c r="E59" s="8"/>
      <c r="F59" s="8"/>
      <c r="G59" s="9"/>
      <c r="H59" s="8"/>
      <c r="I59" s="8"/>
      <c r="J59" s="8"/>
      <c r="K59" s="8"/>
      <c r="L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N59" s="9"/>
      <c r="AO59" s="9"/>
      <c r="AP59" s="9"/>
      <c r="AQ59" s="9"/>
      <c r="AR59" s="9"/>
      <c r="AS59" s="9"/>
      <c r="AT59" s="9"/>
    </row>
    <row r="60" ht="17.25" customHeight="1" spans="1:46">
      <c r="A60" s="8"/>
      <c r="B60" s="8"/>
      <c r="C60" s="8"/>
      <c r="D60" s="8"/>
      <c r="E60" s="8"/>
      <c r="F60" s="8"/>
      <c r="G60" s="9"/>
      <c r="H60" s="8"/>
      <c r="I60" s="8"/>
      <c r="J60" s="8"/>
      <c r="K60" s="8"/>
      <c r="L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N60" s="9"/>
      <c r="AO60" s="9"/>
      <c r="AP60" s="9"/>
      <c r="AQ60" s="9"/>
      <c r="AR60" s="9"/>
      <c r="AS60" s="9"/>
      <c r="AT60" s="9"/>
    </row>
    <row r="61" ht="17.25" customHeight="1" spans="1:46">
      <c r="A61" s="8"/>
      <c r="B61" s="8"/>
      <c r="C61" s="8"/>
      <c r="D61" s="8"/>
      <c r="E61" s="8"/>
      <c r="F61" s="8"/>
      <c r="G61" s="9"/>
      <c r="H61" s="8"/>
      <c r="I61" s="8"/>
      <c r="J61" s="8"/>
      <c r="K61" s="8"/>
      <c r="L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N61" s="9"/>
      <c r="AO61" s="9"/>
      <c r="AP61" s="9"/>
      <c r="AQ61" s="9"/>
      <c r="AR61" s="9"/>
      <c r="AS61" s="9"/>
      <c r="AT61" s="9"/>
    </row>
    <row r="62" ht="17.25" customHeight="1" spans="1:46">
      <c r="A62" s="8"/>
      <c r="B62" s="8"/>
      <c r="C62" s="8"/>
      <c r="D62" s="8"/>
      <c r="E62" s="8"/>
      <c r="F62" s="8"/>
      <c r="G62" s="9"/>
      <c r="H62" s="8"/>
      <c r="I62" s="8"/>
      <c r="J62" s="8"/>
      <c r="K62" s="8"/>
      <c r="L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N62" s="9"/>
      <c r="AO62" s="9"/>
      <c r="AP62" s="9"/>
      <c r="AQ62" s="9"/>
      <c r="AR62" s="9"/>
      <c r="AS62" s="9"/>
      <c r="AT62" s="9"/>
    </row>
    <row r="63" ht="17.25" customHeight="1" spans="1:46">
      <c r="A63" s="8"/>
      <c r="B63" s="8"/>
      <c r="C63" s="8"/>
      <c r="D63" s="8"/>
      <c r="E63" s="8"/>
      <c r="F63" s="8"/>
      <c r="G63" s="9"/>
      <c r="H63" s="8"/>
      <c r="I63" s="8"/>
      <c r="J63" s="8"/>
      <c r="K63" s="8"/>
      <c r="L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N63" s="9"/>
      <c r="AO63" s="9"/>
      <c r="AP63" s="9"/>
      <c r="AQ63" s="9"/>
      <c r="AR63" s="9"/>
      <c r="AS63" s="9"/>
      <c r="AT63" s="9"/>
    </row>
    <row r="64" ht="17.25" customHeight="1" spans="1:46">
      <c r="A64" s="8"/>
      <c r="B64" s="8"/>
      <c r="C64" s="8"/>
      <c r="D64" s="8"/>
      <c r="E64" s="8"/>
      <c r="F64" s="8"/>
      <c r="G64" s="9"/>
      <c r="H64" s="8"/>
      <c r="I64" s="8"/>
      <c r="J64" s="8"/>
      <c r="K64" s="8"/>
      <c r="L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N64" s="9"/>
      <c r="AO64" s="9"/>
      <c r="AP64" s="9"/>
      <c r="AQ64" s="9"/>
      <c r="AR64" s="9"/>
      <c r="AS64" s="9"/>
      <c r="AT64" s="9"/>
    </row>
    <row r="65" ht="17.25" customHeight="1" spans="1:46">
      <c r="A65" s="8"/>
      <c r="B65" s="8"/>
      <c r="C65" s="8"/>
      <c r="D65" s="8"/>
      <c r="E65" s="8"/>
      <c r="F65" s="8"/>
      <c r="G65" s="9"/>
      <c r="H65" s="8"/>
      <c r="I65" s="8"/>
      <c r="J65" s="8"/>
      <c r="K65" s="8"/>
      <c r="L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N65" s="9"/>
      <c r="AO65" s="9"/>
      <c r="AP65" s="9"/>
      <c r="AQ65" s="9"/>
      <c r="AR65" s="9"/>
      <c r="AS65" s="9"/>
      <c r="AT65" s="9"/>
    </row>
    <row r="66" ht="17.25" customHeight="1" spans="1:46">
      <c r="A66" s="8"/>
      <c r="B66" s="8"/>
      <c r="C66" s="8"/>
      <c r="D66" s="8"/>
      <c r="E66" s="8"/>
      <c r="F66" s="8"/>
      <c r="G66" s="9"/>
      <c r="H66" s="8"/>
      <c r="I66" s="8"/>
      <c r="J66" s="8"/>
      <c r="K66" s="8"/>
      <c r="L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N66" s="9"/>
      <c r="AO66" s="9"/>
      <c r="AP66" s="9"/>
      <c r="AQ66" s="9"/>
      <c r="AR66" s="9"/>
      <c r="AS66" s="9"/>
      <c r="AT66" s="9"/>
    </row>
    <row r="67" ht="17.25" customHeight="1" spans="1:46">
      <c r="A67" s="8"/>
      <c r="B67" s="8"/>
      <c r="C67" s="8"/>
      <c r="D67" s="8"/>
      <c r="E67" s="8"/>
      <c r="F67" s="8"/>
      <c r="G67" s="9"/>
      <c r="H67" s="8"/>
      <c r="I67" s="8"/>
      <c r="J67" s="8"/>
      <c r="K67" s="8"/>
      <c r="L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N67" s="9"/>
      <c r="AO67" s="9"/>
      <c r="AP67" s="9"/>
      <c r="AQ67" s="9"/>
      <c r="AR67" s="9"/>
      <c r="AS67" s="9"/>
      <c r="AT67" s="9"/>
    </row>
    <row r="68" ht="17.25" customHeight="1" spans="1:46">
      <c r="A68" s="8"/>
      <c r="B68" s="8"/>
      <c r="C68" s="8"/>
      <c r="D68" s="8"/>
      <c r="E68" s="8"/>
      <c r="F68" s="8"/>
      <c r="G68" s="9"/>
      <c r="H68" s="8"/>
      <c r="I68" s="8"/>
      <c r="J68" s="8"/>
      <c r="K68" s="8"/>
      <c r="L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N68" s="9"/>
      <c r="AO68" s="9"/>
      <c r="AP68" s="9"/>
      <c r="AQ68" s="9"/>
      <c r="AR68" s="9"/>
      <c r="AS68" s="9"/>
      <c r="AT68" s="9"/>
    </row>
    <row r="69" ht="17.25" customHeight="1" spans="1:46">
      <c r="A69" s="8"/>
      <c r="B69" s="8"/>
      <c r="C69" s="8"/>
      <c r="D69" s="8"/>
      <c r="E69" s="8"/>
      <c r="F69" s="8"/>
      <c r="G69" s="9"/>
      <c r="H69" s="8"/>
      <c r="I69" s="8"/>
      <c r="J69" s="8"/>
      <c r="K69" s="8"/>
      <c r="L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N69" s="9"/>
      <c r="AO69" s="9"/>
      <c r="AP69" s="9"/>
      <c r="AQ69" s="9"/>
      <c r="AR69" s="9"/>
      <c r="AS69" s="9"/>
      <c r="AT69" s="9"/>
    </row>
    <row r="70" ht="17.25" customHeight="1" spans="1:46">
      <c r="A70" s="8"/>
      <c r="B70" s="8"/>
      <c r="C70" s="8"/>
      <c r="D70" s="8"/>
      <c r="E70" s="8"/>
      <c r="F70" s="8"/>
      <c r="G70" s="9"/>
      <c r="H70" s="8"/>
      <c r="I70" s="8"/>
      <c r="J70" s="8"/>
      <c r="K70" s="8"/>
      <c r="L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N70" s="9"/>
      <c r="AO70" s="9"/>
      <c r="AP70" s="9"/>
      <c r="AQ70" s="9"/>
      <c r="AR70" s="9"/>
      <c r="AS70" s="9"/>
      <c r="AT70" s="9"/>
    </row>
    <row r="71" ht="17.25" customHeight="1" spans="1:46">
      <c r="A71" s="8"/>
      <c r="B71" s="8"/>
      <c r="C71" s="8"/>
      <c r="D71" s="8"/>
      <c r="E71" s="8"/>
      <c r="F71" s="8"/>
      <c r="G71" s="9"/>
      <c r="H71" s="8"/>
      <c r="I71" s="8"/>
      <c r="J71" s="8"/>
      <c r="K71" s="8"/>
      <c r="L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N71" s="9"/>
      <c r="AO71" s="9"/>
      <c r="AP71" s="9"/>
      <c r="AQ71" s="9"/>
      <c r="AR71" s="9"/>
      <c r="AS71" s="9"/>
      <c r="AT71" s="9"/>
    </row>
    <row r="72" ht="17.25" customHeight="1" spans="1:46">
      <c r="A72" s="8"/>
      <c r="B72" s="8"/>
      <c r="C72" s="8"/>
      <c r="D72" s="8"/>
      <c r="E72" s="8"/>
      <c r="F72" s="8"/>
      <c r="G72" s="9"/>
      <c r="H72" s="8"/>
      <c r="I72" s="8"/>
      <c r="J72" s="8"/>
      <c r="K72" s="8"/>
      <c r="L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N72" s="9"/>
      <c r="AO72" s="9"/>
      <c r="AP72" s="9"/>
      <c r="AQ72" s="9"/>
      <c r="AR72" s="9"/>
      <c r="AS72" s="9"/>
      <c r="AT72" s="9"/>
    </row>
    <row r="73" ht="17.25" customHeight="1" spans="1:46">
      <c r="A73" s="8"/>
      <c r="B73" s="8"/>
      <c r="C73" s="8"/>
      <c r="D73" s="8"/>
      <c r="E73" s="8"/>
      <c r="F73" s="8"/>
      <c r="G73" s="9"/>
      <c r="H73" s="8"/>
      <c r="I73" s="8"/>
      <c r="J73" s="8"/>
      <c r="K73" s="8"/>
      <c r="L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N73" s="9"/>
      <c r="AO73" s="9"/>
      <c r="AP73" s="9"/>
      <c r="AQ73" s="9"/>
      <c r="AR73" s="9"/>
      <c r="AS73" s="9"/>
      <c r="AT73" s="9"/>
    </row>
    <row r="74" ht="17.25" customHeight="1" spans="1:46">
      <c r="A74" s="8"/>
      <c r="B74" s="8"/>
      <c r="C74" s="8"/>
      <c r="D74" s="8"/>
      <c r="E74" s="8"/>
      <c r="F74" s="8"/>
      <c r="G74" s="9"/>
      <c r="H74" s="8"/>
      <c r="I74" s="8"/>
      <c r="J74" s="8"/>
      <c r="K74" s="8"/>
      <c r="L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N74" s="9"/>
      <c r="AO74" s="9"/>
      <c r="AP74" s="9"/>
      <c r="AQ74" s="9"/>
      <c r="AR74" s="9"/>
      <c r="AS74" s="9"/>
      <c r="AT74" s="9"/>
    </row>
    <row r="75" ht="17.25" customHeight="1" spans="1:46">
      <c r="A75" s="8"/>
      <c r="B75" s="8"/>
      <c r="C75" s="8"/>
      <c r="D75" s="8"/>
      <c r="E75" s="8"/>
      <c r="F75" s="8"/>
      <c r="G75" s="9"/>
      <c r="H75" s="8"/>
      <c r="I75" s="8"/>
      <c r="J75" s="8"/>
      <c r="K75" s="8"/>
      <c r="L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N75" s="9"/>
      <c r="AO75" s="9"/>
      <c r="AP75" s="9"/>
      <c r="AQ75" s="9"/>
      <c r="AR75" s="9"/>
      <c r="AS75" s="9"/>
      <c r="AT75" s="9"/>
    </row>
    <row r="76" ht="17.25" customHeight="1" spans="1:46">
      <c r="A76" s="8"/>
      <c r="B76" s="8"/>
      <c r="C76" s="8"/>
      <c r="D76" s="8"/>
      <c r="E76" s="8"/>
      <c r="F76" s="8"/>
      <c r="G76" s="9"/>
      <c r="H76" s="8"/>
      <c r="I76" s="8"/>
      <c r="J76" s="8"/>
      <c r="K76" s="8"/>
      <c r="L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N76" s="9"/>
      <c r="AO76" s="9"/>
      <c r="AP76" s="9"/>
      <c r="AQ76" s="9"/>
      <c r="AR76" s="9"/>
      <c r="AS76" s="9"/>
      <c r="AT76" s="9"/>
    </row>
    <row r="77" ht="17.25" customHeight="1" spans="1:46">
      <c r="A77" s="8"/>
      <c r="B77" s="8"/>
      <c r="C77" s="8"/>
      <c r="D77" s="8"/>
      <c r="E77" s="8"/>
      <c r="F77" s="8"/>
      <c r="G77" s="9"/>
      <c r="H77" s="8"/>
      <c r="I77" s="8"/>
      <c r="J77" s="8"/>
      <c r="K77" s="8"/>
      <c r="L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N77" s="9"/>
      <c r="AO77" s="9"/>
      <c r="AP77" s="9"/>
      <c r="AQ77" s="9"/>
      <c r="AR77" s="9"/>
      <c r="AS77" s="9"/>
      <c r="AT77" s="9"/>
    </row>
    <row r="78" ht="17.25" customHeight="1" spans="1:46">
      <c r="A78" s="8"/>
      <c r="B78" s="8"/>
      <c r="C78" s="8"/>
      <c r="D78" s="8"/>
      <c r="E78" s="8"/>
      <c r="F78" s="8"/>
      <c r="G78" s="9"/>
      <c r="H78" s="8"/>
      <c r="I78" s="8"/>
      <c r="J78" s="8"/>
      <c r="K78" s="8"/>
      <c r="L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N78" s="9"/>
      <c r="AO78" s="9"/>
      <c r="AP78" s="9"/>
      <c r="AQ78" s="9"/>
      <c r="AR78" s="9"/>
      <c r="AS78" s="9"/>
      <c r="AT78" s="9"/>
    </row>
    <row r="79" ht="17.25" customHeight="1" spans="1:46">
      <c r="A79" s="8"/>
      <c r="B79" s="8"/>
      <c r="C79" s="8"/>
      <c r="D79" s="8"/>
      <c r="E79" s="8"/>
      <c r="F79" s="8"/>
      <c r="G79" s="9"/>
      <c r="H79" s="8"/>
      <c r="I79" s="8"/>
      <c r="J79" s="8"/>
      <c r="K79" s="8"/>
      <c r="L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N79" s="9"/>
      <c r="AO79" s="9"/>
      <c r="AP79" s="9"/>
      <c r="AQ79" s="9"/>
      <c r="AR79" s="9"/>
      <c r="AS79" s="9"/>
      <c r="AT79" s="9"/>
    </row>
    <row r="80" ht="17.25" customHeight="1" spans="1:46">
      <c r="A80" s="8"/>
      <c r="B80" s="8"/>
      <c r="C80" s="8"/>
      <c r="D80" s="8"/>
      <c r="E80" s="8"/>
      <c r="F80" s="8"/>
      <c r="G80" s="9"/>
      <c r="H80" s="8"/>
      <c r="I80" s="8"/>
      <c r="J80" s="8"/>
      <c r="K80" s="8"/>
      <c r="L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N80" s="9"/>
      <c r="AO80" s="9"/>
      <c r="AP80" s="9"/>
      <c r="AQ80" s="9"/>
      <c r="AR80" s="9"/>
      <c r="AS80" s="9"/>
      <c r="AT80" s="9"/>
    </row>
    <row r="81" ht="17.25" customHeight="1" spans="1:46">
      <c r="A81" s="8"/>
      <c r="B81" s="8"/>
      <c r="C81" s="8"/>
      <c r="D81" s="8"/>
      <c r="E81" s="8"/>
      <c r="F81" s="8"/>
      <c r="G81" s="9"/>
      <c r="H81" s="8"/>
      <c r="I81" s="8"/>
      <c r="J81" s="8"/>
      <c r="K81" s="8"/>
      <c r="L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N81" s="9"/>
      <c r="AO81" s="9"/>
      <c r="AP81" s="9"/>
      <c r="AQ81" s="9"/>
      <c r="AR81" s="9"/>
      <c r="AS81" s="9"/>
      <c r="AT81" s="9"/>
    </row>
    <row r="82" ht="17.25" customHeight="1" spans="1:46">
      <c r="A82" s="8"/>
      <c r="B82" s="8"/>
      <c r="C82" s="8"/>
      <c r="D82" s="8"/>
      <c r="E82" s="8"/>
      <c r="F82" s="8"/>
      <c r="G82" s="9"/>
      <c r="H82" s="8"/>
      <c r="I82" s="8"/>
      <c r="J82" s="8"/>
      <c r="K82" s="8"/>
      <c r="L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N82" s="9"/>
      <c r="AO82" s="9"/>
      <c r="AP82" s="9"/>
      <c r="AQ82" s="9"/>
      <c r="AR82" s="9"/>
      <c r="AS82" s="9"/>
      <c r="AT82" s="9"/>
    </row>
    <row r="83" ht="17.25" customHeight="1" spans="1:46">
      <c r="A83" s="8"/>
      <c r="B83" s="8"/>
      <c r="C83" s="8"/>
      <c r="D83" s="8"/>
      <c r="E83" s="8"/>
      <c r="F83" s="8"/>
      <c r="G83" s="9"/>
      <c r="H83" s="8"/>
      <c r="I83" s="8"/>
      <c r="J83" s="8"/>
      <c r="K83" s="8"/>
      <c r="L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N83" s="9"/>
      <c r="AO83" s="9"/>
      <c r="AP83" s="9"/>
      <c r="AQ83" s="9"/>
      <c r="AR83" s="9"/>
      <c r="AS83" s="9"/>
      <c r="AT83" s="9"/>
    </row>
    <row r="84" ht="17.25" customHeight="1" spans="1:46">
      <c r="A84" s="8"/>
      <c r="B84" s="8"/>
      <c r="C84" s="8"/>
      <c r="D84" s="8"/>
      <c r="E84" s="8"/>
      <c r="F84" s="8"/>
      <c r="G84" s="9"/>
      <c r="H84" s="8"/>
      <c r="I84" s="8"/>
      <c r="J84" s="8"/>
      <c r="K84" s="8"/>
      <c r="L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N84" s="9"/>
      <c r="AO84" s="9"/>
      <c r="AP84" s="9"/>
      <c r="AQ84" s="9"/>
      <c r="AR84" s="9"/>
      <c r="AS84" s="9"/>
      <c r="AT84" s="9"/>
    </row>
    <row r="85" ht="17.25" customHeight="1" spans="1:46">
      <c r="A85" s="8"/>
      <c r="B85" s="8"/>
      <c r="C85" s="8"/>
      <c r="D85" s="8"/>
      <c r="E85" s="8"/>
      <c r="F85" s="8"/>
      <c r="G85" s="9"/>
      <c r="H85" s="8"/>
      <c r="I85" s="8"/>
      <c r="J85" s="8"/>
      <c r="K85" s="8"/>
      <c r="L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N85" s="9"/>
      <c r="AO85" s="9"/>
      <c r="AP85" s="9"/>
      <c r="AQ85" s="9"/>
      <c r="AR85" s="9"/>
      <c r="AS85" s="9"/>
      <c r="AT85" s="9"/>
    </row>
    <row r="86" ht="17.25" customHeight="1" spans="1:46">
      <c r="A86" s="8"/>
      <c r="B86" s="8"/>
      <c r="C86" s="8"/>
      <c r="D86" s="8"/>
      <c r="E86" s="8"/>
      <c r="F86" s="8"/>
      <c r="G86" s="9"/>
      <c r="H86" s="8"/>
      <c r="I86" s="8"/>
      <c r="J86" s="8"/>
      <c r="K86" s="8"/>
      <c r="L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N86" s="9"/>
      <c r="AO86" s="9"/>
      <c r="AP86" s="9"/>
      <c r="AQ86" s="9"/>
      <c r="AR86" s="9"/>
      <c r="AS86" s="9"/>
      <c r="AT86" s="9"/>
    </row>
    <row r="87" ht="17.25" customHeight="1" spans="1:46">
      <c r="A87" s="8"/>
      <c r="B87" s="8"/>
      <c r="C87" s="8"/>
      <c r="D87" s="8"/>
      <c r="E87" s="8"/>
      <c r="F87" s="8"/>
      <c r="G87" s="9"/>
      <c r="H87" s="8"/>
      <c r="I87" s="8"/>
      <c r="J87" s="8"/>
      <c r="K87" s="8"/>
      <c r="L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N87" s="9"/>
      <c r="AO87" s="9"/>
      <c r="AP87" s="9"/>
      <c r="AQ87" s="9"/>
      <c r="AR87" s="9"/>
      <c r="AS87" s="9"/>
      <c r="AT87" s="9"/>
    </row>
    <row r="88" ht="17.25" customHeight="1" spans="1:46">
      <c r="A88" s="8"/>
      <c r="B88" s="8"/>
      <c r="C88" s="8"/>
      <c r="D88" s="8"/>
      <c r="E88" s="8"/>
      <c r="F88" s="8"/>
      <c r="G88" s="9"/>
      <c r="H88" s="8"/>
      <c r="I88" s="8"/>
      <c r="J88" s="8"/>
      <c r="K88" s="8"/>
      <c r="L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N88" s="9"/>
      <c r="AO88" s="9"/>
      <c r="AP88" s="9"/>
      <c r="AQ88" s="9"/>
      <c r="AR88" s="9"/>
      <c r="AS88" s="9"/>
      <c r="AT88" s="9"/>
    </row>
    <row r="89" ht="17.25" customHeight="1" spans="1:46">
      <c r="A89" s="8"/>
      <c r="B89" s="8"/>
      <c r="C89" s="8"/>
      <c r="D89" s="8"/>
      <c r="E89" s="8"/>
      <c r="F89" s="8"/>
      <c r="G89" s="9"/>
      <c r="H89" s="8"/>
      <c r="I89" s="8"/>
      <c r="J89" s="8"/>
      <c r="K89" s="8"/>
      <c r="L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N89" s="9"/>
      <c r="AO89" s="9"/>
      <c r="AP89" s="9"/>
      <c r="AQ89" s="9"/>
      <c r="AR89" s="9"/>
      <c r="AS89" s="9"/>
      <c r="AT89" s="9"/>
    </row>
    <row r="90" ht="17.25" customHeight="1" spans="1:46">
      <c r="A90" s="8"/>
      <c r="B90" s="8"/>
      <c r="C90" s="8"/>
      <c r="D90" s="8"/>
      <c r="E90" s="8"/>
      <c r="F90" s="8"/>
      <c r="G90" s="9"/>
      <c r="H90" s="8"/>
      <c r="I90" s="8"/>
      <c r="J90" s="8"/>
      <c r="K90" s="8"/>
      <c r="L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N90" s="9"/>
      <c r="AO90" s="9"/>
      <c r="AP90" s="9"/>
      <c r="AQ90" s="9"/>
      <c r="AR90" s="9"/>
      <c r="AS90" s="9"/>
      <c r="AT90" s="9"/>
    </row>
    <row r="91" ht="17.25" customHeight="1" spans="1:46">
      <c r="A91" s="8"/>
      <c r="B91" s="8"/>
      <c r="C91" s="8"/>
      <c r="D91" s="8"/>
      <c r="E91" s="8"/>
      <c r="F91" s="8"/>
      <c r="G91" s="9"/>
      <c r="H91" s="8"/>
      <c r="I91" s="8"/>
      <c r="J91" s="8"/>
      <c r="K91" s="8"/>
      <c r="L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N91" s="9"/>
      <c r="AO91" s="9"/>
      <c r="AP91" s="9"/>
      <c r="AQ91" s="9"/>
      <c r="AR91" s="9"/>
      <c r="AS91" s="9"/>
      <c r="AT91" s="9"/>
    </row>
    <row r="92" ht="17.25" customHeight="1" spans="1:46">
      <c r="A92" s="8"/>
      <c r="B92" s="8"/>
      <c r="C92" s="8"/>
      <c r="D92" s="8"/>
      <c r="E92" s="8"/>
      <c r="F92" s="8"/>
      <c r="G92" s="9"/>
      <c r="H92" s="8"/>
      <c r="I92" s="8"/>
      <c r="J92" s="8"/>
      <c r="K92" s="8"/>
      <c r="L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N92" s="9"/>
      <c r="AO92" s="9"/>
      <c r="AP92" s="9"/>
      <c r="AQ92" s="9"/>
      <c r="AR92" s="9"/>
      <c r="AS92" s="9"/>
      <c r="AT92" s="9"/>
    </row>
    <row r="93" ht="17.25" customHeight="1" spans="1:46">
      <c r="A93" s="8"/>
      <c r="B93" s="8"/>
      <c r="C93" s="8"/>
      <c r="D93" s="8"/>
      <c r="E93" s="8"/>
      <c r="F93" s="8"/>
      <c r="G93" s="9"/>
      <c r="H93" s="8"/>
      <c r="I93" s="8"/>
      <c r="J93" s="8"/>
      <c r="K93" s="8"/>
      <c r="L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N93" s="9"/>
      <c r="AO93" s="9"/>
      <c r="AP93" s="9"/>
      <c r="AQ93" s="9"/>
      <c r="AR93" s="9"/>
      <c r="AS93" s="9"/>
      <c r="AT93" s="9"/>
    </row>
    <row r="94" ht="17.25" customHeight="1" spans="1:46">
      <c r="A94" s="8"/>
      <c r="B94" s="8"/>
      <c r="C94" s="8"/>
      <c r="D94" s="8"/>
      <c r="E94" s="8"/>
      <c r="F94" s="8"/>
      <c r="G94" s="9"/>
      <c r="H94" s="8"/>
      <c r="I94" s="8"/>
      <c r="J94" s="8"/>
      <c r="K94" s="8"/>
      <c r="L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N94" s="9"/>
      <c r="AO94" s="9"/>
      <c r="AP94" s="9"/>
      <c r="AQ94" s="9"/>
      <c r="AR94" s="9"/>
      <c r="AS94" s="9"/>
      <c r="AT94" s="9"/>
    </row>
    <row r="95" ht="17.25" customHeight="1" spans="1:46">
      <c r="A95" s="8"/>
      <c r="B95" s="8"/>
      <c r="C95" s="8"/>
      <c r="D95" s="8"/>
      <c r="E95" s="8"/>
      <c r="F95" s="8"/>
      <c r="G95" s="9"/>
      <c r="H95" s="8"/>
      <c r="I95" s="8"/>
      <c r="J95" s="8"/>
      <c r="K95" s="8"/>
      <c r="L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N95" s="9"/>
      <c r="AO95" s="9"/>
      <c r="AP95" s="9"/>
      <c r="AQ95" s="9"/>
      <c r="AR95" s="9"/>
      <c r="AS95" s="9"/>
      <c r="AT95" s="9"/>
    </row>
    <row r="96" ht="17.25" customHeight="1" spans="1:46">
      <c r="A96" s="8"/>
      <c r="B96" s="8"/>
      <c r="C96" s="8"/>
      <c r="D96" s="8"/>
      <c r="E96" s="8"/>
      <c r="F96" s="8"/>
      <c r="G96" s="9"/>
      <c r="H96" s="8"/>
      <c r="I96" s="8"/>
      <c r="J96" s="8"/>
      <c r="K96" s="8"/>
      <c r="L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N96" s="9"/>
      <c r="AO96" s="9"/>
      <c r="AP96" s="9"/>
      <c r="AQ96" s="9"/>
      <c r="AR96" s="9"/>
      <c r="AS96" s="9"/>
      <c r="AT96" s="9"/>
    </row>
    <row r="97" ht="17.25" customHeight="1" spans="1:46">
      <c r="A97" s="8"/>
      <c r="B97" s="8"/>
      <c r="C97" s="8"/>
      <c r="D97" s="8"/>
      <c r="E97" s="8"/>
      <c r="F97" s="8"/>
      <c r="G97" s="9"/>
      <c r="H97" s="8"/>
      <c r="I97" s="8"/>
      <c r="J97" s="8"/>
      <c r="K97" s="8"/>
      <c r="L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N97" s="9"/>
      <c r="AO97" s="9"/>
      <c r="AP97" s="9"/>
      <c r="AQ97" s="9"/>
      <c r="AR97" s="9"/>
      <c r="AS97" s="9"/>
      <c r="AT97" s="9"/>
    </row>
    <row r="98" ht="17.25" customHeight="1" spans="1:46">
      <c r="A98" s="8"/>
      <c r="B98" s="8"/>
      <c r="C98" s="8"/>
      <c r="D98" s="8"/>
      <c r="E98" s="8"/>
      <c r="F98" s="8"/>
      <c r="G98" s="9"/>
      <c r="H98" s="8"/>
      <c r="I98" s="8"/>
      <c r="J98" s="8"/>
      <c r="K98" s="8"/>
      <c r="L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N98" s="9"/>
      <c r="AO98" s="9"/>
      <c r="AP98" s="9"/>
      <c r="AQ98" s="9"/>
      <c r="AR98" s="9"/>
      <c r="AS98" s="9"/>
      <c r="AT98" s="9"/>
    </row>
    <row r="99" ht="17.25" customHeight="1" spans="1:46">
      <c r="A99" s="8"/>
      <c r="B99" s="8"/>
      <c r="C99" s="8"/>
      <c r="D99" s="8"/>
      <c r="E99" s="8"/>
      <c r="F99" s="8"/>
      <c r="G99" s="9"/>
      <c r="H99" s="8"/>
      <c r="I99" s="8"/>
      <c r="J99" s="8"/>
      <c r="K99" s="8"/>
      <c r="L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N99" s="9"/>
      <c r="AO99" s="9"/>
      <c r="AP99" s="9"/>
      <c r="AQ99" s="9"/>
      <c r="AR99" s="9"/>
      <c r="AS99" s="9"/>
      <c r="AT99" s="9"/>
    </row>
    <row r="100" ht="17.25" customHeight="1" spans="1:46">
      <c r="A100" s="8"/>
      <c r="B100" s="8"/>
      <c r="C100" s="8"/>
      <c r="D100" s="8"/>
      <c r="E100" s="8"/>
      <c r="F100" s="8"/>
      <c r="G100" s="9"/>
      <c r="H100" s="8"/>
      <c r="I100" s="8"/>
      <c r="J100" s="8"/>
      <c r="K100" s="8"/>
      <c r="L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N100" s="9"/>
      <c r="AO100" s="9"/>
      <c r="AP100" s="9"/>
      <c r="AQ100" s="9"/>
      <c r="AR100" s="9"/>
      <c r="AS100" s="9"/>
      <c r="AT100" s="9"/>
    </row>
    <row r="101" ht="17.25" customHeight="1" spans="1:46">
      <c r="A101" s="8"/>
      <c r="B101" s="8"/>
      <c r="C101" s="8"/>
      <c r="D101" s="8"/>
      <c r="E101" s="8"/>
      <c r="F101" s="8"/>
      <c r="G101" s="9"/>
      <c r="H101" s="8"/>
      <c r="I101" s="8"/>
      <c r="J101" s="8"/>
      <c r="K101" s="8"/>
      <c r="L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N101" s="9"/>
      <c r="AO101" s="9"/>
      <c r="AP101" s="9"/>
      <c r="AQ101" s="9"/>
      <c r="AR101" s="9"/>
      <c r="AS101" s="9"/>
      <c r="AT101" s="9"/>
    </row>
    <row r="102" ht="17.25" customHeight="1" spans="1:46">
      <c r="A102" s="8"/>
      <c r="B102" s="8"/>
      <c r="C102" s="8"/>
      <c r="D102" s="8"/>
      <c r="E102" s="8"/>
      <c r="F102" s="8"/>
      <c r="G102" s="9"/>
      <c r="H102" s="8"/>
      <c r="I102" s="8"/>
      <c r="J102" s="8"/>
      <c r="K102" s="8"/>
      <c r="L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N102" s="9"/>
      <c r="AO102" s="9"/>
      <c r="AP102" s="9"/>
      <c r="AQ102" s="9"/>
      <c r="AR102" s="9"/>
      <c r="AS102" s="9"/>
      <c r="AT102" s="9"/>
    </row>
    <row r="103" ht="17.25" customHeight="1" spans="1:46">
      <c r="A103" s="8"/>
      <c r="B103" s="8"/>
      <c r="C103" s="8"/>
      <c r="D103" s="8"/>
      <c r="E103" s="8"/>
      <c r="F103" s="8"/>
      <c r="G103" s="9"/>
      <c r="H103" s="8"/>
      <c r="I103" s="8"/>
      <c r="J103" s="8"/>
      <c r="K103" s="8"/>
      <c r="L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N103" s="9"/>
      <c r="AO103" s="9"/>
      <c r="AP103" s="9"/>
      <c r="AQ103" s="9"/>
      <c r="AR103" s="9"/>
      <c r="AS103" s="9"/>
      <c r="AT103" s="9"/>
    </row>
    <row r="104" ht="17.25" customHeight="1" spans="1:46">
      <c r="A104" s="8"/>
      <c r="B104" s="8"/>
      <c r="C104" s="8"/>
      <c r="D104" s="8"/>
      <c r="E104" s="8"/>
      <c r="F104" s="8"/>
      <c r="G104" s="9"/>
      <c r="H104" s="8"/>
      <c r="I104" s="8"/>
      <c r="J104" s="8"/>
      <c r="K104" s="8"/>
      <c r="L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N104" s="9"/>
      <c r="AO104" s="9"/>
      <c r="AP104" s="9"/>
      <c r="AQ104" s="9"/>
      <c r="AR104" s="9"/>
      <c r="AS104" s="9"/>
      <c r="AT104" s="9"/>
    </row>
    <row r="105" ht="17.25" customHeight="1" spans="1:46">
      <c r="A105" s="8"/>
      <c r="B105" s="8"/>
      <c r="C105" s="8"/>
      <c r="D105" s="8"/>
      <c r="E105" s="8"/>
      <c r="F105" s="8"/>
      <c r="G105" s="9"/>
      <c r="H105" s="8"/>
      <c r="I105" s="8"/>
      <c r="J105" s="8"/>
      <c r="K105" s="8"/>
      <c r="L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N105" s="9"/>
      <c r="AO105" s="9"/>
      <c r="AP105" s="9"/>
      <c r="AQ105" s="9"/>
      <c r="AR105" s="9"/>
      <c r="AS105" s="9"/>
      <c r="AT105" s="9"/>
    </row>
    <row r="106" ht="17.25" customHeight="1" spans="1:46">
      <c r="A106" s="8"/>
      <c r="B106" s="8"/>
      <c r="C106" s="8"/>
      <c r="D106" s="8"/>
      <c r="E106" s="8"/>
      <c r="F106" s="8"/>
      <c r="G106" s="9"/>
      <c r="H106" s="8"/>
      <c r="I106" s="8"/>
      <c r="J106" s="8"/>
      <c r="K106" s="8"/>
      <c r="L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N106" s="9"/>
      <c r="AO106" s="9"/>
      <c r="AP106" s="9"/>
      <c r="AQ106" s="9"/>
      <c r="AR106" s="9"/>
      <c r="AS106" s="9"/>
      <c r="AT106" s="9"/>
    </row>
    <row r="107" ht="17.25" customHeight="1" spans="1:46">
      <c r="A107" s="8"/>
      <c r="B107" s="8"/>
      <c r="C107" s="8"/>
      <c r="D107" s="8"/>
      <c r="E107" s="8"/>
      <c r="F107" s="8"/>
      <c r="G107" s="9"/>
      <c r="H107" s="8"/>
      <c r="I107" s="8"/>
      <c r="J107" s="8"/>
      <c r="K107" s="8"/>
      <c r="L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N107" s="9"/>
      <c r="AO107" s="9"/>
      <c r="AP107" s="9"/>
      <c r="AQ107" s="9"/>
      <c r="AR107" s="9"/>
      <c r="AS107" s="9"/>
      <c r="AT107" s="9"/>
    </row>
    <row r="108" ht="17.25" customHeight="1" spans="1:46">
      <c r="A108" s="8"/>
      <c r="B108" s="8"/>
      <c r="C108" s="8"/>
      <c r="D108" s="8"/>
      <c r="E108" s="8"/>
      <c r="F108" s="8"/>
      <c r="G108" s="9"/>
      <c r="H108" s="8"/>
      <c r="I108" s="8"/>
      <c r="J108" s="8"/>
      <c r="K108" s="8"/>
      <c r="L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N108" s="9"/>
      <c r="AO108" s="9"/>
      <c r="AP108" s="9"/>
      <c r="AQ108" s="9"/>
      <c r="AR108" s="9"/>
      <c r="AS108" s="9"/>
      <c r="AT108" s="9"/>
    </row>
    <row r="109" ht="17.25" customHeight="1" spans="1:46">
      <c r="A109" s="8"/>
      <c r="B109" s="8"/>
      <c r="C109" s="8"/>
      <c r="D109" s="8"/>
      <c r="E109" s="8"/>
      <c r="F109" s="8"/>
      <c r="G109" s="9"/>
      <c r="H109" s="8"/>
      <c r="I109" s="8"/>
      <c r="J109" s="8"/>
      <c r="K109" s="8"/>
      <c r="L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N109" s="9"/>
      <c r="AO109" s="9"/>
      <c r="AP109" s="9"/>
      <c r="AQ109" s="9"/>
      <c r="AR109" s="9"/>
      <c r="AS109" s="9"/>
      <c r="AT109" s="9"/>
    </row>
    <row r="110" ht="17.25" customHeight="1" spans="1:46">
      <c r="A110" s="8"/>
      <c r="B110" s="8"/>
      <c r="C110" s="8"/>
      <c r="D110" s="8"/>
      <c r="E110" s="8"/>
      <c r="F110" s="8"/>
      <c r="G110" s="9"/>
      <c r="H110" s="8"/>
      <c r="I110" s="8"/>
      <c r="J110" s="8"/>
      <c r="K110" s="8"/>
      <c r="L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N110" s="9"/>
      <c r="AO110" s="9"/>
      <c r="AP110" s="9"/>
      <c r="AQ110" s="9"/>
      <c r="AR110" s="9"/>
      <c r="AS110" s="9"/>
      <c r="AT110" s="9"/>
    </row>
    <row r="111" ht="17.25" customHeight="1" spans="1:46">
      <c r="A111" s="8"/>
      <c r="B111" s="8"/>
      <c r="C111" s="8"/>
      <c r="D111" s="8"/>
      <c r="E111" s="8"/>
      <c r="F111" s="8"/>
      <c r="G111" s="9"/>
      <c r="H111" s="8"/>
      <c r="I111" s="8"/>
      <c r="J111" s="8"/>
      <c r="K111" s="8"/>
      <c r="L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N111" s="9"/>
      <c r="AO111" s="9"/>
      <c r="AP111" s="9"/>
      <c r="AQ111" s="9"/>
      <c r="AR111" s="9"/>
      <c r="AS111" s="9"/>
      <c r="AT111" s="9"/>
    </row>
    <row r="112" ht="17.25" customHeight="1" spans="1:46">
      <c r="A112" s="8"/>
      <c r="B112" s="8"/>
      <c r="C112" s="8"/>
      <c r="D112" s="8"/>
      <c r="E112" s="8"/>
      <c r="F112" s="8"/>
      <c r="G112" s="9"/>
      <c r="H112" s="8"/>
      <c r="I112" s="8"/>
      <c r="J112" s="8"/>
      <c r="K112" s="8"/>
      <c r="L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N112" s="9"/>
      <c r="AO112" s="9"/>
      <c r="AP112" s="9"/>
      <c r="AQ112" s="9"/>
      <c r="AR112" s="9"/>
      <c r="AS112" s="9"/>
      <c r="AT112" s="9"/>
    </row>
    <row r="113" ht="17.25" customHeight="1" spans="1:46">
      <c r="A113" s="8"/>
      <c r="B113" s="8"/>
      <c r="C113" s="8"/>
      <c r="D113" s="8"/>
      <c r="E113" s="8"/>
      <c r="F113" s="8"/>
      <c r="G113" s="9"/>
      <c r="H113" s="8"/>
      <c r="I113" s="8"/>
      <c r="J113" s="8"/>
      <c r="K113" s="8"/>
      <c r="L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N113" s="9"/>
      <c r="AO113" s="9"/>
      <c r="AP113" s="9"/>
      <c r="AQ113" s="9"/>
      <c r="AR113" s="9"/>
      <c r="AS113" s="9"/>
      <c r="AT113" s="9"/>
    </row>
    <row r="114" ht="17.25" customHeight="1" spans="1:46">
      <c r="A114" s="8"/>
      <c r="B114" s="8"/>
      <c r="C114" s="8"/>
      <c r="D114" s="8"/>
      <c r="E114" s="8"/>
      <c r="F114" s="8"/>
      <c r="G114" s="9"/>
      <c r="H114" s="8"/>
      <c r="I114" s="8"/>
      <c r="J114" s="8"/>
      <c r="K114" s="8"/>
      <c r="L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N114" s="9"/>
      <c r="AO114" s="9"/>
      <c r="AP114" s="9"/>
      <c r="AQ114" s="9"/>
      <c r="AR114" s="9"/>
      <c r="AS114" s="9"/>
      <c r="AT114" s="9"/>
    </row>
    <row r="115" ht="17.25" customHeight="1" spans="1:46">
      <c r="A115" s="8"/>
      <c r="B115" s="8"/>
      <c r="C115" s="8"/>
      <c r="D115" s="8"/>
      <c r="E115" s="8"/>
      <c r="F115" s="8"/>
      <c r="G115" s="9"/>
      <c r="H115" s="8"/>
      <c r="I115" s="8"/>
      <c r="J115" s="8"/>
      <c r="K115" s="8"/>
      <c r="L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N115" s="9"/>
      <c r="AO115" s="9"/>
      <c r="AP115" s="9"/>
      <c r="AQ115" s="9"/>
      <c r="AR115" s="9"/>
      <c r="AS115" s="9"/>
      <c r="AT115" s="9"/>
    </row>
    <row r="116" ht="17.25" customHeight="1" spans="1:46">
      <c r="A116" s="8"/>
      <c r="B116" s="8"/>
      <c r="C116" s="8"/>
      <c r="D116" s="8"/>
      <c r="E116" s="8"/>
      <c r="F116" s="8"/>
      <c r="G116" s="9"/>
      <c r="H116" s="8"/>
      <c r="I116" s="8"/>
      <c r="J116" s="8"/>
      <c r="K116" s="8"/>
      <c r="L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N116" s="9"/>
      <c r="AO116" s="9"/>
      <c r="AP116" s="9"/>
      <c r="AQ116" s="9"/>
      <c r="AR116" s="9"/>
      <c r="AS116" s="9"/>
      <c r="AT116" s="9"/>
    </row>
    <row r="117" ht="17.25" customHeight="1" spans="1:46">
      <c r="A117" s="8"/>
      <c r="B117" s="8"/>
      <c r="C117" s="8"/>
      <c r="D117" s="8"/>
      <c r="E117" s="8"/>
      <c r="F117" s="8"/>
      <c r="G117" s="9"/>
      <c r="H117" s="8"/>
      <c r="I117" s="8"/>
      <c r="J117" s="8"/>
      <c r="K117" s="8"/>
      <c r="L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N117" s="9"/>
      <c r="AO117" s="9"/>
      <c r="AP117" s="9"/>
      <c r="AQ117" s="9"/>
      <c r="AR117" s="9"/>
      <c r="AS117" s="9"/>
      <c r="AT117" s="9"/>
    </row>
    <row r="118" ht="17.25" customHeight="1" spans="1:46">
      <c r="A118" s="8"/>
      <c r="B118" s="8"/>
      <c r="C118" s="8"/>
      <c r="D118" s="8"/>
      <c r="E118" s="8"/>
      <c r="F118" s="8"/>
      <c r="G118" s="9"/>
      <c r="H118" s="8"/>
      <c r="I118" s="8"/>
      <c r="J118" s="8"/>
      <c r="K118" s="8"/>
      <c r="L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N118" s="9"/>
      <c r="AO118" s="9"/>
      <c r="AP118" s="9"/>
      <c r="AQ118" s="9"/>
      <c r="AR118" s="9"/>
      <c r="AS118" s="9"/>
      <c r="AT118" s="9"/>
    </row>
    <row r="119" ht="17.25" customHeight="1" spans="1:46">
      <c r="A119" s="8"/>
      <c r="B119" s="8"/>
      <c r="C119" s="8"/>
      <c r="D119" s="8"/>
      <c r="E119" s="8"/>
      <c r="F119" s="8"/>
      <c r="G119" s="9"/>
      <c r="H119" s="8"/>
      <c r="I119" s="8"/>
      <c r="J119" s="8"/>
      <c r="K119" s="8"/>
      <c r="L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N119" s="9"/>
      <c r="AO119" s="9"/>
      <c r="AP119" s="9"/>
      <c r="AQ119" s="9"/>
      <c r="AR119" s="9"/>
      <c r="AS119" s="9"/>
      <c r="AT119" s="9"/>
    </row>
    <row r="120" ht="17.25" customHeight="1" spans="1:46">
      <c r="A120" s="8"/>
      <c r="B120" s="8"/>
      <c r="C120" s="8"/>
      <c r="D120" s="8"/>
      <c r="E120" s="8"/>
      <c r="F120" s="8"/>
      <c r="G120" s="9"/>
      <c r="H120" s="8"/>
      <c r="I120" s="8"/>
      <c r="J120" s="8"/>
      <c r="K120" s="8"/>
      <c r="L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N120" s="9"/>
      <c r="AO120" s="9"/>
      <c r="AP120" s="9"/>
      <c r="AQ120" s="9"/>
      <c r="AR120" s="9"/>
      <c r="AS120" s="9"/>
      <c r="AT120" s="9"/>
    </row>
    <row r="121" ht="17.25" customHeight="1" spans="1:46">
      <c r="A121" s="8"/>
      <c r="B121" s="8"/>
      <c r="C121" s="8"/>
      <c r="D121" s="8"/>
      <c r="E121" s="8"/>
      <c r="F121" s="8"/>
      <c r="G121" s="9"/>
      <c r="H121" s="8"/>
      <c r="I121" s="8"/>
      <c r="J121" s="8"/>
      <c r="K121" s="8"/>
      <c r="L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N121" s="9"/>
      <c r="AO121" s="9"/>
      <c r="AP121" s="9"/>
      <c r="AQ121" s="9"/>
      <c r="AR121" s="9"/>
      <c r="AS121" s="9"/>
      <c r="AT121" s="9"/>
    </row>
    <row r="122" ht="17.25" customHeight="1" spans="1:46">
      <c r="A122" s="8"/>
      <c r="B122" s="8"/>
      <c r="C122" s="8"/>
      <c r="D122" s="8"/>
      <c r="E122" s="8"/>
      <c r="F122" s="8"/>
      <c r="G122" s="9"/>
      <c r="H122" s="8"/>
      <c r="I122" s="8"/>
      <c r="J122" s="8"/>
      <c r="K122" s="8"/>
      <c r="L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N122" s="9"/>
      <c r="AO122" s="9"/>
      <c r="AP122" s="9"/>
      <c r="AQ122" s="9"/>
      <c r="AR122" s="9"/>
      <c r="AS122" s="9"/>
      <c r="AT122" s="9"/>
    </row>
    <row r="123" ht="17.25" customHeight="1" spans="1:46">
      <c r="A123" s="8"/>
      <c r="B123" s="8"/>
      <c r="C123" s="8"/>
      <c r="D123" s="8"/>
      <c r="E123" s="8"/>
      <c r="F123" s="8"/>
      <c r="G123" s="9"/>
      <c r="H123" s="8"/>
      <c r="I123" s="8"/>
      <c r="J123" s="8"/>
      <c r="K123" s="8"/>
      <c r="L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N123" s="9"/>
      <c r="AO123" s="9"/>
      <c r="AP123" s="9"/>
      <c r="AQ123" s="9"/>
      <c r="AR123" s="9"/>
      <c r="AS123" s="9"/>
      <c r="AT123" s="9"/>
    </row>
    <row r="124" ht="17.25" customHeight="1" spans="1:46">
      <c r="A124" s="8"/>
      <c r="B124" s="8"/>
      <c r="C124" s="8"/>
      <c r="D124" s="8"/>
      <c r="E124" s="8"/>
      <c r="F124" s="8"/>
      <c r="G124" s="9"/>
      <c r="H124" s="8"/>
      <c r="I124" s="8"/>
      <c r="J124" s="8"/>
      <c r="K124" s="8"/>
      <c r="L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N124" s="9"/>
      <c r="AO124" s="9"/>
      <c r="AP124" s="9"/>
      <c r="AQ124" s="9"/>
      <c r="AR124" s="9"/>
      <c r="AS124" s="9"/>
      <c r="AT124" s="9"/>
    </row>
    <row r="125" ht="17.25" customHeight="1" spans="1:46">
      <c r="A125" s="8"/>
      <c r="B125" s="8"/>
      <c r="C125" s="8"/>
      <c r="D125" s="8"/>
      <c r="E125" s="8"/>
      <c r="F125" s="8"/>
      <c r="G125" s="9"/>
      <c r="H125" s="8"/>
      <c r="I125" s="8"/>
      <c r="J125" s="8"/>
      <c r="K125" s="8"/>
      <c r="L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N125" s="9"/>
      <c r="AO125" s="9"/>
      <c r="AP125" s="9"/>
      <c r="AQ125" s="9"/>
      <c r="AR125" s="9"/>
      <c r="AS125" s="9"/>
      <c r="AT125" s="9"/>
    </row>
    <row r="126" ht="17.25" customHeight="1" spans="1:46">
      <c r="A126" s="8"/>
      <c r="B126" s="8"/>
      <c r="C126" s="8"/>
      <c r="D126" s="8"/>
      <c r="E126" s="8"/>
      <c r="F126" s="8"/>
      <c r="G126" s="9"/>
      <c r="H126" s="8"/>
      <c r="I126" s="8"/>
      <c r="J126" s="8"/>
      <c r="K126" s="8"/>
      <c r="L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N126" s="9"/>
      <c r="AO126" s="9"/>
      <c r="AP126" s="9"/>
      <c r="AQ126" s="9"/>
      <c r="AR126" s="9"/>
      <c r="AS126" s="9"/>
      <c r="AT126" s="9"/>
    </row>
    <row r="127" ht="17.25" customHeight="1" spans="1:46">
      <c r="A127" s="8"/>
      <c r="B127" s="8"/>
      <c r="C127" s="8"/>
      <c r="D127" s="8"/>
      <c r="E127" s="8"/>
      <c r="F127" s="8"/>
      <c r="G127" s="9"/>
      <c r="H127" s="8"/>
      <c r="I127" s="8"/>
      <c r="J127" s="8"/>
      <c r="K127" s="8"/>
      <c r="L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N127" s="9"/>
      <c r="AO127" s="9"/>
      <c r="AP127" s="9"/>
      <c r="AQ127" s="9"/>
      <c r="AR127" s="9"/>
      <c r="AS127" s="9"/>
      <c r="AT127" s="9"/>
    </row>
    <row r="128" ht="17.25" customHeight="1" spans="1:46">
      <c r="A128" s="8"/>
      <c r="B128" s="8"/>
      <c r="C128" s="8"/>
      <c r="D128" s="8"/>
      <c r="E128" s="8"/>
      <c r="F128" s="8"/>
      <c r="G128" s="9"/>
      <c r="H128" s="8"/>
      <c r="I128" s="8"/>
      <c r="J128" s="8"/>
      <c r="K128" s="8"/>
      <c r="L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N128" s="9"/>
      <c r="AO128" s="9"/>
      <c r="AP128" s="9"/>
      <c r="AQ128" s="9"/>
      <c r="AR128" s="9"/>
      <c r="AS128" s="9"/>
      <c r="AT128" s="9"/>
    </row>
    <row r="129" ht="17.25" customHeight="1" spans="1:46">
      <c r="A129" s="8"/>
      <c r="B129" s="8"/>
      <c r="C129" s="8"/>
      <c r="D129" s="8"/>
      <c r="E129" s="8"/>
      <c r="F129" s="8"/>
      <c r="G129" s="9"/>
      <c r="H129" s="8"/>
      <c r="I129" s="8"/>
      <c r="J129" s="8"/>
      <c r="K129" s="8"/>
      <c r="L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N129" s="9"/>
      <c r="AO129" s="9"/>
      <c r="AP129" s="9"/>
      <c r="AQ129" s="9"/>
      <c r="AR129" s="9"/>
      <c r="AS129" s="9"/>
      <c r="AT129" s="9"/>
    </row>
    <row r="130" ht="17.25" customHeight="1" spans="1:46">
      <c r="A130" s="8"/>
      <c r="B130" s="8"/>
      <c r="C130" s="8"/>
      <c r="D130" s="8"/>
      <c r="E130" s="8"/>
      <c r="F130" s="8"/>
      <c r="G130" s="9"/>
      <c r="H130" s="8"/>
      <c r="I130" s="8"/>
      <c r="J130" s="8"/>
      <c r="K130" s="8"/>
      <c r="L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N130" s="9"/>
      <c r="AO130" s="9"/>
      <c r="AP130" s="9"/>
      <c r="AQ130" s="9"/>
      <c r="AR130" s="9"/>
      <c r="AS130" s="9"/>
      <c r="AT130" s="9"/>
    </row>
    <row r="131" ht="17.25" customHeight="1" spans="1:46">
      <c r="A131" s="8"/>
      <c r="B131" s="8"/>
      <c r="C131" s="8"/>
      <c r="D131" s="8"/>
      <c r="E131" s="8"/>
      <c r="F131" s="8"/>
      <c r="G131" s="9"/>
      <c r="H131" s="8"/>
      <c r="I131" s="8"/>
      <c r="J131" s="8"/>
      <c r="K131" s="8"/>
      <c r="L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N131" s="9"/>
      <c r="AO131" s="9"/>
      <c r="AP131" s="9"/>
      <c r="AQ131" s="9"/>
      <c r="AR131" s="9"/>
      <c r="AS131" s="9"/>
      <c r="AT131" s="9"/>
    </row>
    <row r="132" ht="17.25" customHeight="1" spans="1:46">
      <c r="A132" s="8"/>
      <c r="B132" s="8"/>
      <c r="C132" s="8"/>
      <c r="D132" s="8"/>
      <c r="E132" s="8"/>
      <c r="F132" s="8"/>
      <c r="G132" s="9"/>
      <c r="H132" s="8"/>
      <c r="I132" s="8"/>
      <c r="J132" s="8"/>
      <c r="K132" s="8"/>
      <c r="L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N132" s="9"/>
      <c r="AO132" s="9"/>
      <c r="AP132" s="9"/>
      <c r="AQ132" s="9"/>
      <c r="AR132" s="9"/>
      <c r="AS132" s="9"/>
      <c r="AT132" s="9"/>
    </row>
    <row r="133" ht="17.25" customHeight="1" spans="1:46">
      <c r="A133" s="8"/>
      <c r="B133" s="8"/>
      <c r="C133" s="8"/>
      <c r="D133" s="8"/>
      <c r="E133" s="8"/>
      <c r="F133" s="8"/>
      <c r="G133" s="9"/>
      <c r="H133" s="8"/>
      <c r="I133" s="8"/>
      <c r="J133" s="8"/>
      <c r="K133" s="8"/>
      <c r="L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N133" s="9"/>
      <c r="AO133" s="9"/>
      <c r="AP133" s="9"/>
      <c r="AQ133" s="9"/>
      <c r="AR133" s="9"/>
      <c r="AS133" s="9"/>
      <c r="AT133" s="9"/>
    </row>
    <row r="134" ht="17.25" customHeight="1" spans="1:46">
      <c r="A134" s="8"/>
      <c r="B134" s="8"/>
      <c r="C134" s="8"/>
      <c r="D134" s="8"/>
      <c r="E134" s="8"/>
      <c r="F134" s="8"/>
      <c r="G134" s="9"/>
      <c r="H134" s="8"/>
      <c r="I134" s="8"/>
      <c r="J134" s="8"/>
      <c r="K134" s="8"/>
      <c r="L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N134" s="9"/>
      <c r="AO134" s="9"/>
      <c r="AP134" s="9"/>
      <c r="AQ134" s="9"/>
      <c r="AR134" s="9"/>
      <c r="AS134" s="9"/>
      <c r="AT134" s="9"/>
    </row>
    <row r="135" ht="17.25" customHeight="1" spans="1:46">
      <c r="A135" s="8"/>
      <c r="B135" s="8"/>
      <c r="C135" s="8"/>
      <c r="D135" s="8"/>
      <c r="E135" s="8"/>
      <c r="F135" s="8"/>
      <c r="G135" s="9"/>
      <c r="H135" s="8"/>
      <c r="I135" s="8"/>
      <c r="J135" s="8"/>
      <c r="K135" s="8"/>
      <c r="L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N135" s="9"/>
      <c r="AO135" s="9"/>
      <c r="AP135" s="9"/>
      <c r="AQ135" s="9"/>
      <c r="AR135" s="9"/>
      <c r="AS135" s="9"/>
      <c r="AT135" s="9"/>
    </row>
    <row r="136" ht="17.25" customHeight="1" spans="1:46">
      <c r="A136" s="8"/>
      <c r="B136" s="8"/>
      <c r="C136" s="8"/>
      <c r="D136" s="8"/>
      <c r="E136" s="8"/>
      <c r="F136" s="8"/>
      <c r="G136" s="9"/>
      <c r="H136" s="8"/>
      <c r="I136" s="8"/>
      <c r="J136" s="8"/>
      <c r="K136" s="8"/>
      <c r="L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N136" s="9"/>
      <c r="AO136" s="9"/>
      <c r="AP136" s="9"/>
      <c r="AQ136" s="9"/>
      <c r="AR136" s="9"/>
      <c r="AS136" s="9"/>
      <c r="AT136" s="9"/>
    </row>
    <row r="137" ht="17.25" customHeight="1" spans="1:46">
      <c r="A137" s="8"/>
      <c r="B137" s="8"/>
      <c r="C137" s="8"/>
      <c r="D137" s="8"/>
      <c r="E137" s="8"/>
      <c r="F137" s="8"/>
      <c r="G137" s="9"/>
      <c r="H137" s="8"/>
      <c r="I137" s="8"/>
      <c r="J137" s="8"/>
      <c r="K137" s="8"/>
      <c r="L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N137" s="9"/>
      <c r="AO137" s="9"/>
      <c r="AP137" s="9"/>
      <c r="AQ137" s="9"/>
      <c r="AR137" s="9"/>
      <c r="AS137" s="9"/>
      <c r="AT137" s="9"/>
    </row>
    <row r="138" ht="17.25" customHeight="1" spans="1:46">
      <c r="A138" s="8"/>
      <c r="B138" s="8"/>
      <c r="C138" s="8"/>
      <c r="D138" s="8"/>
      <c r="E138" s="8"/>
      <c r="F138" s="8"/>
      <c r="G138" s="9"/>
      <c r="H138" s="8"/>
      <c r="I138" s="8"/>
      <c r="J138" s="8"/>
      <c r="K138" s="8"/>
      <c r="L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N138" s="9"/>
      <c r="AO138" s="9"/>
      <c r="AP138" s="9"/>
      <c r="AQ138" s="9"/>
      <c r="AR138" s="9"/>
      <c r="AS138" s="9"/>
      <c r="AT138" s="9"/>
    </row>
    <row r="139" ht="17.25" customHeight="1" spans="1:46">
      <c r="A139" s="8"/>
      <c r="B139" s="8"/>
      <c r="C139" s="8"/>
      <c r="D139" s="8"/>
      <c r="E139" s="8"/>
      <c r="F139" s="8"/>
      <c r="G139" s="9"/>
      <c r="H139" s="8"/>
      <c r="I139" s="8"/>
      <c r="J139" s="8"/>
      <c r="K139" s="8"/>
      <c r="L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N139" s="9"/>
      <c r="AO139" s="9"/>
      <c r="AP139" s="9"/>
      <c r="AQ139" s="9"/>
      <c r="AR139" s="9"/>
      <c r="AS139" s="9"/>
      <c r="AT139" s="9"/>
    </row>
    <row r="140" ht="17.25" customHeight="1" spans="1:46">
      <c r="A140" s="8"/>
      <c r="B140" s="8"/>
      <c r="C140" s="8"/>
      <c r="D140" s="8"/>
      <c r="E140" s="8"/>
      <c r="F140" s="8"/>
      <c r="G140" s="9"/>
      <c r="H140" s="8"/>
      <c r="I140" s="8"/>
      <c r="J140" s="8"/>
      <c r="K140" s="8"/>
      <c r="L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N140" s="9"/>
      <c r="AO140" s="9"/>
      <c r="AP140" s="9"/>
      <c r="AQ140" s="9"/>
      <c r="AR140" s="9"/>
      <c r="AS140" s="9"/>
      <c r="AT140" s="9"/>
    </row>
    <row r="141" ht="17.25" customHeight="1" spans="1:46">
      <c r="A141" s="8"/>
      <c r="B141" s="8"/>
      <c r="C141" s="8"/>
      <c r="D141" s="8"/>
      <c r="E141" s="8"/>
      <c r="F141" s="8"/>
      <c r="G141" s="9"/>
      <c r="H141" s="8"/>
      <c r="I141" s="8"/>
      <c r="J141" s="8"/>
      <c r="K141" s="8"/>
      <c r="L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N141" s="9"/>
      <c r="AO141" s="9"/>
      <c r="AP141" s="9"/>
      <c r="AQ141" s="9"/>
      <c r="AR141" s="9"/>
      <c r="AS141" s="9"/>
      <c r="AT141" s="9"/>
    </row>
    <row r="142" ht="17.25" customHeight="1" spans="1:46">
      <c r="A142" s="8"/>
      <c r="B142" s="8"/>
      <c r="C142" s="8"/>
      <c r="D142" s="8"/>
      <c r="E142" s="8"/>
      <c r="F142" s="8"/>
      <c r="G142" s="9"/>
      <c r="H142" s="8"/>
      <c r="I142" s="8"/>
      <c r="J142" s="8"/>
      <c r="K142" s="8"/>
      <c r="L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N142" s="9"/>
      <c r="AO142" s="9"/>
      <c r="AP142" s="9"/>
      <c r="AQ142" s="9"/>
      <c r="AR142" s="9"/>
      <c r="AS142" s="9"/>
      <c r="AT142" s="9"/>
    </row>
    <row r="143" ht="17.25" customHeight="1" spans="1:46">
      <c r="A143" s="8"/>
      <c r="B143" s="8"/>
      <c r="C143" s="8"/>
      <c r="D143" s="8"/>
      <c r="E143" s="8"/>
      <c r="F143" s="8"/>
      <c r="G143" s="9"/>
      <c r="H143" s="8"/>
      <c r="I143" s="8"/>
      <c r="J143" s="8"/>
      <c r="K143" s="8"/>
      <c r="L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N143" s="9"/>
      <c r="AO143" s="9"/>
      <c r="AP143" s="9"/>
      <c r="AQ143" s="9"/>
      <c r="AR143" s="9"/>
      <c r="AS143" s="9"/>
      <c r="AT143" s="9"/>
    </row>
    <row r="144" ht="17.25" customHeight="1" spans="1:46">
      <c r="A144" s="8"/>
      <c r="B144" s="8"/>
      <c r="C144" s="8"/>
      <c r="D144" s="8"/>
      <c r="E144" s="8"/>
      <c r="F144" s="8"/>
      <c r="G144" s="9"/>
      <c r="H144" s="8"/>
      <c r="I144" s="8"/>
      <c r="J144" s="8"/>
      <c r="K144" s="8"/>
      <c r="L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N144" s="9"/>
      <c r="AO144" s="9"/>
      <c r="AP144" s="9"/>
      <c r="AQ144" s="9"/>
      <c r="AR144" s="9"/>
      <c r="AS144" s="9"/>
      <c r="AT144" s="9"/>
    </row>
    <row r="145" ht="17.25" customHeight="1" spans="1:46">
      <c r="A145" s="8"/>
      <c r="B145" s="8"/>
      <c r="C145" s="8"/>
      <c r="D145" s="8"/>
      <c r="E145" s="8"/>
      <c r="F145" s="8"/>
      <c r="G145" s="9"/>
      <c r="H145" s="8"/>
      <c r="I145" s="8"/>
      <c r="J145" s="8"/>
      <c r="K145" s="8"/>
      <c r="L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N145" s="9"/>
      <c r="AO145" s="9"/>
      <c r="AP145" s="9"/>
      <c r="AQ145" s="9"/>
      <c r="AR145" s="9"/>
      <c r="AS145" s="9"/>
      <c r="AT145" s="9"/>
    </row>
    <row r="146" ht="17.25" customHeight="1" spans="1:46">
      <c r="A146" s="8"/>
      <c r="B146" s="8"/>
      <c r="C146" s="8"/>
      <c r="D146" s="8"/>
      <c r="E146" s="8"/>
      <c r="F146" s="8"/>
      <c r="G146" s="9"/>
      <c r="H146" s="8"/>
      <c r="I146" s="8"/>
      <c r="J146" s="8"/>
      <c r="K146" s="8"/>
      <c r="L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N146" s="9"/>
      <c r="AO146" s="9"/>
      <c r="AP146" s="9"/>
      <c r="AQ146" s="9"/>
      <c r="AR146" s="9"/>
      <c r="AS146" s="9"/>
      <c r="AT146" s="9"/>
    </row>
    <row r="147" ht="17.25" customHeight="1" spans="1:46">
      <c r="A147" s="8"/>
      <c r="B147" s="8"/>
      <c r="C147" s="8"/>
      <c r="D147" s="8"/>
      <c r="E147" s="8"/>
      <c r="F147" s="8"/>
      <c r="G147" s="9"/>
      <c r="H147" s="8"/>
      <c r="I147" s="8"/>
      <c r="J147" s="8"/>
      <c r="K147" s="8"/>
      <c r="L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N147" s="9"/>
      <c r="AO147" s="9"/>
      <c r="AP147" s="9"/>
      <c r="AQ147" s="9"/>
      <c r="AR147" s="9"/>
      <c r="AS147" s="9"/>
      <c r="AT147" s="9"/>
    </row>
    <row r="148" ht="17.25" customHeight="1" spans="1:46">
      <c r="A148" s="8"/>
      <c r="B148" s="8"/>
      <c r="C148" s="8"/>
      <c r="D148" s="8"/>
      <c r="E148" s="8"/>
      <c r="F148" s="8"/>
      <c r="G148" s="9"/>
      <c r="H148" s="8"/>
      <c r="I148" s="8"/>
      <c r="J148" s="8"/>
      <c r="K148" s="8"/>
      <c r="L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N148" s="9"/>
      <c r="AO148" s="9"/>
      <c r="AP148" s="9"/>
      <c r="AQ148" s="9"/>
      <c r="AR148" s="9"/>
      <c r="AS148" s="9"/>
      <c r="AT148" s="9"/>
    </row>
    <row r="149" ht="17.25" customHeight="1" spans="1:46">
      <c r="A149" s="8"/>
      <c r="B149" s="8"/>
      <c r="C149" s="8"/>
      <c r="D149" s="8"/>
      <c r="E149" s="8"/>
      <c r="F149" s="8"/>
      <c r="G149" s="9"/>
      <c r="H149" s="8"/>
      <c r="I149" s="8"/>
      <c r="J149" s="8"/>
      <c r="K149" s="8"/>
      <c r="L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N149" s="9"/>
      <c r="AO149" s="9"/>
      <c r="AP149" s="9"/>
      <c r="AQ149" s="9"/>
      <c r="AR149" s="9"/>
      <c r="AS149" s="9"/>
      <c r="AT149" s="9"/>
    </row>
    <row r="150" ht="17.25" customHeight="1" spans="1:46">
      <c r="A150" s="8"/>
      <c r="B150" s="8"/>
      <c r="C150" s="8"/>
      <c r="D150" s="8"/>
      <c r="E150" s="8"/>
      <c r="F150" s="8"/>
      <c r="G150" s="9"/>
      <c r="H150" s="8"/>
      <c r="I150" s="8"/>
      <c r="J150" s="8"/>
      <c r="K150" s="8"/>
      <c r="L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N150" s="9"/>
      <c r="AO150" s="9"/>
      <c r="AP150" s="9"/>
      <c r="AQ150" s="9"/>
      <c r="AR150" s="9"/>
      <c r="AS150" s="9"/>
      <c r="AT150" s="9"/>
    </row>
    <row r="151" ht="17.25" customHeight="1" spans="1:46">
      <c r="A151" s="8"/>
      <c r="B151" s="8"/>
      <c r="C151" s="8"/>
      <c r="D151" s="8"/>
      <c r="E151" s="8"/>
      <c r="F151" s="8"/>
      <c r="G151" s="9"/>
      <c r="H151" s="8"/>
      <c r="I151" s="8"/>
      <c r="J151" s="8"/>
      <c r="K151" s="8"/>
      <c r="L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N151" s="9"/>
      <c r="AO151" s="9"/>
      <c r="AP151" s="9"/>
      <c r="AQ151" s="9"/>
      <c r="AR151" s="9"/>
      <c r="AS151" s="9"/>
      <c r="AT151" s="9"/>
    </row>
    <row r="152" ht="17.25" customHeight="1" spans="1:46">
      <c r="A152" s="8"/>
      <c r="B152" s="8"/>
      <c r="C152" s="8"/>
      <c r="D152" s="8"/>
      <c r="E152" s="8"/>
      <c r="F152" s="8"/>
      <c r="G152" s="9"/>
      <c r="H152" s="8"/>
      <c r="I152" s="8"/>
      <c r="J152" s="8"/>
      <c r="K152" s="8"/>
      <c r="L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N152" s="9"/>
      <c r="AO152" s="9"/>
      <c r="AP152" s="9"/>
      <c r="AQ152" s="9"/>
      <c r="AR152" s="9"/>
      <c r="AS152" s="9"/>
      <c r="AT152" s="9"/>
    </row>
    <row r="153" ht="17.25" customHeight="1" spans="1:46">
      <c r="A153" s="8"/>
      <c r="B153" s="8"/>
      <c r="C153" s="8"/>
      <c r="D153" s="8"/>
      <c r="E153" s="8"/>
      <c r="F153" s="8"/>
      <c r="G153" s="9"/>
      <c r="H153" s="8"/>
      <c r="I153" s="8"/>
      <c r="J153" s="8"/>
      <c r="K153" s="8"/>
      <c r="L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N153" s="9"/>
      <c r="AO153" s="9"/>
      <c r="AP153" s="9"/>
      <c r="AQ153" s="9"/>
      <c r="AR153" s="9"/>
      <c r="AS153" s="9"/>
      <c r="AT153" s="9"/>
    </row>
    <row r="154" ht="17.25" customHeight="1" spans="1:46">
      <c r="A154" s="8"/>
      <c r="B154" s="8"/>
      <c r="C154" s="8"/>
      <c r="D154" s="8"/>
      <c r="E154" s="8"/>
      <c r="F154" s="8"/>
      <c r="G154" s="9"/>
      <c r="H154" s="8"/>
      <c r="I154" s="8"/>
      <c r="J154" s="8"/>
      <c r="K154" s="8"/>
      <c r="L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N154" s="9"/>
      <c r="AO154" s="9"/>
      <c r="AP154" s="9"/>
      <c r="AQ154" s="9"/>
      <c r="AR154" s="9"/>
      <c r="AS154" s="9"/>
      <c r="AT154" s="9"/>
    </row>
    <row r="155" ht="17.25" customHeight="1" spans="1:46">
      <c r="A155" s="8"/>
      <c r="B155" s="8"/>
      <c r="C155" s="8"/>
      <c r="D155" s="8"/>
      <c r="E155" s="8"/>
      <c r="F155" s="8"/>
      <c r="G155" s="9"/>
      <c r="H155" s="8"/>
      <c r="I155" s="8"/>
      <c r="J155" s="8"/>
      <c r="K155" s="8"/>
      <c r="L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N155" s="9"/>
      <c r="AO155" s="9"/>
      <c r="AP155" s="9"/>
      <c r="AQ155" s="9"/>
      <c r="AR155" s="9"/>
      <c r="AS155" s="9"/>
      <c r="AT155" s="9"/>
    </row>
    <row r="156" ht="17.25" customHeight="1" spans="1:46">
      <c r="A156" s="8"/>
      <c r="B156" s="8"/>
      <c r="C156" s="8"/>
      <c r="D156" s="8"/>
      <c r="E156" s="8"/>
      <c r="F156" s="8"/>
      <c r="G156" s="9"/>
      <c r="H156" s="8"/>
      <c r="I156" s="8"/>
      <c r="J156" s="8"/>
      <c r="K156" s="8"/>
      <c r="L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N156" s="9"/>
      <c r="AO156" s="9"/>
      <c r="AP156" s="9"/>
      <c r="AQ156" s="9"/>
      <c r="AR156" s="9"/>
      <c r="AS156" s="9"/>
      <c r="AT156" s="9"/>
    </row>
    <row r="157" ht="17.25" customHeight="1" spans="1:46">
      <c r="A157" s="8"/>
      <c r="B157" s="8"/>
      <c r="C157" s="8"/>
      <c r="D157" s="8"/>
      <c r="E157" s="8"/>
      <c r="F157" s="8"/>
      <c r="G157" s="9"/>
      <c r="H157" s="8"/>
      <c r="I157" s="8"/>
      <c r="J157" s="8"/>
      <c r="K157" s="8"/>
      <c r="L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N157" s="9"/>
      <c r="AO157" s="9"/>
      <c r="AP157" s="9"/>
      <c r="AQ157" s="9"/>
      <c r="AR157" s="9"/>
      <c r="AS157" s="9"/>
      <c r="AT157" s="9"/>
    </row>
    <row r="158" ht="17.25" customHeight="1" spans="1:46">
      <c r="A158" s="8"/>
      <c r="B158" s="8"/>
      <c r="C158" s="8"/>
      <c r="D158" s="8"/>
      <c r="E158" s="8"/>
      <c r="F158" s="8"/>
      <c r="G158" s="9"/>
      <c r="H158" s="8"/>
      <c r="I158" s="8"/>
      <c r="J158" s="8"/>
      <c r="K158" s="8"/>
      <c r="L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N158" s="9"/>
      <c r="AO158" s="9"/>
      <c r="AP158" s="9"/>
      <c r="AQ158" s="9"/>
      <c r="AR158" s="9"/>
      <c r="AS158" s="9"/>
      <c r="AT158" s="9"/>
    </row>
    <row r="159" ht="17.25" customHeight="1" spans="1:46">
      <c r="A159" s="8"/>
      <c r="B159" s="8"/>
      <c r="C159" s="8"/>
      <c r="D159" s="8"/>
      <c r="E159" s="8"/>
      <c r="F159" s="8"/>
      <c r="G159" s="9"/>
      <c r="H159" s="8"/>
      <c r="I159" s="8"/>
      <c r="J159" s="8"/>
      <c r="K159" s="8"/>
      <c r="L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N159" s="9"/>
      <c r="AO159" s="9"/>
      <c r="AP159" s="9"/>
      <c r="AQ159" s="9"/>
      <c r="AR159" s="9"/>
      <c r="AS159" s="9"/>
      <c r="AT159" s="9"/>
    </row>
    <row r="160" ht="17.25" customHeight="1" spans="1:46">
      <c r="A160" s="8"/>
      <c r="B160" s="8"/>
      <c r="C160" s="8"/>
      <c r="D160" s="8"/>
      <c r="E160" s="8"/>
      <c r="F160" s="8"/>
      <c r="G160" s="9"/>
      <c r="H160" s="8"/>
      <c r="I160" s="8"/>
      <c r="J160" s="8"/>
      <c r="K160" s="8"/>
      <c r="L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N160" s="9"/>
      <c r="AO160" s="9"/>
      <c r="AP160" s="9"/>
      <c r="AQ160" s="9"/>
      <c r="AR160" s="9"/>
      <c r="AS160" s="9"/>
      <c r="AT160" s="9"/>
    </row>
    <row r="161" ht="17.25" customHeight="1" spans="1:46">
      <c r="A161" s="8"/>
      <c r="B161" s="8"/>
      <c r="C161" s="8"/>
      <c r="D161" s="8"/>
      <c r="E161" s="8"/>
      <c r="F161" s="8"/>
      <c r="G161" s="9"/>
      <c r="H161" s="8"/>
      <c r="I161" s="8"/>
      <c r="J161" s="8"/>
      <c r="K161" s="8"/>
      <c r="L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N161" s="9"/>
      <c r="AO161" s="9"/>
      <c r="AP161" s="9"/>
      <c r="AQ161" s="9"/>
      <c r="AR161" s="9"/>
      <c r="AS161" s="9"/>
      <c r="AT161" s="9"/>
    </row>
    <row r="162" ht="17.25" customHeight="1" spans="1:46">
      <c r="A162" s="8"/>
      <c r="B162" s="8"/>
      <c r="C162" s="8"/>
      <c r="D162" s="8"/>
      <c r="E162" s="8"/>
      <c r="F162" s="8"/>
      <c r="G162" s="9"/>
      <c r="H162" s="8"/>
      <c r="I162" s="8"/>
      <c r="J162" s="8"/>
      <c r="K162" s="8"/>
      <c r="L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N162" s="9"/>
      <c r="AO162" s="9"/>
      <c r="AP162" s="9"/>
      <c r="AQ162" s="9"/>
      <c r="AR162" s="9"/>
      <c r="AS162" s="9"/>
      <c r="AT162" s="9"/>
    </row>
    <row r="163" ht="17.25" customHeight="1" spans="1:46">
      <c r="A163" s="8"/>
      <c r="B163" s="8"/>
      <c r="C163" s="8"/>
      <c r="D163" s="8"/>
      <c r="E163" s="8"/>
      <c r="F163" s="8"/>
      <c r="G163" s="9"/>
      <c r="H163" s="8"/>
      <c r="I163" s="8"/>
      <c r="J163" s="8"/>
      <c r="K163" s="8"/>
      <c r="L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N163" s="9"/>
      <c r="AO163" s="9"/>
      <c r="AP163" s="9"/>
      <c r="AQ163" s="9"/>
      <c r="AR163" s="9"/>
      <c r="AS163" s="9"/>
      <c r="AT163" s="9"/>
    </row>
    <row r="164" ht="17.25" customHeight="1" spans="1:46">
      <c r="A164" s="8"/>
      <c r="B164" s="8"/>
      <c r="C164" s="8"/>
      <c r="D164" s="8"/>
      <c r="E164" s="8"/>
      <c r="F164" s="8"/>
      <c r="G164" s="9"/>
      <c r="H164" s="8"/>
      <c r="I164" s="8"/>
      <c r="J164" s="8"/>
      <c r="K164" s="8"/>
      <c r="L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N164" s="9"/>
      <c r="AO164" s="9"/>
      <c r="AP164" s="9"/>
      <c r="AQ164" s="9"/>
      <c r="AR164" s="9"/>
      <c r="AS164" s="9"/>
      <c r="AT164" s="9"/>
    </row>
    <row r="165" ht="17.25" customHeight="1" spans="1:46">
      <c r="A165" s="8"/>
      <c r="B165" s="8"/>
      <c r="C165" s="8"/>
      <c r="D165" s="8"/>
      <c r="E165" s="8"/>
      <c r="F165" s="8"/>
      <c r="G165" s="9"/>
      <c r="H165" s="8"/>
      <c r="I165" s="8"/>
      <c r="J165" s="8"/>
      <c r="K165" s="8"/>
      <c r="L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N165" s="9"/>
      <c r="AO165" s="9"/>
      <c r="AP165" s="9"/>
      <c r="AQ165" s="9"/>
      <c r="AR165" s="9"/>
      <c r="AS165" s="9"/>
      <c r="AT165" s="9"/>
    </row>
    <row r="166" ht="17.25" customHeight="1" spans="1:46">
      <c r="A166" s="8"/>
      <c r="B166" s="8"/>
      <c r="C166" s="8"/>
      <c r="D166" s="8"/>
      <c r="E166" s="8"/>
      <c r="F166" s="8"/>
      <c r="G166" s="9"/>
      <c r="H166" s="8"/>
      <c r="I166" s="8"/>
      <c r="J166" s="8"/>
      <c r="K166" s="8"/>
      <c r="L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N166" s="9"/>
      <c r="AO166" s="9"/>
      <c r="AP166" s="9"/>
      <c r="AQ166" s="9"/>
      <c r="AR166" s="9"/>
      <c r="AS166" s="9"/>
      <c r="AT166" s="9"/>
    </row>
    <row r="167" ht="17.25" customHeight="1" spans="1:46">
      <c r="A167" s="8"/>
      <c r="B167" s="8"/>
      <c r="C167" s="8"/>
      <c r="D167" s="8"/>
      <c r="E167" s="8"/>
      <c r="F167" s="8"/>
      <c r="G167" s="9"/>
      <c r="H167" s="8"/>
      <c r="I167" s="8"/>
      <c r="J167" s="8"/>
      <c r="K167" s="8"/>
      <c r="L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N167" s="9"/>
      <c r="AO167" s="9"/>
      <c r="AP167" s="9"/>
      <c r="AQ167" s="9"/>
      <c r="AR167" s="9"/>
      <c r="AS167" s="9"/>
      <c r="AT167" s="9"/>
    </row>
    <row r="168" ht="17.25" customHeight="1" spans="1:46">
      <c r="A168" s="8"/>
      <c r="B168" s="8"/>
      <c r="C168" s="8"/>
      <c r="D168" s="8"/>
      <c r="E168" s="8"/>
      <c r="F168" s="8"/>
      <c r="G168" s="9"/>
      <c r="H168" s="8"/>
      <c r="I168" s="8"/>
      <c r="J168" s="8"/>
      <c r="K168" s="8"/>
      <c r="L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N168" s="9"/>
      <c r="AO168" s="9"/>
      <c r="AP168" s="9"/>
      <c r="AQ168" s="9"/>
      <c r="AR168" s="9"/>
      <c r="AS168" s="9"/>
      <c r="AT168" s="9"/>
    </row>
    <row r="169" ht="17.25" customHeight="1" spans="1:46">
      <c r="A169" s="8"/>
      <c r="B169" s="8"/>
      <c r="C169" s="8"/>
      <c r="D169" s="8"/>
      <c r="E169" s="8"/>
      <c r="F169" s="8"/>
      <c r="G169" s="9"/>
      <c r="H169" s="8"/>
      <c r="I169" s="8"/>
      <c r="J169" s="8"/>
      <c r="K169" s="8"/>
      <c r="L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N169" s="9"/>
      <c r="AO169" s="9"/>
      <c r="AP169" s="9"/>
      <c r="AQ169" s="9"/>
      <c r="AR169" s="9"/>
      <c r="AS169" s="9"/>
      <c r="AT169" s="9"/>
    </row>
    <row r="170" ht="17.25" customHeight="1" spans="1:46">
      <c r="A170" s="8"/>
      <c r="B170" s="8"/>
      <c r="C170" s="8"/>
      <c r="D170" s="8"/>
      <c r="E170" s="8"/>
      <c r="F170" s="8"/>
      <c r="G170" s="9"/>
      <c r="H170" s="8"/>
      <c r="I170" s="8"/>
      <c r="J170" s="8"/>
      <c r="K170" s="8"/>
      <c r="L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N170" s="9"/>
      <c r="AO170" s="9"/>
      <c r="AP170" s="9"/>
      <c r="AQ170" s="9"/>
      <c r="AR170" s="9"/>
      <c r="AS170" s="9"/>
      <c r="AT170" s="9"/>
    </row>
    <row r="171" ht="17.25" customHeight="1" spans="1:46">
      <c r="A171" s="8"/>
      <c r="B171" s="8"/>
      <c r="C171" s="8"/>
      <c r="D171" s="8"/>
      <c r="E171" s="8"/>
      <c r="F171" s="8"/>
      <c r="G171" s="9"/>
      <c r="H171" s="8"/>
      <c r="I171" s="8"/>
      <c r="J171" s="8"/>
      <c r="K171" s="8"/>
      <c r="L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N171" s="9"/>
      <c r="AO171" s="9"/>
      <c r="AP171" s="9"/>
      <c r="AQ171" s="9"/>
      <c r="AR171" s="9"/>
      <c r="AS171" s="9"/>
      <c r="AT171" s="9"/>
    </row>
    <row r="172" ht="17.25" customHeight="1" spans="1:46">
      <c r="A172" s="8"/>
      <c r="B172" s="8"/>
      <c r="C172" s="8"/>
      <c r="D172" s="8"/>
      <c r="E172" s="8"/>
      <c r="F172" s="8"/>
      <c r="G172" s="9"/>
      <c r="H172" s="8"/>
      <c r="I172" s="8"/>
      <c r="J172" s="8"/>
      <c r="K172" s="8"/>
      <c r="L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N172" s="9"/>
      <c r="AO172" s="9"/>
      <c r="AP172" s="9"/>
      <c r="AQ172" s="9"/>
      <c r="AR172" s="9"/>
      <c r="AS172" s="9"/>
      <c r="AT172" s="9"/>
    </row>
    <row r="173" ht="17.25" customHeight="1" spans="1:46">
      <c r="A173" s="8"/>
      <c r="B173" s="8"/>
      <c r="C173" s="8"/>
      <c r="D173" s="8"/>
      <c r="E173" s="8"/>
      <c r="F173" s="8"/>
      <c r="G173" s="9"/>
      <c r="H173" s="8"/>
      <c r="I173" s="8"/>
      <c r="J173" s="8"/>
      <c r="K173" s="8"/>
      <c r="L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N173" s="9"/>
      <c r="AO173" s="9"/>
      <c r="AP173" s="9"/>
      <c r="AQ173" s="9"/>
      <c r="AR173" s="9"/>
      <c r="AS173" s="9"/>
      <c r="AT173" s="9"/>
    </row>
    <row r="174" ht="17.25" customHeight="1" spans="1:46">
      <c r="A174" s="8"/>
      <c r="B174" s="8"/>
      <c r="C174" s="8"/>
      <c r="D174" s="8"/>
      <c r="E174" s="8"/>
      <c r="F174" s="8"/>
      <c r="G174" s="9"/>
      <c r="H174" s="8"/>
      <c r="I174" s="8"/>
      <c r="J174" s="8"/>
      <c r="K174" s="8"/>
      <c r="L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N174" s="9"/>
      <c r="AO174" s="9"/>
      <c r="AP174" s="9"/>
      <c r="AQ174" s="9"/>
      <c r="AR174" s="9"/>
      <c r="AS174" s="9"/>
      <c r="AT174" s="9"/>
    </row>
    <row r="175" ht="17.25" customHeight="1" spans="1:46">
      <c r="A175" s="8"/>
      <c r="B175" s="8"/>
      <c r="C175" s="8"/>
      <c r="D175" s="8"/>
      <c r="E175" s="8"/>
      <c r="F175" s="8"/>
      <c r="G175" s="9"/>
      <c r="H175" s="8"/>
      <c r="I175" s="8"/>
      <c r="J175" s="8"/>
      <c r="K175" s="8"/>
      <c r="L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N175" s="9"/>
      <c r="AO175" s="9"/>
      <c r="AP175" s="9"/>
      <c r="AQ175" s="9"/>
      <c r="AR175" s="9"/>
      <c r="AS175" s="9"/>
      <c r="AT175" s="9"/>
    </row>
    <row r="176" ht="17.25" customHeight="1" spans="1:46">
      <c r="A176" s="8"/>
      <c r="B176" s="8"/>
      <c r="C176" s="8"/>
      <c r="D176" s="8"/>
      <c r="E176" s="8"/>
      <c r="F176" s="8"/>
      <c r="G176" s="9"/>
      <c r="H176" s="8"/>
      <c r="I176" s="8"/>
      <c r="J176" s="8"/>
      <c r="K176" s="8"/>
      <c r="L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N176" s="9"/>
      <c r="AO176" s="9"/>
      <c r="AP176" s="9"/>
      <c r="AQ176" s="9"/>
      <c r="AR176" s="9"/>
      <c r="AS176" s="9"/>
      <c r="AT176" s="9"/>
    </row>
    <row r="177" ht="17.25" customHeight="1" spans="1:46">
      <c r="A177" s="8"/>
      <c r="B177" s="8"/>
      <c r="C177" s="8"/>
      <c r="D177" s="8"/>
      <c r="E177" s="8"/>
      <c r="F177" s="8"/>
      <c r="G177" s="9"/>
      <c r="H177" s="8"/>
      <c r="I177" s="8"/>
      <c r="J177" s="8"/>
      <c r="K177" s="8"/>
      <c r="L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N177" s="9"/>
      <c r="AO177" s="9"/>
      <c r="AP177" s="9"/>
      <c r="AQ177" s="9"/>
      <c r="AR177" s="9"/>
      <c r="AS177" s="9"/>
      <c r="AT177" s="9"/>
    </row>
    <row r="178" ht="17.25" customHeight="1" spans="1:46">
      <c r="A178" s="8"/>
      <c r="B178" s="8"/>
      <c r="C178" s="8"/>
      <c r="D178" s="8"/>
      <c r="E178" s="8"/>
      <c r="F178" s="8"/>
      <c r="G178" s="9"/>
      <c r="H178" s="8"/>
      <c r="I178" s="8"/>
      <c r="J178" s="8"/>
      <c r="K178" s="8"/>
      <c r="L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N178" s="9"/>
      <c r="AO178" s="9"/>
      <c r="AP178" s="9"/>
      <c r="AQ178" s="9"/>
      <c r="AR178" s="9"/>
      <c r="AS178" s="9"/>
      <c r="AT178" s="9"/>
    </row>
    <row r="179" ht="17.25" customHeight="1" spans="1:46">
      <c r="A179" s="8"/>
      <c r="B179" s="8"/>
      <c r="C179" s="8"/>
      <c r="D179" s="8"/>
      <c r="E179" s="8"/>
      <c r="F179" s="8"/>
      <c r="G179" s="9"/>
      <c r="H179" s="8"/>
      <c r="I179" s="8"/>
      <c r="J179" s="8"/>
      <c r="K179" s="8"/>
      <c r="L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N179" s="9"/>
      <c r="AO179" s="9"/>
      <c r="AP179" s="9"/>
      <c r="AQ179" s="9"/>
      <c r="AR179" s="9"/>
      <c r="AS179" s="9"/>
      <c r="AT179" s="9"/>
    </row>
    <row r="180" ht="17.25" customHeight="1" spans="1:46">
      <c r="A180" s="8"/>
      <c r="B180" s="8"/>
      <c r="C180" s="8"/>
      <c r="D180" s="8"/>
      <c r="E180" s="8"/>
      <c r="F180" s="8"/>
      <c r="G180" s="9"/>
      <c r="H180" s="8"/>
      <c r="I180" s="8"/>
      <c r="J180" s="8"/>
      <c r="K180" s="8"/>
      <c r="L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N180" s="9"/>
      <c r="AO180" s="9"/>
      <c r="AP180" s="9"/>
      <c r="AQ180" s="9"/>
      <c r="AR180" s="9"/>
      <c r="AS180" s="9"/>
      <c r="AT180" s="9"/>
    </row>
    <row r="181" ht="17.25" customHeight="1" spans="1:46">
      <c r="A181" s="8"/>
      <c r="B181" s="8"/>
      <c r="C181" s="8"/>
      <c r="D181" s="8"/>
      <c r="E181" s="8"/>
      <c r="F181" s="8"/>
      <c r="G181" s="9"/>
      <c r="H181" s="8"/>
      <c r="I181" s="8"/>
      <c r="J181" s="8"/>
      <c r="K181" s="8"/>
      <c r="L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N181" s="9"/>
      <c r="AO181" s="9"/>
      <c r="AP181" s="9"/>
      <c r="AQ181" s="9"/>
      <c r="AR181" s="9"/>
      <c r="AS181" s="9"/>
      <c r="AT181" s="9"/>
    </row>
    <row r="182" ht="17.25" customHeight="1" spans="1:46">
      <c r="A182" s="8"/>
      <c r="B182" s="8"/>
      <c r="C182" s="8"/>
      <c r="D182" s="8"/>
      <c r="E182" s="8"/>
      <c r="F182" s="8"/>
      <c r="G182" s="9"/>
      <c r="H182" s="8"/>
      <c r="I182" s="8"/>
      <c r="J182" s="8"/>
      <c r="K182" s="8"/>
      <c r="L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N182" s="9"/>
      <c r="AO182" s="9"/>
      <c r="AP182" s="9"/>
      <c r="AQ182" s="9"/>
      <c r="AR182" s="9"/>
      <c r="AS182" s="9"/>
      <c r="AT182" s="9"/>
    </row>
    <row r="183" ht="17.25" customHeight="1" spans="1:46">
      <c r="A183" s="8"/>
      <c r="B183" s="8"/>
      <c r="C183" s="8"/>
      <c r="D183" s="8"/>
      <c r="E183" s="8"/>
      <c r="F183" s="8"/>
      <c r="G183" s="9"/>
      <c r="H183" s="8"/>
      <c r="I183" s="8"/>
      <c r="J183" s="8"/>
      <c r="K183" s="8"/>
      <c r="L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N183" s="9"/>
      <c r="AO183" s="9"/>
      <c r="AP183" s="9"/>
      <c r="AQ183" s="9"/>
      <c r="AR183" s="9"/>
      <c r="AS183" s="9"/>
      <c r="AT183" s="9"/>
    </row>
    <row r="184" ht="17.25" customHeight="1" spans="1:46">
      <c r="A184" s="8"/>
      <c r="B184" s="8"/>
      <c r="C184" s="8"/>
      <c r="D184" s="8"/>
      <c r="E184" s="8"/>
      <c r="F184" s="8"/>
      <c r="G184" s="9"/>
      <c r="H184" s="8"/>
      <c r="I184" s="8"/>
      <c r="J184" s="8"/>
      <c r="K184" s="8"/>
      <c r="L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N184" s="9"/>
      <c r="AO184" s="9"/>
      <c r="AP184" s="9"/>
      <c r="AQ184" s="9"/>
      <c r="AR184" s="9"/>
      <c r="AS184" s="9"/>
      <c r="AT184" s="9"/>
    </row>
    <row r="185" ht="17.25" customHeight="1" spans="1:46">
      <c r="A185" s="8"/>
      <c r="B185" s="8"/>
      <c r="C185" s="8"/>
      <c r="D185" s="8"/>
      <c r="E185" s="8"/>
      <c r="F185" s="8"/>
      <c r="G185" s="9"/>
      <c r="H185" s="8"/>
      <c r="I185" s="8"/>
      <c r="J185" s="8"/>
      <c r="K185" s="8"/>
      <c r="L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N185" s="9"/>
      <c r="AO185" s="9"/>
      <c r="AP185" s="9"/>
      <c r="AQ185" s="9"/>
      <c r="AR185" s="9"/>
      <c r="AS185" s="9"/>
      <c r="AT185" s="9"/>
    </row>
    <row r="186" ht="17.25" customHeight="1" spans="1:46">
      <c r="A186" s="8"/>
      <c r="B186" s="8"/>
      <c r="C186" s="8"/>
      <c r="D186" s="8"/>
      <c r="E186" s="8"/>
      <c r="F186" s="8"/>
      <c r="G186" s="9"/>
      <c r="H186" s="8"/>
      <c r="I186" s="8"/>
      <c r="J186" s="8"/>
      <c r="K186" s="8"/>
      <c r="L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N186" s="9"/>
      <c r="AO186" s="9"/>
      <c r="AP186" s="9"/>
      <c r="AQ186" s="9"/>
      <c r="AR186" s="9"/>
      <c r="AS186" s="9"/>
      <c r="AT186" s="9"/>
    </row>
    <row r="187" ht="17.25" customHeight="1" spans="1:46">
      <c r="A187" s="8"/>
      <c r="B187" s="8"/>
      <c r="C187" s="8"/>
      <c r="D187" s="8"/>
      <c r="E187" s="8"/>
      <c r="F187" s="8"/>
      <c r="G187" s="9"/>
      <c r="H187" s="8"/>
      <c r="I187" s="8"/>
      <c r="J187" s="8"/>
      <c r="K187" s="8"/>
      <c r="L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N187" s="9"/>
      <c r="AO187" s="9"/>
      <c r="AP187" s="9"/>
      <c r="AQ187" s="9"/>
      <c r="AR187" s="9"/>
      <c r="AS187" s="9"/>
      <c r="AT187" s="9"/>
    </row>
    <row r="188" ht="17.25" customHeight="1" spans="1:46">
      <c r="A188" s="8"/>
      <c r="B188" s="8"/>
      <c r="C188" s="8"/>
      <c r="D188" s="8"/>
      <c r="E188" s="8"/>
      <c r="F188" s="8"/>
      <c r="G188" s="9"/>
      <c r="H188" s="8"/>
      <c r="I188" s="8"/>
      <c r="J188" s="8"/>
      <c r="K188" s="8"/>
      <c r="L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N188" s="9"/>
      <c r="AO188" s="9"/>
      <c r="AP188" s="9"/>
      <c r="AQ188" s="9"/>
      <c r="AR188" s="9"/>
      <c r="AS188" s="9"/>
      <c r="AT188" s="9"/>
    </row>
    <row r="189" ht="17.25" customHeight="1" spans="1:46">
      <c r="A189" s="8"/>
      <c r="B189" s="8"/>
      <c r="C189" s="8"/>
      <c r="D189" s="8"/>
      <c r="E189" s="8"/>
      <c r="F189" s="8"/>
      <c r="G189" s="9"/>
      <c r="H189" s="8"/>
      <c r="I189" s="8"/>
      <c r="J189" s="8"/>
      <c r="K189" s="8"/>
      <c r="L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N189" s="9"/>
      <c r="AO189" s="9"/>
      <c r="AP189" s="9"/>
      <c r="AQ189" s="9"/>
      <c r="AR189" s="9"/>
      <c r="AS189" s="9"/>
      <c r="AT189" s="9"/>
    </row>
    <row r="190" ht="17.25" customHeight="1" spans="1:46">
      <c r="A190" s="8"/>
      <c r="B190" s="8"/>
      <c r="C190" s="8"/>
      <c r="D190" s="8"/>
      <c r="E190" s="8"/>
      <c r="F190" s="8"/>
      <c r="G190" s="9"/>
      <c r="H190" s="8"/>
      <c r="I190" s="8"/>
      <c r="J190" s="8"/>
      <c r="K190" s="8"/>
      <c r="L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N190" s="9"/>
      <c r="AO190" s="9"/>
      <c r="AP190" s="9"/>
      <c r="AQ190" s="9"/>
      <c r="AR190" s="9"/>
      <c r="AS190" s="9"/>
      <c r="AT190" s="9"/>
    </row>
    <row r="191" ht="17.25" customHeight="1" spans="1:46">
      <c r="A191" s="8"/>
      <c r="B191" s="8"/>
      <c r="C191" s="8"/>
      <c r="D191" s="8"/>
      <c r="E191" s="8"/>
      <c r="F191" s="8"/>
      <c r="G191" s="9"/>
      <c r="H191" s="8"/>
      <c r="I191" s="8"/>
      <c r="J191" s="8"/>
      <c r="K191" s="8"/>
      <c r="L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N191" s="9"/>
      <c r="AO191" s="9"/>
      <c r="AP191" s="9"/>
      <c r="AQ191" s="9"/>
      <c r="AR191" s="9"/>
      <c r="AS191" s="9"/>
      <c r="AT191" s="9"/>
    </row>
    <row r="192" ht="17.25" customHeight="1" spans="1:46">
      <c r="A192" s="8"/>
      <c r="B192" s="8"/>
      <c r="C192" s="8"/>
      <c r="D192" s="8"/>
      <c r="E192" s="8"/>
      <c r="F192" s="8"/>
      <c r="G192" s="9"/>
      <c r="H192" s="8"/>
      <c r="I192" s="8"/>
      <c r="J192" s="8"/>
      <c r="K192" s="8"/>
      <c r="L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N192" s="9"/>
      <c r="AO192" s="9"/>
      <c r="AP192" s="9"/>
      <c r="AQ192" s="9"/>
      <c r="AR192" s="9"/>
      <c r="AS192" s="9"/>
      <c r="AT192" s="9"/>
    </row>
    <row r="193" ht="17.25" customHeight="1" spans="1:46">
      <c r="A193" s="8"/>
      <c r="B193" s="8"/>
      <c r="C193" s="8"/>
      <c r="D193" s="8"/>
      <c r="E193" s="8"/>
      <c r="F193" s="8"/>
      <c r="G193" s="9"/>
      <c r="H193" s="8"/>
      <c r="I193" s="8"/>
      <c r="J193" s="8"/>
      <c r="K193" s="8"/>
      <c r="L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N193" s="9"/>
      <c r="AO193" s="9"/>
      <c r="AP193" s="9"/>
      <c r="AQ193" s="9"/>
      <c r="AR193" s="9"/>
      <c r="AS193" s="9"/>
      <c r="AT193" s="9"/>
    </row>
    <row r="194" ht="17.25" customHeight="1" spans="1:46">
      <c r="A194" s="8"/>
      <c r="B194" s="8"/>
      <c r="C194" s="8"/>
      <c r="D194" s="8"/>
      <c r="E194" s="8"/>
      <c r="F194" s="8"/>
      <c r="G194" s="9"/>
      <c r="H194" s="8"/>
      <c r="I194" s="8"/>
      <c r="J194" s="8"/>
      <c r="K194" s="8"/>
      <c r="L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N194" s="9"/>
      <c r="AO194" s="9"/>
      <c r="AP194" s="9"/>
      <c r="AQ194" s="9"/>
      <c r="AR194" s="9"/>
      <c r="AS194" s="9"/>
      <c r="AT194" s="9"/>
    </row>
    <row r="195" ht="17.25" customHeight="1" spans="1:46">
      <c r="A195" s="8"/>
      <c r="B195" s="8"/>
      <c r="C195" s="8"/>
      <c r="D195" s="8"/>
      <c r="E195" s="8"/>
      <c r="F195" s="8"/>
      <c r="G195" s="9"/>
      <c r="H195" s="8"/>
      <c r="I195" s="8"/>
      <c r="J195" s="8"/>
      <c r="K195" s="8"/>
      <c r="L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N195" s="9"/>
      <c r="AO195" s="9"/>
      <c r="AP195" s="9"/>
      <c r="AQ195" s="9"/>
      <c r="AR195" s="9"/>
      <c r="AS195" s="9"/>
      <c r="AT195" s="9"/>
    </row>
    <row r="196" ht="17.25" customHeight="1" spans="1:46">
      <c r="A196" s="8"/>
      <c r="B196" s="8"/>
      <c r="C196" s="8"/>
      <c r="D196" s="8"/>
      <c r="E196" s="8"/>
      <c r="F196" s="8"/>
      <c r="G196" s="9"/>
      <c r="H196" s="8"/>
      <c r="I196" s="8"/>
      <c r="J196" s="8"/>
      <c r="K196" s="8"/>
      <c r="L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N196" s="9"/>
      <c r="AO196" s="9"/>
      <c r="AP196" s="9"/>
      <c r="AQ196" s="9"/>
      <c r="AR196" s="9"/>
      <c r="AS196" s="9"/>
      <c r="AT196" s="9"/>
    </row>
    <row r="197" ht="17.25" customHeight="1" spans="1:46">
      <c r="A197" s="8"/>
      <c r="B197" s="8"/>
      <c r="C197" s="8"/>
      <c r="D197" s="8"/>
      <c r="E197" s="8"/>
      <c r="F197" s="8"/>
      <c r="G197" s="9"/>
      <c r="H197" s="8"/>
      <c r="I197" s="8"/>
      <c r="J197" s="8"/>
      <c r="K197" s="8"/>
      <c r="L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N197" s="9"/>
      <c r="AO197" s="9"/>
      <c r="AP197" s="9"/>
      <c r="AQ197" s="9"/>
      <c r="AR197" s="9"/>
      <c r="AS197" s="9"/>
      <c r="AT197" s="9"/>
    </row>
    <row r="198" ht="17.25" customHeight="1" spans="1:46">
      <c r="A198" s="8"/>
      <c r="B198" s="8"/>
      <c r="C198" s="8"/>
      <c r="D198" s="8"/>
      <c r="E198" s="8"/>
      <c r="F198" s="8"/>
      <c r="G198" s="9"/>
      <c r="H198" s="8"/>
      <c r="I198" s="8"/>
      <c r="J198" s="8"/>
      <c r="K198" s="8"/>
      <c r="L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N198" s="9"/>
      <c r="AO198" s="9"/>
      <c r="AP198" s="9"/>
      <c r="AQ198" s="9"/>
      <c r="AR198" s="9"/>
      <c r="AS198" s="9"/>
      <c r="AT198" s="9"/>
    </row>
    <row r="199" ht="17.25" customHeight="1" spans="1:46">
      <c r="A199" s="8"/>
      <c r="B199" s="8"/>
      <c r="C199" s="8"/>
      <c r="D199" s="8"/>
      <c r="E199" s="8"/>
      <c r="F199" s="8"/>
      <c r="G199" s="9"/>
      <c r="H199" s="8"/>
      <c r="I199" s="8"/>
      <c r="J199" s="8"/>
      <c r="K199" s="8"/>
      <c r="L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N199" s="9"/>
      <c r="AO199" s="9"/>
      <c r="AP199" s="9"/>
      <c r="AQ199" s="9"/>
      <c r="AR199" s="9"/>
      <c r="AS199" s="9"/>
      <c r="AT199" s="9"/>
    </row>
    <row r="200" ht="17.25" customHeight="1" spans="1:46">
      <c r="A200" s="8"/>
      <c r="B200" s="8"/>
      <c r="C200" s="8"/>
      <c r="D200" s="8"/>
      <c r="E200" s="8"/>
      <c r="F200" s="8"/>
      <c r="G200" s="9"/>
      <c r="H200" s="8"/>
      <c r="I200" s="8"/>
      <c r="J200" s="8"/>
      <c r="K200" s="8"/>
      <c r="L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N200" s="9"/>
      <c r="AO200" s="9"/>
      <c r="AP200" s="9"/>
      <c r="AQ200" s="9"/>
      <c r="AR200" s="9"/>
      <c r="AS200" s="9"/>
      <c r="AT200" s="9"/>
    </row>
    <row r="201" ht="17.25" customHeight="1" spans="1:46">
      <c r="A201" s="8"/>
      <c r="B201" s="8"/>
      <c r="C201" s="8"/>
      <c r="D201" s="8"/>
      <c r="E201" s="8"/>
      <c r="F201" s="8"/>
      <c r="G201" s="9"/>
      <c r="H201" s="8"/>
      <c r="I201" s="8"/>
      <c r="J201" s="8"/>
      <c r="K201" s="8"/>
      <c r="L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N201" s="9"/>
      <c r="AO201" s="9"/>
      <c r="AP201" s="9"/>
      <c r="AQ201" s="9"/>
      <c r="AR201" s="9"/>
      <c r="AS201" s="9"/>
      <c r="AT201" s="9"/>
    </row>
    <row r="202" ht="17.25" customHeight="1" spans="1:46">
      <c r="A202" s="8"/>
      <c r="B202" s="8"/>
      <c r="C202" s="8"/>
      <c r="D202" s="8"/>
      <c r="E202" s="8"/>
      <c r="F202" s="8"/>
      <c r="G202" s="9"/>
      <c r="H202" s="8"/>
      <c r="I202" s="8"/>
      <c r="J202" s="8"/>
      <c r="K202" s="8"/>
      <c r="L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N202" s="9"/>
      <c r="AO202" s="9"/>
      <c r="AP202" s="9"/>
      <c r="AQ202" s="9"/>
      <c r="AR202" s="9"/>
      <c r="AS202" s="9"/>
      <c r="AT202" s="9"/>
    </row>
    <row r="203" ht="17.25" customHeight="1" spans="1:46">
      <c r="A203" s="8"/>
      <c r="B203" s="8"/>
      <c r="C203" s="8"/>
      <c r="D203" s="8"/>
      <c r="E203" s="8"/>
      <c r="F203" s="8"/>
      <c r="G203" s="9"/>
      <c r="H203" s="8"/>
      <c r="I203" s="8"/>
      <c r="J203" s="8"/>
      <c r="K203" s="8"/>
      <c r="L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N203" s="9"/>
      <c r="AO203" s="9"/>
      <c r="AP203" s="9"/>
      <c r="AQ203" s="9"/>
      <c r="AR203" s="9"/>
      <c r="AS203" s="9"/>
      <c r="AT203" s="9"/>
    </row>
    <row r="204" ht="17.25" customHeight="1" spans="1:46">
      <c r="A204" s="8"/>
      <c r="B204" s="8"/>
      <c r="C204" s="8"/>
      <c r="D204" s="8"/>
      <c r="E204" s="8"/>
      <c r="F204" s="8"/>
      <c r="G204" s="9"/>
      <c r="H204" s="8"/>
      <c r="I204" s="8"/>
      <c r="J204" s="8"/>
      <c r="K204" s="8"/>
      <c r="L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N204" s="9"/>
      <c r="AO204" s="9"/>
      <c r="AP204" s="9"/>
      <c r="AQ204" s="9"/>
      <c r="AR204" s="9"/>
      <c r="AS204" s="9"/>
      <c r="AT204" s="9"/>
    </row>
    <row r="205" ht="17.25" customHeight="1" spans="1:46">
      <c r="A205" s="8"/>
      <c r="B205" s="8"/>
      <c r="C205" s="8"/>
      <c r="D205" s="8"/>
      <c r="E205" s="8"/>
      <c r="F205" s="8"/>
      <c r="G205" s="9"/>
      <c r="H205" s="8"/>
      <c r="I205" s="8"/>
      <c r="J205" s="8"/>
      <c r="K205" s="8"/>
      <c r="L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N205" s="9"/>
      <c r="AO205" s="9"/>
      <c r="AP205" s="9"/>
      <c r="AQ205" s="9"/>
      <c r="AR205" s="9"/>
      <c r="AS205" s="9"/>
      <c r="AT205" s="9"/>
    </row>
    <row r="206" ht="17.25" customHeight="1" spans="1:46">
      <c r="A206" s="8"/>
      <c r="B206" s="8"/>
      <c r="C206" s="8"/>
      <c r="D206" s="8"/>
      <c r="E206" s="8"/>
      <c r="F206" s="8"/>
      <c r="G206" s="9"/>
      <c r="H206" s="8"/>
      <c r="I206" s="8"/>
      <c r="J206" s="8"/>
      <c r="K206" s="8"/>
      <c r="L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N206" s="9"/>
      <c r="AO206" s="9"/>
      <c r="AP206" s="9"/>
      <c r="AQ206" s="9"/>
      <c r="AR206" s="9"/>
      <c r="AS206" s="9"/>
      <c r="AT206" s="9"/>
    </row>
    <row r="207" ht="17.25" customHeight="1" spans="1:46">
      <c r="A207" s="8"/>
      <c r="B207" s="8"/>
      <c r="C207" s="8"/>
      <c r="D207" s="8"/>
      <c r="E207" s="8"/>
      <c r="F207" s="8"/>
      <c r="G207" s="9"/>
      <c r="H207" s="8"/>
      <c r="I207" s="8"/>
      <c r="J207" s="8"/>
      <c r="K207" s="8"/>
      <c r="L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N207" s="9"/>
      <c r="AO207" s="9"/>
      <c r="AP207" s="9"/>
      <c r="AQ207" s="9"/>
      <c r="AR207" s="9"/>
      <c r="AS207" s="9"/>
      <c r="AT207" s="9"/>
    </row>
    <row r="208" ht="17.25" customHeight="1" spans="1:46">
      <c r="A208" s="8"/>
      <c r="B208" s="8"/>
      <c r="C208" s="8"/>
      <c r="D208" s="8"/>
      <c r="E208" s="8"/>
      <c r="F208" s="8"/>
      <c r="G208" s="9"/>
      <c r="H208" s="8"/>
      <c r="I208" s="8"/>
      <c r="J208" s="8"/>
      <c r="K208" s="8"/>
      <c r="L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N208" s="9"/>
      <c r="AO208" s="9"/>
      <c r="AP208" s="9"/>
      <c r="AQ208" s="9"/>
      <c r="AR208" s="9"/>
      <c r="AS208" s="9"/>
      <c r="AT208" s="9"/>
    </row>
    <row r="209" ht="17.25" customHeight="1" spans="1:46">
      <c r="A209" s="8"/>
      <c r="B209" s="8"/>
      <c r="C209" s="8"/>
      <c r="D209" s="8"/>
      <c r="E209" s="8"/>
      <c r="F209" s="8"/>
      <c r="G209" s="9"/>
      <c r="H209" s="8"/>
      <c r="I209" s="8"/>
      <c r="J209" s="8"/>
      <c r="K209" s="8"/>
      <c r="L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N209" s="9"/>
      <c r="AO209" s="9"/>
      <c r="AP209" s="9"/>
      <c r="AQ209" s="9"/>
      <c r="AR209" s="9"/>
      <c r="AS209" s="9"/>
      <c r="AT209" s="9"/>
    </row>
    <row r="210" ht="17.25" customHeight="1" spans="1:46">
      <c r="A210" s="8"/>
      <c r="B210" s="8"/>
      <c r="C210" s="8"/>
      <c r="D210" s="8"/>
      <c r="E210" s="8"/>
      <c r="F210" s="8"/>
      <c r="G210" s="9"/>
      <c r="H210" s="8"/>
      <c r="I210" s="8"/>
      <c r="J210" s="8"/>
      <c r="K210" s="8"/>
      <c r="L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N210" s="9"/>
      <c r="AO210" s="9"/>
      <c r="AP210" s="9"/>
      <c r="AQ210" s="9"/>
      <c r="AR210" s="9"/>
      <c r="AS210" s="9"/>
      <c r="AT210" s="9"/>
    </row>
    <row r="211" ht="17.25" customHeight="1" spans="1:46">
      <c r="A211" s="8"/>
      <c r="B211" s="8"/>
      <c r="C211" s="8"/>
      <c r="D211" s="8"/>
      <c r="E211" s="8"/>
      <c r="F211" s="8"/>
      <c r="G211" s="9"/>
      <c r="H211" s="8"/>
      <c r="I211" s="8"/>
      <c r="J211" s="8"/>
      <c r="K211" s="8"/>
      <c r="L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N211" s="9"/>
      <c r="AO211" s="9"/>
      <c r="AP211" s="9"/>
      <c r="AQ211" s="9"/>
      <c r="AR211" s="9"/>
      <c r="AS211" s="9"/>
      <c r="AT211" s="9"/>
    </row>
    <row r="212" ht="17.25" customHeight="1" spans="1:46">
      <c r="A212" s="8"/>
      <c r="B212" s="8"/>
      <c r="C212" s="8"/>
      <c r="D212" s="8"/>
      <c r="E212" s="8"/>
      <c r="F212" s="8"/>
      <c r="G212" s="9"/>
      <c r="H212" s="8"/>
      <c r="I212" s="8"/>
      <c r="J212" s="8"/>
      <c r="K212" s="8"/>
      <c r="L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N212" s="9"/>
      <c r="AO212" s="9"/>
      <c r="AP212" s="9"/>
      <c r="AQ212" s="9"/>
      <c r="AR212" s="9"/>
      <c r="AS212" s="9"/>
      <c r="AT212" s="9"/>
    </row>
    <row r="213" ht="17.25" customHeight="1" spans="1:46">
      <c r="A213" s="8"/>
      <c r="B213" s="8"/>
      <c r="C213" s="8"/>
      <c r="D213" s="8"/>
      <c r="E213" s="8"/>
      <c r="F213" s="8"/>
      <c r="G213" s="9"/>
      <c r="H213" s="8"/>
      <c r="I213" s="8"/>
      <c r="J213" s="8"/>
      <c r="K213" s="8"/>
      <c r="L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N213" s="9"/>
      <c r="AO213" s="9"/>
      <c r="AP213" s="9"/>
      <c r="AQ213" s="9"/>
      <c r="AR213" s="9"/>
      <c r="AS213" s="9"/>
      <c r="AT213" s="9"/>
    </row>
    <row r="214" ht="17.25" customHeight="1" spans="1:46">
      <c r="A214" s="8"/>
      <c r="B214" s="8"/>
      <c r="C214" s="8"/>
      <c r="D214" s="8"/>
      <c r="E214" s="8"/>
      <c r="F214" s="8"/>
      <c r="G214" s="9"/>
      <c r="H214" s="8"/>
      <c r="I214" s="8"/>
      <c r="J214" s="8"/>
      <c r="K214" s="8"/>
      <c r="L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N214" s="9"/>
      <c r="AO214" s="9"/>
      <c r="AP214" s="9"/>
      <c r="AQ214" s="9"/>
      <c r="AR214" s="9"/>
      <c r="AS214" s="9"/>
      <c r="AT214" s="9"/>
    </row>
    <row r="215" ht="17.25" customHeight="1" spans="1:46">
      <c r="A215" s="8"/>
      <c r="B215" s="8"/>
      <c r="C215" s="8"/>
      <c r="D215" s="8"/>
      <c r="E215" s="8"/>
      <c r="F215" s="8"/>
      <c r="G215" s="9"/>
      <c r="H215" s="8"/>
      <c r="I215" s="8"/>
      <c r="J215" s="8"/>
      <c r="K215" s="8"/>
      <c r="L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N215" s="9"/>
      <c r="AO215" s="9"/>
      <c r="AP215" s="9"/>
      <c r="AQ215" s="9"/>
      <c r="AR215" s="9"/>
      <c r="AS215" s="9"/>
      <c r="AT215" s="9"/>
    </row>
    <row r="216" ht="17.25" customHeight="1" spans="1:46">
      <c r="A216" s="8"/>
      <c r="B216" s="8"/>
      <c r="C216" s="8"/>
      <c r="D216" s="8"/>
      <c r="E216" s="8"/>
      <c r="F216" s="8"/>
      <c r="G216" s="9"/>
      <c r="H216" s="8"/>
      <c r="I216" s="8"/>
      <c r="J216" s="8"/>
      <c r="K216" s="8"/>
      <c r="L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N216" s="9"/>
      <c r="AO216" s="9"/>
      <c r="AP216" s="9"/>
      <c r="AQ216" s="9"/>
      <c r="AR216" s="9"/>
      <c r="AS216" s="9"/>
      <c r="AT216" s="9"/>
    </row>
    <row r="217" ht="17.25" customHeight="1" spans="1:46">
      <c r="A217" s="8"/>
      <c r="B217" s="8"/>
      <c r="C217" s="8"/>
      <c r="D217" s="8"/>
      <c r="E217" s="8"/>
      <c r="F217" s="8"/>
      <c r="G217" s="9"/>
      <c r="H217" s="8"/>
      <c r="I217" s="8"/>
      <c r="J217" s="8"/>
      <c r="K217" s="8"/>
      <c r="L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N217" s="9"/>
      <c r="AO217" s="9"/>
      <c r="AP217" s="9"/>
      <c r="AQ217" s="9"/>
      <c r="AR217" s="9"/>
      <c r="AS217" s="9"/>
      <c r="AT217" s="9"/>
    </row>
    <row r="218" ht="17.25" customHeight="1" spans="1:46">
      <c r="A218" s="8"/>
      <c r="B218" s="8"/>
      <c r="C218" s="8"/>
      <c r="D218" s="8"/>
      <c r="E218" s="8"/>
      <c r="F218" s="8"/>
      <c r="G218" s="9"/>
      <c r="H218" s="8"/>
      <c r="I218" s="8"/>
      <c r="J218" s="8"/>
      <c r="K218" s="8"/>
      <c r="L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N218" s="9"/>
      <c r="AO218" s="9"/>
      <c r="AP218" s="9"/>
      <c r="AQ218" s="9"/>
      <c r="AR218" s="9"/>
      <c r="AS218" s="9"/>
      <c r="AT218" s="9"/>
    </row>
    <row r="219" ht="17.25" customHeight="1" spans="1:46">
      <c r="A219" s="8"/>
      <c r="B219" s="8"/>
      <c r="C219" s="8"/>
      <c r="D219" s="8"/>
      <c r="E219" s="8"/>
      <c r="F219" s="8"/>
      <c r="G219" s="9"/>
      <c r="H219" s="8"/>
      <c r="I219" s="8"/>
      <c r="J219" s="8"/>
      <c r="K219" s="8"/>
      <c r="L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N219" s="9"/>
      <c r="AO219" s="9"/>
      <c r="AP219" s="9"/>
      <c r="AQ219" s="9"/>
      <c r="AR219" s="9"/>
      <c r="AS219" s="9"/>
      <c r="AT219" s="9"/>
    </row>
    <row r="220" ht="17.25" customHeight="1" spans="1:46">
      <c r="A220" s="8"/>
      <c r="B220" s="8"/>
      <c r="C220" s="8"/>
      <c r="D220" s="8"/>
      <c r="E220" s="8"/>
      <c r="F220" s="8"/>
      <c r="G220" s="9"/>
      <c r="H220" s="8"/>
      <c r="I220" s="8"/>
      <c r="J220" s="8"/>
      <c r="K220" s="8"/>
      <c r="L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N220" s="9"/>
      <c r="AO220" s="9"/>
      <c r="AP220" s="9"/>
      <c r="AQ220" s="9"/>
      <c r="AR220" s="9"/>
      <c r="AS220" s="9"/>
      <c r="AT220" s="9"/>
    </row>
    <row r="221" ht="17.25" customHeight="1" spans="1:46">
      <c r="A221" s="8"/>
      <c r="B221" s="8"/>
      <c r="C221" s="8"/>
      <c r="D221" s="8"/>
      <c r="E221" s="8"/>
      <c r="F221" s="8"/>
      <c r="G221" s="9"/>
      <c r="H221" s="8"/>
      <c r="I221" s="8"/>
      <c r="J221" s="8"/>
      <c r="K221" s="8"/>
      <c r="L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N221" s="9"/>
      <c r="AO221" s="9"/>
      <c r="AP221" s="9"/>
      <c r="AQ221" s="9"/>
      <c r="AR221" s="9"/>
      <c r="AS221" s="9"/>
      <c r="AT221" s="9"/>
    </row>
    <row r="222" ht="17.25" customHeight="1" spans="1:46">
      <c r="A222" s="8"/>
      <c r="B222" s="8"/>
      <c r="C222" s="8"/>
      <c r="D222" s="8"/>
      <c r="E222" s="8"/>
      <c r="F222" s="8"/>
      <c r="G222" s="9"/>
      <c r="H222" s="8"/>
      <c r="I222" s="8"/>
      <c r="J222" s="8"/>
      <c r="K222" s="8"/>
      <c r="L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N222" s="9"/>
      <c r="AO222" s="9"/>
      <c r="AP222" s="9"/>
      <c r="AQ222" s="9"/>
      <c r="AR222" s="9"/>
      <c r="AS222" s="9"/>
      <c r="AT222" s="9"/>
    </row>
    <row r="223" ht="17.25" customHeight="1" spans="1:46">
      <c r="A223" s="8"/>
      <c r="B223" s="8"/>
      <c r="C223" s="8"/>
      <c r="D223" s="8"/>
      <c r="E223" s="8"/>
      <c r="F223" s="8"/>
      <c r="G223" s="9"/>
      <c r="H223" s="8"/>
      <c r="I223" s="8"/>
      <c r="J223" s="8"/>
      <c r="K223" s="8"/>
      <c r="L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N223" s="9"/>
      <c r="AO223" s="9"/>
      <c r="AP223" s="9"/>
      <c r="AQ223" s="9"/>
      <c r="AR223" s="9"/>
      <c r="AS223" s="9"/>
      <c r="AT223" s="9"/>
    </row>
    <row r="224" ht="17.25" customHeight="1" spans="1:46">
      <c r="A224" s="8"/>
      <c r="B224" s="8"/>
      <c r="C224" s="8"/>
      <c r="D224" s="8"/>
      <c r="E224" s="8"/>
      <c r="F224" s="8"/>
      <c r="G224" s="9"/>
      <c r="H224" s="8"/>
      <c r="I224" s="8"/>
      <c r="J224" s="8"/>
      <c r="K224" s="8"/>
      <c r="L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N224" s="9"/>
      <c r="AO224" s="9"/>
      <c r="AP224" s="9"/>
      <c r="AQ224" s="9"/>
      <c r="AR224" s="9"/>
      <c r="AS224" s="9"/>
      <c r="AT224" s="9"/>
    </row>
    <row r="225" ht="17.25" customHeight="1" spans="1:46">
      <c r="A225" s="8"/>
      <c r="B225" s="8"/>
      <c r="C225" s="8"/>
      <c r="D225" s="8"/>
      <c r="E225" s="8"/>
      <c r="F225" s="8"/>
      <c r="G225" s="9"/>
      <c r="H225" s="8"/>
      <c r="I225" s="8"/>
      <c r="J225" s="8"/>
      <c r="K225" s="8"/>
      <c r="L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N225" s="9"/>
      <c r="AO225" s="9"/>
      <c r="AP225" s="9"/>
      <c r="AQ225" s="9"/>
      <c r="AR225" s="9"/>
      <c r="AS225" s="9"/>
      <c r="AT225" s="9"/>
    </row>
    <row r="226" ht="17.25" customHeight="1" spans="1:46">
      <c r="A226" s="8"/>
      <c r="B226" s="8"/>
      <c r="C226" s="8"/>
      <c r="D226" s="8"/>
      <c r="E226" s="8"/>
      <c r="F226" s="8"/>
      <c r="G226" s="9"/>
      <c r="H226" s="8"/>
      <c r="I226" s="8"/>
      <c r="J226" s="8"/>
      <c r="K226" s="8"/>
      <c r="L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N226" s="9"/>
      <c r="AO226" s="9"/>
      <c r="AP226" s="9"/>
      <c r="AQ226" s="9"/>
      <c r="AR226" s="9"/>
      <c r="AS226" s="9"/>
      <c r="AT226" s="9"/>
    </row>
    <row r="227" ht="17.25" customHeight="1" spans="1:46">
      <c r="A227" s="8"/>
      <c r="B227" s="8"/>
      <c r="C227" s="8"/>
      <c r="D227" s="8"/>
      <c r="E227" s="8"/>
      <c r="F227" s="8"/>
      <c r="G227" s="9"/>
      <c r="H227" s="8"/>
      <c r="I227" s="8"/>
      <c r="J227" s="8"/>
      <c r="K227" s="8"/>
      <c r="L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N227" s="9"/>
      <c r="AO227" s="9"/>
      <c r="AP227" s="9"/>
      <c r="AQ227" s="9"/>
      <c r="AR227" s="9"/>
      <c r="AS227" s="9"/>
      <c r="AT227" s="9"/>
    </row>
    <row r="228" ht="17.25" customHeight="1" spans="1:46">
      <c r="A228" s="8"/>
      <c r="B228" s="8"/>
      <c r="C228" s="8"/>
      <c r="D228" s="8"/>
      <c r="E228" s="8"/>
      <c r="F228" s="8"/>
      <c r="G228" s="9"/>
      <c r="H228" s="8"/>
      <c r="I228" s="8"/>
      <c r="J228" s="8"/>
      <c r="K228" s="8"/>
      <c r="L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N228" s="9"/>
      <c r="AO228" s="9"/>
      <c r="AP228" s="9"/>
      <c r="AQ228" s="9"/>
      <c r="AR228" s="9"/>
      <c r="AS228" s="9"/>
      <c r="AT228" s="9"/>
    </row>
    <row r="229" ht="17.25" customHeight="1" spans="1:46">
      <c r="A229" s="8"/>
      <c r="B229" s="8"/>
      <c r="C229" s="8"/>
      <c r="D229" s="8"/>
      <c r="E229" s="8"/>
      <c r="F229" s="8"/>
      <c r="G229" s="9"/>
      <c r="H229" s="8"/>
      <c r="I229" s="8"/>
      <c r="J229" s="8"/>
      <c r="K229" s="8"/>
      <c r="L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N229" s="9"/>
      <c r="AO229" s="9"/>
      <c r="AP229" s="9"/>
      <c r="AQ229" s="9"/>
      <c r="AR229" s="9"/>
      <c r="AS229" s="9"/>
      <c r="AT229" s="9"/>
    </row>
    <row r="230" ht="17.25" customHeight="1" spans="1:46">
      <c r="A230" s="8"/>
      <c r="B230" s="8"/>
      <c r="C230" s="8"/>
      <c r="D230" s="8"/>
      <c r="E230" s="8"/>
      <c r="F230" s="8"/>
      <c r="G230" s="9"/>
      <c r="H230" s="8"/>
      <c r="I230" s="8"/>
      <c r="J230" s="8"/>
      <c r="K230" s="8"/>
      <c r="L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N230" s="9"/>
      <c r="AO230" s="9"/>
      <c r="AP230" s="9"/>
      <c r="AQ230" s="9"/>
      <c r="AR230" s="9"/>
      <c r="AS230" s="9"/>
      <c r="AT230" s="9"/>
    </row>
    <row r="231" ht="17.25" customHeight="1" spans="1:46">
      <c r="A231" s="8"/>
      <c r="B231" s="8"/>
      <c r="C231" s="8"/>
      <c r="D231" s="8"/>
      <c r="E231" s="8"/>
      <c r="F231" s="8"/>
      <c r="G231" s="9"/>
      <c r="H231" s="8"/>
      <c r="I231" s="8"/>
      <c r="J231" s="8"/>
      <c r="K231" s="8"/>
      <c r="L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N231" s="9"/>
      <c r="AO231" s="9"/>
      <c r="AP231" s="9"/>
      <c r="AQ231" s="9"/>
      <c r="AR231" s="9"/>
      <c r="AS231" s="9"/>
      <c r="AT231" s="9"/>
    </row>
    <row r="232" ht="17.25" customHeight="1" spans="1:46">
      <c r="A232" s="8"/>
      <c r="B232" s="8"/>
      <c r="C232" s="8"/>
      <c r="D232" s="8"/>
      <c r="E232" s="8"/>
      <c r="F232" s="8"/>
      <c r="G232" s="9"/>
      <c r="H232" s="8"/>
      <c r="I232" s="8"/>
      <c r="J232" s="8"/>
      <c r="K232" s="8"/>
      <c r="L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N232" s="9"/>
      <c r="AO232" s="9"/>
      <c r="AP232" s="9"/>
      <c r="AQ232" s="9"/>
      <c r="AR232" s="9"/>
      <c r="AS232" s="9"/>
      <c r="AT232" s="9"/>
    </row>
    <row r="233" ht="17.25" customHeight="1" spans="1:46">
      <c r="A233" s="8"/>
      <c r="B233" s="8"/>
      <c r="C233" s="8"/>
      <c r="D233" s="8"/>
      <c r="E233" s="8"/>
      <c r="F233" s="8"/>
      <c r="G233" s="9"/>
      <c r="H233" s="8"/>
      <c r="I233" s="8"/>
      <c r="J233" s="8"/>
      <c r="K233" s="8"/>
      <c r="L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N233" s="9"/>
      <c r="AO233" s="9"/>
      <c r="AP233" s="9"/>
      <c r="AQ233" s="9"/>
      <c r="AR233" s="9"/>
      <c r="AS233" s="9"/>
      <c r="AT233" s="9"/>
    </row>
    <row r="234" ht="17.25" customHeight="1" spans="1:46">
      <c r="A234" s="8"/>
      <c r="B234" s="8"/>
      <c r="C234" s="8"/>
      <c r="D234" s="8"/>
      <c r="E234" s="8"/>
      <c r="F234" s="8"/>
      <c r="G234" s="9"/>
      <c r="H234" s="8"/>
      <c r="I234" s="8"/>
      <c r="J234" s="8"/>
      <c r="K234" s="8"/>
      <c r="L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N234" s="9"/>
      <c r="AO234" s="9"/>
      <c r="AP234" s="9"/>
      <c r="AQ234" s="9"/>
      <c r="AR234" s="9"/>
      <c r="AS234" s="9"/>
      <c r="AT234" s="9"/>
    </row>
    <row r="235" ht="17.25" customHeight="1" spans="1:46">
      <c r="A235" s="8"/>
      <c r="B235" s="8"/>
      <c r="C235" s="8"/>
      <c r="D235" s="8"/>
      <c r="E235" s="8"/>
      <c r="F235" s="8"/>
      <c r="G235" s="9"/>
      <c r="H235" s="8"/>
      <c r="I235" s="8"/>
      <c r="J235" s="8"/>
      <c r="K235" s="8"/>
      <c r="L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N235" s="9"/>
      <c r="AO235" s="9"/>
      <c r="AP235" s="9"/>
      <c r="AQ235" s="9"/>
      <c r="AR235" s="9"/>
      <c r="AS235" s="9"/>
      <c r="AT235" s="9"/>
    </row>
    <row r="236" ht="17.25" customHeight="1" spans="1:46">
      <c r="A236" s="8"/>
      <c r="B236" s="8"/>
      <c r="C236" s="8"/>
      <c r="D236" s="8"/>
      <c r="E236" s="8"/>
      <c r="F236" s="8"/>
      <c r="G236" s="9"/>
      <c r="H236" s="8"/>
      <c r="I236" s="8"/>
      <c r="J236" s="8"/>
      <c r="K236" s="8"/>
      <c r="L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N236" s="9"/>
      <c r="AO236" s="9"/>
      <c r="AP236" s="9"/>
      <c r="AQ236" s="9"/>
      <c r="AR236" s="9"/>
      <c r="AS236" s="9"/>
      <c r="AT236" s="9"/>
    </row>
    <row r="237" ht="17.25" customHeight="1" spans="1:46">
      <c r="A237" s="8"/>
      <c r="B237" s="8"/>
      <c r="C237" s="8"/>
      <c r="D237" s="8"/>
      <c r="E237" s="8"/>
      <c r="F237" s="8"/>
      <c r="G237" s="9"/>
      <c r="H237" s="8"/>
      <c r="I237" s="8"/>
      <c r="J237" s="8"/>
      <c r="K237" s="8"/>
      <c r="L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N237" s="9"/>
      <c r="AO237" s="9"/>
      <c r="AP237" s="9"/>
      <c r="AQ237" s="9"/>
      <c r="AR237" s="9"/>
      <c r="AS237" s="9"/>
      <c r="AT237" s="9"/>
    </row>
    <row r="238" ht="17.25" customHeight="1" spans="1:46">
      <c r="A238" s="8"/>
      <c r="B238" s="8"/>
      <c r="C238" s="8"/>
      <c r="D238" s="8"/>
      <c r="E238" s="8"/>
      <c r="F238" s="8"/>
      <c r="G238" s="9"/>
      <c r="H238" s="8"/>
      <c r="I238" s="8"/>
      <c r="J238" s="8"/>
      <c r="K238" s="8"/>
      <c r="L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N238" s="9"/>
      <c r="AO238" s="9"/>
      <c r="AP238" s="9"/>
      <c r="AQ238" s="9"/>
      <c r="AR238" s="9"/>
      <c r="AS238" s="9"/>
      <c r="AT238" s="9"/>
    </row>
    <row r="239" ht="17.25" customHeight="1" spans="1:46">
      <c r="A239" s="8"/>
      <c r="B239" s="8"/>
      <c r="C239" s="8"/>
      <c r="D239" s="8"/>
      <c r="E239" s="8"/>
      <c r="F239" s="8"/>
      <c r="G239" s="9"/>
      <c r="H239" s="8"/>
      <c r="I239" s="8"/>
      <c r="J239" s="8"/>
      <c r="K239" s="8"/>
      <c r="L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N239" s="9"/>
      <c r="AO239" s="9"/>
      <c r="AP239" s="9"/>
      <c r="AQ239" s="9"/>
      <c r="AR239" s="9"/>
      <c r="AS239" s="9"/>
      <c r="AT239" s="9"/>
    </row>
    <row r="240" ht="17.25" customHeight="1" spans="1:46">
      <c r="A240" s="8"/>
      <c r="B240" s="8"/>
      <c r="C240" s="8"/>
      <c r="D240" s="8"/>
      <c r="E240" s="8"/>
      <c r="F240" s="8"/>
      <c r="G240" s="9"/>
      <c r="H240" s="8"/>
      <c r="I240" s="8"/>
      <c r="J240" s="8"/>
      <c r="K240" s="8"/>
      <c r="L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N240" s="9"/>
      <c r="AO240" s="9"/>
      <c r="AP240" s="9"/>
      <c r="AQ240" s="9"/>
      <c r="AR240" s="9"/>
      <c r="AS240" s="9"/>
      <c r="AT240" s="9"/>
    </row>
    <row r="241" ht="17.25" customHeight="1" spans="1:46">
      <c r="A241" s="8"/>
      <c r="B241" s="8"/>
      <c r="C241" s="8"/>
      <c r="D241" s="8"/>
      <c r="E241" s="8"/>
      <c r="F241" s="8"/>
      <c r="G241" s="9"/>
      <c r="H241" s="8"/>
      <c r="I241" s="8"/>
      <c r="J241" s="8"/>
      <c r="K241" s="8"/>
      <c r="L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N241" s="9"/>
      <c r="AO241" s="9"/>
      <c r="AP241" s="9"/>
      <c r="AQ241" s="9"/>
      <c r="AR241" s="9"/>
      <c r="AS241" s="9"/>
      <c r="AT241" s="9"/>
    </row>
    <row r="242" ht="17.25" customHeight="1" spans="1:46">
      <c r="A242" s="8"/>
      <c r="B242" s="8"/>
      <c r="C242" s="8"/>
      <c r="D242" s="8"/>
      <c r="E242" s="8"/>
      <c r="F242" s="8"/>
      <c r="G242" s="9"/>
      <c r="H242" s="8"/>
      <c r="I242" s="8"/>
      <c r="J242" s="8"/>
      <c r="K242" s="8"/>
      <c r="L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N242" s="9"/>
      <c r="AO242" s="9"/>
      <c r="AP242" s="9"/>
      <c r="AQ242" s="9"/>
      <c r="AR242" s="9"/>
      <c r="AS242" s="9"/>
      <c r="AT242" s="9"/>
    </row>
    <row r="243" ht="17.25" customHeight="1" spans="1:46">
      <c r="A243" s="8"/>
      <c r="B243" s="8"/>
      <c r="C243" s="8"/>
      <c r="D243" s="8"/>
      <c r="E243" s="8"/>
      <c r="F243" s="8"/>
      <c r="G243" s="9"/>
      <c r="H243" s="8"/>
      <c r="I243" s="8"/>
      <c r="J243" s="8"/>
      <c r="K243" s="8"/>
      <c r="L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N243" s="9"/>
      <c r="AO243" s="9"/>
      <c r="AP243" s="9"/>
      <c r="AQ243" s="9"/>
      <c r="AR243" s="9"/>
      <c r="AS243" s="9"/>
      <c r="AT243" s="9"/>
    </row>
    <row r="244" ht="17.25" customHeight="1" spans="1:46">
      <c r="A244" s="8"/>
      <c r="B244" s="8"/>
      <c r="C244" s="8"/>
      <c r="D244" s="8"/>
      <c r="E244" s="8"/>
      <c r="F244" s="8"/>
      <c r="G244" s="9"/>
      <c r="H244" s="8"/>
      <c r="I244" s="8"/>
      <c r="J244" s="8"/>
      <c r="K244" s="8"/>
      <c r="L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N244" s="9"/>
      <c r="AO244" s="9"/>
      <c r="AP244" s="9"/>
      <c r="AQ244" s="9"/>
      <c r="AR244" s="9"/>
      <c r="AS244" s="9"/>
      <c r="AT244" s="9"/>
    </row>
    <row r="245" ht="17.25" customHeight="1" spans="1:46">
      <c r="A245" s="8"/>
      <c r="B245" s="8"/>
      <c r="C245" s="8"/>
      <c r="D245" s="8"/>
      <c r="E245" s="8"/>
      <c r="F245" s="8"/>
      <c r="G245" s="9"/>
      <c r="H245" s="8"/>
      <c r="I245" s="8"/>
      <c r="J245" s="8"/>
      <c r="K245" s="8"/>
      <c r="L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N245" s="9"/>
      <c r="AO245" s="9"/>
      <c r="AP245" s="9"/>
      <c r="AQ245" s="9"/>
      <c r="AR245" s="9"/>
      <c r="AS245" s="9"/>
      <c r="AT245" s="9"/>
    </row>
    <row r="246" ht="17.25" customHeight="1" spans="1:46">
      <c r="A246" s="8"/>
      <c r="B246" s="8"/>
      <c r="C246" s="8"/>
      <c r="D246" s="8"/>
      <c r="E246" s="8"/>
      <c r="F246" s="8"/>
      <c r="G246" s="9"/>
      <c r="H246" s="8"/>
      <c r="I246" s="8"/>
      <c r="J246" s="8"/>
      <c r="K246" s="8"/>
      <c r="L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N246" s="9"/>
      <c r="AO246" s="9"/>
      <c r="AP246" s="9"/>
      <c r="AQ246" s="9"/>
      <c r="AR246" s="9"/>
      <c r="AS246" s="9"/>
      <c r="AT246" s="9"/>
    </row>
    <row r="247" ht="17.25" customHeight="1" spans="1:46">
      <c r="A247" s="8"/>
      <c r="B247" s="8"/>
      <c r="C247" s="8"/>
      <c r="D247" s="8"/>
      <c r="E247" s="8"/>
      <c r="F247" s="8"/>
      <c r="G247" s="9"/>
      <c r="H247" s="8"/>
      <c r="I247" s="8"/>
      <c r="J247" s="8"/>
      <c r="K247" s="8"/>
      <c r="L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N247" s="9"/>
      <c r="AO247" s="9"/>
      <c r="AP247" s="9"/>
      <c r="AQ247" s="9"/>
      <c r="AR247" s="9"/>
      <c r="AS247" s="9"/>
      <c r="AT247" s="9"/>
    </row>
    <row r="248" ht="17.25" customHeight="1" spans="1:46">
      <c r="A248" s="8"/>
      <c r="B248" s="8"/>
      <c r="C248" s="8"/>
      <c r="D248" s="8"/>
      <c r="E248" s="8"/>
      <c r="F248" s="8"/>
      <c r="G248" s="9"/>
      <c r="H248" s="8"/>
      <c r="I248" s="8"/>
      <c r="J248" s="8"/>
      <c r="K248" s="8"/>
      <c r="L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N248" s="9"/>
      <c r="AO248" s="9"/>
      <c r="AP248" s="9"/>
      <c r="AQ248" s="9"/>
      <c r="AR248" s="9"/>
      <c r="AS248" s="9"/>
      <c r="AT248" s="9"/>
    </row>
    <row r="249" ht="17.25" customHeight="1" spans="1:46">
      <c r="A249" s="8"/>
      <c r="B249" s="8"/>
      <c r="C249" s="8"/>
      <c r="D249" s="8"/>
      <c r="E249" s="8"/>
      <c r="F249" s="8"/>
      <c r="G249" s="9"/>
      <c r="H249" s="8"/>
      <c r="I249" s="8"/>
      <c r="J249" s="8"/>
      <c r="K249" s="8"/>
      <c r="L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N249" s="9"/>
      <c r="AO249" s="9"/>
      <c r="AP249" s="9"/>
      <c r="AQ249" s="9"/>
      <c r="AR249" s="9"/>
      <c r="AS249" s="9"/>
      <c r="AT249" s="9"/>
    </row>
    <row r="250" ht="17.25" customHeight="1" spans="1:46">
      <c r="A250" s="8"/>
      <c r="B250" s="8"/>
      <c r="C250" s="8"/>
      <c r="D250" s="8"/>
      <c r="E250" s="8"/>
      <c r="F250" s="8"/>
      <c r="G250" s="9"/>
      <c r="H250" s="8"/>
      <c r="I250" s="8"/>
      <c r="J250" s="8"/>
      <c r="K250" s="8"/>
      <c r="L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N250" s="9"/>
      <c r="AO250" s="9"/>
      <c r="AP250" s="9"/>
      <c r="AQ250" s="9"/>
      <c r="AR250" s="9"/>
      <c r="AS250" s="9"/>
      <c r="AT250" s="9"/>
    </row>
    <row r="251" ht="17.25" customHeight="1" spans="1:46">
      <c r="A251" s="8"/>
      <c r="B251" s="8"/>
      <c r="C251" s="8"/>
      <c r="D251" s="8"/>
      <c r="E251" s="8"/>
      <c r="F251" s="8"/>
      <c r="G251" s="9"/>
      <c r="H251" s="8"/>
      <c r="I251" s="8"/>
      <c r="J251" s="8"/>
      <c r="K251" s="8"/>
      <c r="L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N251" s="9"/>
      <c r="AO251" s="9"/>
      <c r="AP251" s="9"/>
      <c r="AQ251" s="9"/>
      <c r="AR251" s="9"/>
      <c r="AS251" s="9"/>
      <c r="AT251" s="9"/>
    </row>
    <row r="252" ht="17.25" customHeight="1" spans="1:46">
      <c r="A252" s="8"/>
      <c r="B252" s="8"/>
      <c r="C252" s="8"/>
      <c r="D252" s="8"/>
      <c r="E252" s="8"/>
      <c r="F252" s="8"/>
      <c r="G252" s="9"/>
      <c r="H252" s="8"/>
      <c r="I252" s="8"/>
      <c r="J252" s="8"/>
      <c r="K252" s="8"/>
      <c r="L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N252" s="9"/>
      <c r="AO252" s="9"/>
      <c r="AP252" s="9"/>
      <c r="AQ252" s="9"/>
      <c r="AR252" s="9"/>
      <c r="AS252" s="9"/>
      <c r="AT252" s="9"/>
    </row>
    <row r="253" ht="17.25" customHeight="1" spans="1:46">
      <c r="A253" s="8"/>
      <c r="B253" s="8"/>
      <c r="C253" s="8"/>
      <c r="D253" s="8"/>
      <c r="E253" s="8"/>
      <c r="F253" s="8"/>
      <c r="G253" s="9"/>
      <c r="H253" s="8"/>
      <c r="I253" s="8"/>
      <c r="J253" s="8"/>
      <c r="K253" s="8"/>
      <c r="L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N253" s="9"/>
      <c r="AO253" s="9"/>
      <c r="AP253" s="9"/>
      <c r="AQ253" s="9"/>
      <c r="AR253" s="9"/>
      <c r="AS253" s="9"/>
      <c r="AT253" s="9"/>
    </row>
    <row r="254" ht="17.25" customHeight="1" spans="1:46">
      <c r="A254" s="8"/>
      <c r="B254" s="8"/>
      <c r="C254" s="8"/>
      <c r="D254" s="8"/>
      <c r="E254" s="8"/>
      <c r="F254" s="8"/>
      <c r="G254" s="9"/>
      <c r="H254" s="8"/>
      <c r="I254" s="8"/>
      <c r="J254" s="8"/>
      <c r="K254" s="8"/>
      <c r="L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N254" s="9"/>
      <c r="AO254" s="9"/>
      <c r="AP254" s="9"/>
      <c r="AQ254" s="9"/>
      <c r="AR254" s="9"/>
      <c r="AS254" s="9"/>
      <c r="AT254" s="9"/>
    </row>
    <row r="255" ht="17.25" customHeight="1" spans="1:46">
      <c r="A255" s="8"/>
      <c r="B255" s="8"/>
      <c r="C255" s="8"/>
      <c r="D255" s="8"/>
      <c r="E255" s="8"/>
      <c r="F255" s="8"/>
      <c r="G255" s="9"/>
      <c r="H255" s="8"/>
      <c r="I255" s="8"/>
      <c r="J255" s="8"/>
      <c r="K255" s="8"/>
      <c r="L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N255" s="9"/>
      <c r="AO255" s="9"/>
      <c r="AP255" s="9"/>
      <c r="AQ255" s="9"/>
      <c r="AR255" s="9"/>
      <c r="AS255" s="9"/>
      <c r="AT255" s="9"/>
    </row>
    <row r="256" ht="17.25" customHeight="1" spans="1:46">
      <c r="A256" s="8"/>
      <c r="B256" s="8"/>
      <c r="C256" s="8"/>
      <c r="D256" s="8"/>
      <c r="E256" s="8"/>
      <c r="F256" s="8"/>
      <c r="G256" s="9"/>
      <c r="H256" s="8"/>
      <c r="I256" s="8"/>
      <c r="J256" s="8"/>
      <c r="K256" s="8"/>
      <c r="L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N256" s="9"/>
      <c r="AO256" s="9"/>
      <c r="AP256" s="9"/>
      <c r="AQ256" s="9"/>
      <c r="AR256" s="9"/>
      <c r="AS256" s="9"/>
      <c r="AT256" s="9"/>
    </row>
    <row r="257" ht="17.25" customHeight="1" spans="1:46">
      <c r="A257" s="8"/>
      <c r="B257" s="8"/>
      <c r="C257" s="8"/>
      <c r="D257" s="8"/>
      <c r="E257" s="8"/>
      <c r="F257" s="8"/>
      <c r="G257" s="9"/>
      <c r="H257" s="8"/>
      <c r="I257" s="8"/>
      <c r="J257" s="8"/>
      <c r="K257" s="8"/>
      <c r="L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N257" s="9"/>
      <c r="AO257" s="9"/>
      <c r="AP257" s="9"/>
      <c r="AQ257" s="9"/>
      <c r="AR257" s="9"/>
      <c r="AS257" s="9"/>
      <c r="AT257" s="9"/>
    </row>
    <row r="258" ht="17.25" customHeight="1" spans="1:46">
      <c r="A258" s="8"/>
      <c r="B258" s="8"/>
      <c r="C258" s="8"/>
      <c r="D258" s="8"/>
      <c r="E258" s="8"/>
      <c r="F258" s="8"/>
      <c r="G258" s="9"/>
      <c r="H258" s="8"/>
      <c r="I258" s="8"/>
      <c r="J258" s="8"/>
      <c r="K258" s="8"/>
      <c r="L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N258" s="9"/>
      <c r="AO258" s="9"/>
      <c r="AP258" s="9"/>
      <c r="AQ258" s="9"/>
      <c r="AR258" s="9"/>
      <c r="AS258" s="9"/>
      <c r="AT258" s="9"/>
    </row>
    <row r="259" ht="17.25" customHeight="1" spans="1:46">
      <c r="A259" s="8"/>
      <c r="B259" s="8"/>
      <c r="C259" s="8"/>
      <c r="D259" s="8"/>
      <c r="E259" s="8"/>
      <c r="F259" s="8"/>
      <c r="G259" s="9"/>
      <c r="H259" s="8"/>
      <c r="I259" s="8"/>
      <c r="J259" s="8"/>
      <c r="K259" s="8"/>
      <c r="L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N259" s="9"/>
      <c r="AO259" s="9"/>
      <c r="AP259" s="9"/>
      <c r="AQ259" s="9"/>
      <c r="AR259" s="9"/>
      <c r="AS259" s="9"/>
      <c r="AT259" s="9"/>
    </row>
    <row r="260" ht="17.25" customHeight="1" spans="1:46">
      <c r="A260" s="8"/>
      <c r="B260" s="8"/>
      <c r="C260" s="8"/>
      <c r="D260" s="8"/>
      <c r="E260" s="8"/>
      <c r="F260" s="8"/>
      <c r="G260" s="9"/>
      <c r="H260" s="8"/>
      <c r="I260" s="8"/>
      <c r="J260" s="8"/>
      <c r="K260" s="8"/>
      <c r="L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N260" s="9"/>
      <c r="AO260" s="9"/>
      <c r="AP260" s="9"/>
      <c r="AQ260" s="9"/>
      <c r="AR260" s="9"/>
      <c r="AS260" s="9"/>
      <c r="AT260" s="9"/>
    </row>
    <row r="261" ht="17.25" customHeight="1" spans="1:46">
      <c r="A261" s="8"/>
      <c r="B261" s="8"/>
      <c r="C261" s="8"/>
      <c r="D261" s="8"/>
      <c r="E261" s="8"/>
      <c r="F261" s="8"/>
      <c r="G261" s="9"/>
      <c r="H261" s="8"/>
      <c r="I261" s="8"/>
      <c r="J261" s="8"/>
      <c r="K261" s="8"/>
      <c r="L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N261" s="9"/>
      <c r="AO261" s="9"/>
      <c r="AP261" s="9"/>
      <c r="AQ261" s="9"/>
      <c r="AR261" s="9"/>
      <c r="AS261" s="9"/>
      <c r="AT261" s="9"/>
    </row>
    <row r="262" ht="17.25" customHeight="1" spans="1:46">
      <c r="A262" s="8"/>
      <c r="B262" s="8"/>
      <c r="C262" s="8"/>
      <c r="D262" s="8"/>
      <c r="E262" s="8"/>
      <c r="F262" s="8"/>
      <c r="G262" s="9"/>
      <c r="H262" s="8"/>
      <c r="I262" s="8"/>
      <c r="J262" s="8"/>
      <c r="K262" s="8"/>
      <c r="L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N262" s="9"/>
      <c r="AO262" s="9"/>
      <c r="AP262" s="9"/>
      <c r="AQ262" s="9"/>
      <c r="AR262" s="9"/>
      <c r="AS262" s="9"/>
      <c r="AT262" s="9"/>
    </row>
    <row r="263" ht="17.25" customHeight="1" spans="1:46">
      <c r="A263" s="8"/>
      <c r="B263" s="8"/>
      <c r="C263" s="8"/>
      <c r="D263" s="8"/>
      <c r="E263" s="8"/>
      <c r="F263" s="8"/>
      <c r="G263" s="9"/>
      <c r="H263" s="8"/>
      <c r="I263" s="8"/>
      <c r="J263" s="8"/>
      <c r="K263" s="8"/>
      <c r="L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N263" s="9"/>
      <c r="AO263" s="9"/>
      <c r="AP263" s="9"/>
      <c r="AQ263" s="9"/>
      <c r="AR263" s="9"/>
      <c r="AS263" s="9"/>
      <c r="AT263" s="9"/>
    </row>
    <row r="264" ht="17.25" customHeight="1" spans="1:46">
      <c r="A264" s="8"/>
      <c r="B264" s="8"/>
      <c r="C264" s="8"/>
      <c r="D264" s="8"/>
      <c r="E264" s="8"/>
      <c r="F264" s="8"/>
      <c r="G264" s="9"/>
      <c r="H264" s="8"/>
      <c r="I264" s="8"/>
      <c r="J264" s="8"/>
      <c r="K264" s="8"/>
      <c r="L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N264" s="9"/>
      <c r="AO264" s="9"/>
      <c r="AP264" s="9"/>
      <c r="AQ264" s="9"/>
      <c r="AR264" s="9"/>
      <c r="AS264" s="9"/>
      <c r="AT264" s="9"/>
    </row>
    <row r="265" ht="17.25" customHeight="1" spans="1:46">
      <c r="A265" s="8"/>
      <c r="B265" s="8"/>
      <c r="C265" s="8"/>
      <c r="D265" s="8"/>
      <c r="E265" s="8"/>
      <c r="F265" s="8"/>
      <c r="G265" s="9"/>
      <c r="H265" s="8"/>
      <c r="I265" s="8"/>
      <c r="J265" s="8"/>
      <c r="K265" s="8"/>
      <c r="L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N265" s="9"/>
      <c r="AO265" s="9"/>
      <c r="AP265" s="9"/>
      <c r="AQ265" s="9"/>
      <c r="AR265" s="9"/>
      <c r="AS265" s="9"/>
      <c r="AT265" s="9"/>
    </row>
    <row r="266" ht="17.25" customHeight="1" spans="1:46">
      <c r="A266" s="8"/>
      <c r="B266" s="8"/>
      <c r="C266" s="8"/>
      <c r="D266" s="8"/>
      <c r="E266" s="8"/>
      <c r="F266" s="8"/>
      <c r="G266" s="9"/>
      <c r="H266" s="8"/>
      <c r="I266" s="8"/>
      <c r="J266" s="8"/>
      <c r="K266" s="8"/>
      <c r="L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N266" s="9"/>
      <c r="AO266" s="9"/>
      <c r="AP266" s="9"/>
      <c r="AQ266" s="9"/>
      <c r="AR266" s="9"/>
      <c r="AS266" s="9"/>
      <c r="AT266" s="9"/>
    </row>
    <row r="267" ht="17.25" customHeight="1" spans="1:46">
      <c r="A267" s="8"/>
      <c r="B267" s="8"/>
      <c r="C267" s="8"/>
      <c r="D267" s="8"/>
      <c r="E267" s="8"/>
      <c r="F267" s="8"/>
      <c r="G267" s="9"/>
      <c r="H267" s="8"/>
      <c r="I267" s="8"/>
      <c r="J267" s="8"/>
      <c r="K267" s="8"/>
      <c r="L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N267" s="9"/>
      <c r="AO267" s="9"/>
      <c r="AP267" s="9"/>
      <c r="AQ267" s="9"/>
      <c r="AR267" s="9"/>
      <c r="AS267" s="9"/>
      <c r="AT267" s="9"/>
    </row>
    <row r="268" ht="17.25" customHeight="1" spans="1:46">
      <c r="A268" s="8"/>
      <c r="B268" s="8"/>
      <c r="C268" s="8"/>
      <c r="D268" s="8"/>
      <c r="E268" s="8"/>
      <c r="F268" s="8"/>
      <c r="G268" s="9"/>
      <c r="H268" s="8"/>
      <c r="I268" s="8"/>
      <c r="J268" s="8"/>
      <c r="K268" s="8"/>
      <c r="L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N268" s="9"/>
      <c r="AO268" s="9"/>
      <c r="AP268" s="9"/>
      <c r="AQ268" s="9"/>
      <c r="AR268" s="9"/>
      <c r="AS268" s="9"/>
      <c r="AT268" s="9"/>
    </row>
    <row r="269" ht="17.25" customHeight="1" spans="1:46">
      <c r="A269" s="8"/>
      <c r="B269" s="8"/>
      <c r="C269" s="8"/>
      <c r="D269" s="8"/>
      <c r="E269" s="8"/>
      <c r="F269" s="8"/>
      <c r="G269" s="9"/>
      <c r="H269" s="8"/>
      <c r="I269" s="8"/>
      <c r="J269" s="8"/>
      <c r="K269" s="8"/>
      <c r="L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N269" s="9"/>
      <c r="AO269" s="9"/>
      <c r="AP269" s="9"/>
      <c r="AQ269" s="9"/>
      <c r="AR269" s="9"/>
      <c r="AS269" s="9"/>
      <c r="AT269" s="9"/>
    </row>
    <row r="270" ht="17.25" customHeight="1" spans="1:46">
      <c r="A270" s="8"/>
      <c r="B270" s="8"/>
      <c r="C270" s="8"/>
      <c r="D270" s="8"/>
      <c r="E270" s="8"/>
      <c r="F270" s="8"/>
      <c r="G270" s="9"/>
      <c r="H270" s="8"/>
      <c r="I270" s="8"/>
      <c r="J270" s="8"/>
      <c r="K270" s="8"/>
      <c r="L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N270" s="9"/>
      <c r="AO270" s="9"/>
      <c r="AP270" s="9"/>
      <c r="AQ270" s="9"/>
      <c r="AR270" s="9"/>
      <c r="AS270" s="9"/>
      <c r="AT270" s="9"/>
    </row>
    <row r="271" ht="17.25" customHeight="1" spans="1:46">
      <c r="A271" s="8"/>
      <c r="B271" s="8"/>
      <c r="C271" s="8"/>
      <c r="D271" s="8"/>
      <c r="E271" s="8"/>
      <c r="F271" s="8"/>
      <c r="G271" s="9"/>
      <c r="H271" s="8"/>
      <c r="I271" s="8"/>
      <c r="J271" s="8"/>
      <c r="K271" s="8"/>
      <c r="L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N271" s="9"/>
      <c r="AO271" s="9"/>
      <c r="AP271" s="9"/>
      <c r="AQ271" s="9"/>
      <c r="AR271" s="9"/>
      <c r="AS271" s="9"/>
      <c r="AT271" s="9"/>
    </row>
    <row r="272" ht="17.25" customHeight="1" spans="1:46">
      <c r="A272" s="8"/>
      <c r="B272" s="8"/>
      <c r="C272" s="8"/>
      <c r="D272" s="8"/>
      <c r="E272" s="8"/>
      <c r="F272" s="8"/>
      <c r="G272" s="9"/>
      <c r="H272" s="8"/>
      <c r="I272" s="8"/>
      <c r="J272" s="8"/>
      <c r="K272" s="8"/>
      <c r="L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N272" s="9"/>
      <c r="AO272" s="9"/>
      <c r="AP272" s="9"/>
      <c r="AQ272" s="9"/>
      <c r="AR272" s="9"/>
      <c r="AS272" s="9"/>
      <c r="AT272" s="9"/>
    </row>
    <row r="273" ht="17.25" customHeight="1" spans="1:46">
      <c r="A273" s="8"/>
      <c r="B273" s="8"/>
      <c r="C273" s="8"/>
      <c r="D273" s="8"/>
      <c r="E273" s="8"/>
      <c r="F273" s="8"/>
      <c r="G273" s="9"/>
      <c r="H273" s="8"/>
      <c r="I273" s="8"/>
      <c r="J273" s="8"/>
      <c r="K273" s="8"/>
      <c r="L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N273" s="9"/>
      <c r="AO273" s="9"/>
      <c r="AP273" s="9"/>
      <c r="AQ273" s="9"/>
      <c r="AR273" s="9"/>
      <c r="AS273" s="9"/>
      <c r="AT273" s="9"/>
    </row>
    <row r="274" ht="17.25" customHeight="1" spans="1:46">
      <c r="A274" s="8"/>
      <c r="B274" s="8"/>
      <c r="C274" s="8"/>
      <c r="D274" s="8"/>
      <c r="E274" s="8"/>
      <c r="F274" s="8"/>
      <c r="G274" s="9"/>
      <c r="H274" s="8"/>
      <c r="I274" s="8"/>
      <c r="J274" s="8"/>
      <c r="K274" s="8"/>
      <c r="L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N274" s="9"/>
      <c r="AO274" s="9"/>
      <c r="AP274" s="9"/>
      <c r="AQ274" s="9"/>
      <c r="AR274" s="9"/>
      <c r="AS274" s="9"/>
      <c r="AT274" s="9"/>
    </row>
    <row r="275" ht="17.25" customHeight="1" spans="1:46">
      <c r="A275" s="8"/>
      <c r="B275" s="8"/>
      <c r="C275" s="8"/>
      <c r="D275" s="8"/>
      <c r="E275" s="8"/>
      <c r="F275" s="8"/>
      <c r="G275" s="9"/>
      <c r="H275" s="8"/>
      <c r="I275" s="8"/>
      <c r="J275" s="8"/>
      <c r="K275" s="8"/>
      <c r="L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N275" s="9"/>
      <c r="AO275" s="9"/>
      <c r="AP275" s="9"/>
      <c r="AQ275" s="9"/>
      <c r="AR275" s="9"/>
      <c r="AS275" s="9"/>
      <c r="AT275" s="9"/>
    </row>
    <row r="276" ht="17.25" customHeight="1" spans="1:46">
      <c r="A276" s="8"/>
      <c r="B276" s="8"/>
      <c r="C276" s="8"/>
      <c r="D276" s="8"/>
      <c r="E276" s="8"/>
      <c r="F276" s="8"/>
      <c r="G276" s="9"/>
      <c r="H276" s="8"/>
      <c r="I276" s="8"/>
      <c r="J276" s="8"/>
      <c r="K276" s="8"/>
      <c r="L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N276" s="9"/>
      <c r="AO276" s="9"/>
      <c r="AP276" s="9"/>
      <c r="AQ276" s="9"/>
      <c r="AR276" s="9"/>
      <c r="AS276" s="9"/>
      <c r="AT276" s="9"/>
    </row>
    <row r="277" ht="17.25" customHeight="1" spans="1:46">
      <c r="A277" s="8"/>
      <c r="B277" s="8"/>
      <c r="C277" s="8"/>
      <c r="D277" s="8"/>
      <c r="E277" s="8"/>
      <c r="F277" s="8"/>
      <c r="G277" s="9"/>
      <c r="H277" s="8"/>
      <c r="I277" s="8"/>
      <c r="J277" s="8"/>
      <c r="K277" s="8"/>
      <c r="L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N277" s="9"/>
      <c r="AO277" s="9"/>
      <c r="AP277" s="9"/>
      <c r="AQ277" s="9"/>
      <c r="AR277" s="9"/>
      <c r="AS277" s="9"/>
      <c r="AT277" s="9"/>
    </row>
    <row r="278" ht="17.25" customHeight="1" spans="1:46">
      <c r="A278" s="8"/>
      <c r="B278" s="8"/>
      <c r="C278" s="8"/>
      <c r="D278" s="8"/>
      <c r="E278" s="8"/>
      <c r="F278" s="8"/>
      <c r="G278" s="9"/>
      <c r="H278" s="8"/>
      <c r="I278" s="8"/>
      <c r="J278" s="8"/>
      <c r="K278" s="8"/>
      <c r="L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N278" s="9"/>
      <c r="AO278" s="9"/>
      <c r="AP278" s="9"/>
      <c r="AQ278" s="9"/>
      <c r="AR278" s="9"/>
      <c r="AS278" s="9"/>
      <c r="AT278" s="9"/>
    </row>
    <row r="279" ht="17.25" customHeight="1" spans="1:46">
      <c r="A279" s="8"/>
      <c r="B279" s="8"/>
      <c r="C279" s="8"/>
      <c r="D279" s="8"/>
      <c r="E279" s="8"/>
      <c r="F279" s="8"/>
      <c r="G279" s="9"/>
      <c r="H279" s="8"/>
      <c r="I279" s="8"/>
      <c r="J279" s="8"/>
      <c r="K279" s="8"/>
      <c r="L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N279" s="9"/>
      <c r="AO279" s="9"/>
      <c r="AP279" s="9"/>
      <c r="AQ279" s="9"/>
      <c r="AR279" s="9"/>
      <c r="AS279" s="9"/>
      <c r="AT279" s="9"/>
    </row>
    <row r="280" ht="17.25" customHeight="1" spans="1:46">
      <c r="A280" s="8"/>
      <c r="B280" s="8"/>
      <c r="C280" s="8"/>
      <c r="D280" s="8"/>
      <c r="E280" s="8"/>
      <c r="F280" s="8"/>
      <c r="G280" s="9"/>
      <c r="H280" s="8"/>
      <c r="I280" s="8"/>
      <c r="J280" s="8"/>
      <c r="K280" s="8"/>
      <c r="L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N280" s="9"/>
      <c r="AO280" s="9"/>
      <c r="AP280" s="9"/>
      <c r="AQ280" s="9"/>
      <c r="AR280" s="9"/>
      <c r="AS280" s="9"/>
      <c r="AT280" s="9"/>
    </row>
    <row r="281" ht="17.25" customHeight="1" spans="1:46">
      <c r="A281" s="8"/>
      <c r="B281" s="8"/>
      <c r="C281" s="8"/>
      <c r="D281" s="8"/>
      <c r="E281" s="8"/>
      <c r="F281" s="8"/>
      <c r="G281" s="9"/>
      <c r="H281" s="8"/>
      <c r="I281" s="8"/>
      <c r="J281" s="8"/>
      <c r="K281" s="8"/>
      <c r="L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N281" s="9"/>
      <c r="AO281" s="9"/>
      <c r="AP281" s="9"/>
      <c r="AQ281" s="9"/>
      <c r="AR281" s="9"/>
      <c r="AS281" s="9"/>
      <c r="AT281" s="9"/>
    </row>
    <row r="282" ht="17.25" customHeight="1" spans="1:46">
      <c r="A282" s="8"/>
      <c r="B282" s="8"/>
      <c r="C282" s="8"/>
      <c r="D282" s="8"/>
      <c r="E282" s="8"/>
      <c r="F282" s="8"/>
      <c r="G282" s="9"/>
      <c r="H282" s="8"/>
      <c r="I282" s="8"/>
      <c r="J282" s="8"/>
      <c r="K282" s="8"/>
      <c r="L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N282" s="9"/>
      <c r="AO282" s="9"/>
      <c r="AP282" s="9"/>
      <c r="AQ282" s="9"/>
      <c r="AR282" s="9"/>
      <c r="AS282" s="9"/>
      <c r="AT282" s="9"/>
    </row>
    <row r="283" ht="17.25" customHeight="1" spans="1:46">
      <c r="A283" s="8"/>
      <c r="B283" s="8"/>
      <c r="C283" s="8"/>
      <c r="D283" s="8"/>
      <c r="E283" s="8"/>
      <c r="F283" s="8"/>
      <c r="G283" s="9"/>
      <c r="H283" s="8"/>
      <c r="I283" s="8"/>
      <c r="J283" s="8"/>
      <c r="K283" s="8"/>
      <c r="L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N283" s="9"/>
      <c r="AO283" s="9"/>
      <c r="AP283" s="9"/>
      <c r="AQ283" s="9"/>
      <c r="AR283" s="9"/>
      <c r="AS283" s="9"/>
      <c r="AT283" s="9"/>
    </row>
    <row r="284" ht="17.25" customHeight="1" spans="1:46">
      <c r="A284" s="8"/>
      <c r="B284" s="8"/>
      <c r="C284" s="8"/>
      <c r="D284" s="8"/>
      <c r="E284" s="8"/>
      <c r="F284" s="8"/>
      <c r="G284" s="9"/>
      <c r="H284" s="8"/>
      <c r="I284" s="8"/>
      <c r="J284" s="8"/>
      <c r="K284" s="8"/>
      <c r="L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N284" s="9"/>
      <c r="AO284" s="9"/>
      <c r="AP284" s="9"/>
      <c r="AQ284" s="9"/>
      <c r="AR284" s="9"/>
      <c r="AS284" s="9"/>
      <c r="AT284" s="9"/>
    </row>
    <row r="285" ht="17.25" customHeight="1" spans="1:46">
      <c r="A285" s="8"/>
      <c r="B285" s="8"/>
      <c r="C285" s="8"/>
      <c r="D285" s="8"/>
      <c r="E285" s="8"/>
      <c r="F285" s="8"/>
      <c r="G285" s="9"/>
      <c r="H285" s="8"/>
      <c r="I285" s="8"/>
      <c r="J285" s="8"/>
      <c r="K285" s="8"/>
      <c r="L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N285" s="9"/>
      <c r="AO285" s="9"/>
      <c r="AP285" s="9"/>
      <c r="AQ285" s="9"/>
      <c r="AR285" s="9"/>
      <c r="AS285" s="9"/>
      <c r="AT285" s="9"/>
    </row>
    <row r="286" ht="17.25" customHeight="1" spans="1:46">
      <c r="A286" s="8"/>
      <c r="B286" s="8"/>
      <c r="C286" s="8"/>
      <c r="D286" s="8"/>
      <c r="E286" s="8"/>
      <c r="F286" s="8"/>
      <c r="G286" s="9"/>
      <c r="H286" s="8"/>
      <c r="I286" s="8"/>
      <c r="J286" s="8"/>
      <c r="K286" s="8"/>
      <c r="L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N286" s="9"/>
      <c r="AO286" s="9"/>
      <c r="AP286" s="9"/>
      <c r="AQ286" s="9"/>
      <c r="AR286" s="9"/>
      <c r="AS286" s="9"/>
      <c r="AT286" s="9"/>
    </row>
    <row r="287" ht="17.25" customHeight="1" spans="1:46">
      <c r="A287" s="8"/>
      <c r="B287" s="8"/>
      <c r="C287" s="8"/>
      <c r="D287" s="8"/>
      <c r="E287" s="8"/>
      <c r="F287" s="8"/>
      <c r="G287" s="9"/>
      <c r="H287" s="8"/>
      <c r="I287" s="8"/>
      <c r="J287" s="8"/>
      <c r="K287" s="8"/>
      <c r="L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N287" s="9"/>
      <c r="AO287" s="9"/>
      <c r="AP287" s="9"/>
      <c r="AQ287" s="9"/>
      <c r="AR287" s="9"/>
      <c r="AS287" s="9"/>
      <c r="AT287" s="9"/>
    </row>
    <row r="288" ht="17.25" customHeight="1" spans="1:46">
      <c r="A288" s="8"/>
      <c r="B288" s="8"/>
      <c r="C288" s="8"/>
      <c r="D288" s="8"/>
      <c r="E288" s="8"/>
      <c r="F288" s="8"/>
      <c r="G288" s="9"/>
      <c r="H288" s="8"/>
      <c r="I288" s="8"/>
      <c r="J288" s="8"/>
      <c r="K288" s="8"/>
      <c r="L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N288" s="9"/>
      <c r="AO288" s="9"/>
      <c r="AP288" s="9"/>
      <c r="AQ288" s="9"/>
      <c r="AR288" s="9"/>
      <c r="AS288" s="9"/>
      <c r="AT288" s="9"/>
    </row>
    <row r="289" ht="17.25" customHeight="1" spans="1:46">
      <c r="A289" s="8"/>
      <c r="B289" s="8"/>
      <c r="C289" s="8"/>
      <c r="D289" s="8"/>
      <c r="E289" s="8"/>
      <c r="F289" s="8"/>
      <c r="G289" s="9"/>
      <c r="H289" s="8"/>
      <c r="I289" s="8"/>
      <c r="J289" s="8"/>
      <c r="K289" s="8"/>
      <c r="L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N289" s="9"/>
      <c r="AO289" s="9"/>
      <c r="AP289" s="9"/>
      <c r="AQ289" s="9"/>
      <c r="AR289" s="9"/>
      <c r="AS289" s="9"/>
      <c r="AT289" s="9"/>
    </row>
    <row r="290" ht="17.25" customHeight="1" spans="1:46">
      <c r="A290" s="8"/>
      <c r="B290" s="8"/>
      <c r="C290" s="8"/>
      <c r="D290" s="8"/>
      <c r="E290" s="8"/>
      <c r="F290" s="8"/>
      <c r="G290" s="9"/>
      <c r="H290" s="8"/>
      <c r="I290" s="8"/>
      <c r="J290" s="8"/>
      <c r="K290" s="8"/>
      <c r="L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N290" s="9"/>
      <c r="AO290" s="9"/>
      <c r="AP290" s="9"/>
      <c r="AQ290" s="9"/>
      <c r="AR290" s="9"/>
      <c r="AS290" s="9"/>
      <c r="AT290" s="9"/>
    </row>
    <row r="291" ht="17.25" customHeight="1" spans="1:46">
      <c r="A291" s="8"/>
      <c r="B291" s="8"/>
      <c r="C291" s="8"/>
      <c r="D291" s="8"/>
      <c r="E291" s="8"/>
      <c r="F291" s="8"/>
      <c r="G291" s="9"/>
      <c r="H291" s="8"/>
      <c r="I291" s="8"/>
      <c r="J291" s="8"/>
      <c r="K291" s="8"/>
      <c r="L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N291" s="9"/>
      <c r="AO291" s="9"/>
      <c r="AP291" s="9"/>
      <c r="AQ291" s="9"/>
      <c r="AR291" s="9"/>
      <c r="AS291" s="9"/>
      <c r="AT291" s="9"/>
    </row>
    <row r="292" ht="17.25" customHeight="1" spans="1:46">
      <c r="A292" s="8"/>
      <c r="B292" s="8"/>
      <c r="C292" s="8"/>
      <c r="D292" s="8"/>
      <c r="E292" s="8"/>
      <c r="F292" s="8"/>
      <c r="G292" s="9"/>
      <c r="H292" s="8"/>
      <c r="I292" s="8"/>
      <c r="J292" s="8"/>
      <c r="K292" s="8"/>
      <c r="L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N292" s="9"/>
      <c r="AO292" s="9"/>
      <c r="AP292" s="9"/>
      <c r="AQ292" s="9"/>
      <c r="AR292" s="9"/>
      <c r="AS292" s="9"/>
      <c r="AT292" s="9"/>
    </row>
    <row r="293" ht="17.25" customHeight="1" spans="1:46">
      <c r="A293" s="8"/>
      <c r="B293" s="8"/>
      <c r="C293" s="8"/>
      <c r="D293" s="8"/>
      <c r="E293" s="8"/>
      <c r="F293" s="8"/>
      <c r="G293" s="9"/>
      <c r="H293" s="8"/>
      <c r="I293" s="8"/>
      <c r="J293" s="8"/>
      <c r="K293" s="8"/>
      <c r="L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N293" s="9"/>
      <c r="AO293" s="9"/>
      <c r="AP293" s="9"/>
      <c r="AQ293" s="9"/>
      <c r="AR293" s="9"/>
      <c r="AS293" s="9"/>
      <c r="AT293" s="9"/>
    </row>
    <row r="294" ht="17.25" customHeight="1" spans="1:46">
      <c r="A294" s="8"/>
      <c r="B294" s="8"/>
      <c r="C294" s="8"/>
      <c r="D294" s="8"/>
      <c r="E294" s="8"/>
      <c r="F294" s="8"/>
      <c r="G294" s="9"/>
      <c r="H294" s="8"/>
      <c r="I294" s="8"/>
      <c r="J294" s="8"/>
      <c r="K294" s="8"/>
      <c r="L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N294" s="9"/>
      <c r="AO294" s="9"/>
      <c r="AP294" s="9"/>
      <c r="AQ294" s="9"/>
      <c r="AR294" s="9"/>
      <c r="AS294" s="9"/>
      <c r="AT294" s="9"/>
    </row>
    <row r="295" ht="17.25" customHeight="1" spans="1:46">
      <c r="A295" s="8"/>
      <c r="B295" s="8"/>
      <c r="C295" s="8"/>
      <c r="D295" s="8"/>
      <c r="E295" s="8"/>
      <c r="F295" s="8"/>
      <c r="G295" s="9"/>
      <c r="H295" s="8"/>
      <c r="I295" s="8"/>
      <c r="J295" s="8"/>
      <c r="K295" s="8"/>
      <c r="L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N295" s="9"/>
      <c r="AO295" s="9"/>
      <c r="AP295" s="9"/>
      <c r="AQ295" s="9"/>
      <c r="AR295" s="9"/>
      <c r="AS295" s="9"/>
      <c r="AT295" s="9"/>
    </row>
    <row r="296" ht="17.25" customHeight="1" spans="1:46">
      <c r="A296" s="8"/>
      <c r="B296" s="8"/>
      <c r="C296" s="8"/>
      <c r="D296" s="8"/>
      <c r="E296" s="8"/>
      <c r="F296" s="8"/>
      <c r="G296" s="9"/>
      <c r="H296" s="8"/>
      <c r="I296" s="8"/>
      <c r="J296" s="8"/>
      <c r="K296" s="8"/>
      <c r="L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N296" s="9"/>
      <c r="AO296" s="9"/>
      <c r="AP296" s="9"/>
      <c r="AQ296" s="9"/>
      <c r="AR296" s="9"/>
      <c r="AS296" s="9"/>
      <c r="AT296" s="9"/>
    </row>
    <row r="297" ht="17.25" customHeight="1" spans="1:46">
      <c r="A297" s="8"/>
      <c r="B297" s="8"/>
      <c r="C297" s="8"/>
      <c r="D297" s="8"/>
      <c r="E297" s="8"/>
      <c r="F297" s="8"/>
      <c r="G297" s="9"/>
      <c r="H297" s="8"/>
      <c r="I297" s="8"/>
      <c r="J297" s="8"/>
      <c r="K297" s="8"/>
      <c r="L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N297" s="9"/>
      <c r="AO297" s="9"/>
      <c r="AP297" s="9"/>
      <c r="AQ297" s="9"/>
      <c r="AR297" s="9"/>
      <c r="AS297" s="9"/>
      <c r="AT297" s="9"/>
    </row>
    <row r="298" ht="17.25" customHeight="1" spans="1:46">
      <c r="A298" s="8"/>
      <c r="B298" s="8"/>
      <c r="C298" s="8"/>
      <c r="D298" s="8"/>
      <c r="E298" s="8"/>
      <c r="F298" s="8"/>
      <c r="G298" s="9"/>
      <c r="H298" s="8"/>
      <c r="I298" s="8"/>
      <c r="J298" s="8"/>
      <c r="K298" s="8"/>
      <c r="L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N298" s="9"/>
      <c r="AO298" s="9"/>
      <c r="AP298" s="9"/>
      <c r="AQ298" s="9"/>
      <c r="AR298" s="9"/>
      <c r="AS298" s="9"/>
      <c r="AT298" s="9"/>
    </row>
    <row r="299" ht="17.25" customHeight="1" spans="1:46">
      <c r="A299" s="8"/>
      <c r="B299" s="8"/>
      <c r="C299" s="8"/>
      <c r="D299" s="8"/>
      <c r="E299" s="8"/>
      <c r="F299" s="8"/>
      <c r="G299" s="9"/>
      <c r="H299" s="8"/>
      <c r="I299" s="8"/>
      <c r="J299" s="8"/>
      <c r="K299" s="8"/>
      <c r="L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N299" s="9"/>
      <c r="AO299" s="9"/>
      <c r="AP299" s="9"/>
      <c r="AQ299" s="9"/>
      <c r="AR299" s="9"/>
      <c r="AS299" s="9"/>
      <c r="AT299" s="9"/>
    </row>
    <row r="300" ht="17.25" customHeight="1" spans="1:46">
      <c r="A300" s="8"/>
      <c r="B300" s="8"/>
      <c r="C300" s="8"/>
      <c r="D300" s="8"/>
      <c r="E300" s="8"/>
      <c r="F300" s="8"/>
      <c r="G300" s="9"/>
      <c r="H300" s="8"/>
      <c r="I300" s="8"/>
      <c r="J300" s="8"/>
      <c r="K300" s="8"/>
      <c r="L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N300" s="9"/>
      <c r="AO300" s="9"/>
      <c r="AP300" s="9"/>
      <c r="AQ300" s="9"/>
      <c r="AR300" s="9"/>
      <c r="AS300" s="9"/>
      <c r="AT300" s="9"/>
    </row>
    <row r="301" ht="17.25" customHeight="1" spans="1:46">
      <c r="A301" s="8"/>
      <c r="B301" s="8"/>
      <c r="C301" s="8"/>
      <c r="D301" s="8"/>
      <c r="E301" s="8"/>
      <c r="F301" s="8"/>
      <c r="G301" s="9"/>
      <c r="H301" s="8"/>
      <c r="I301" s="8"/>
      <c r="J301" s="8"/>
      <c r="K301" s="8"/>
      <c r="L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N301" s="9"/>
      <c r="AO301" s="9"/>
      <c r="AP301" s="9"/>
      <c r="AQ301" s="9"/>
      <c r="AR301" s="9"/>
      <c r="AS301" s="9"/>
      <c r="AT301" s="9"/>
    </row>
    <row r="302" ht="17.25" customHeight="1" spans="1:46">
      <c r="A302" s="8"/>
      <c r="B302" s="8"/>
      <c r="C302" s="8"/>
      <c r="D302" s="8"/>
      <c r="E302" s="8"/>
      <c r="F302" s="8"/>
      <c r="G302" s="9"/>
      <c r="H302" s="8"/>
      <c r="I302" s="8"/>
      <c r="J302" s="8"/>
      <c r="K302" s="8"/>
      <c r="L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N302" s="9"/>
      <c r="AO302" s="9"/>
      <c r="AP302" s="9"/>
      <c r="AQ302" s="9"/>
      <c r="AR302" s="9"/>
      <c r="AS302" s="9"/>
      <c r="AT302" s="9"/>
    </row>
    <row r="303" ht="17.25" customHeight="1" spans="1:46">
      <c r="A303" s="8"/>
      <c r="B303" s="8"/>
      <c r="C303" s="8"/>
      <c r="D303" s="8"/>
      <c r="E303" s="8"/>
      <c r="F303" s="8"/>
      <c r="G303" s="9"/>
      <c r="H303" s="8"/>
      <c r="I303" s="8"/>
      <c r="J303" s="8"/>
      <c r="K303" s="8"/>
      <c r="L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N303" s="9"/>
      <c r="AO303" s="9"/>
      <c r="AP303" s="9"/>
      <c r="AQ303" s="9"/>
      <c r="AR303" s="9"/>
      <c r="AS303" s="9"/>
      <c r="AT303" s="9"/>
    </row>
    <row r="304" ht="17.25" customHeight="1" spans="1:46">
      <c r="A304" s="8"/>
      <c r="B304" s="8"/>
      <c r="C304" s="8"/>
      <c r="D304" s="8"/>
      <c r="E304" s="8"/>
      <c r="F304" s="8"/>
      <c r="G304" s="9"/>
      <c r="H304" s="8"/>
      <c r="I304" s="8"/>
      <c r="J304" s="8"/>
      <c r="K304" s="8"/>
      <c r="L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N304" s="9"/>
      <c r="AO304" s="9"/>
      <c r="AP304" s="9"/>
      <c r="AQ304" s="9"/>
      <c r="AR304" s="9"/>
      <c r="AS304" s="9"/>
      <c r="AT304" s="9"/>
    </row>
    <row r="305" ht="17.25" customHeight="1" spans="1:46">
      <c r="A305" s="8"/>
      <c r="B305" s="8"/>
      <c r="C305" s="8"/>
      <c r="D305" s="8"/>
      <c r="E305" s="8"/>
      <c r="F305" s="8"/>
      <c r="G305" s="9"/>
      <c r="H305" s="8"/>
      <c r="I305" s="8"/>
      <c r="J305" s="8"/>
      <c r="K305" s="8"/>
      <c r="L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N305" s="9"/>
      <c r="AO305" s="9"/>
      <c r="AP305" s="9"/>
      <c r="AQ305" s="9"/>
      <c r="AR305" s="9"/>
      <c r="AS305" s="9"/>
      <c r="AT305" s="9"/>
    </row>
    <row r="306" ht="17.25" customHeight="1" spans="1:46">
      <c r="A306" s="8"/>
      <c r="B306" s="8"/>
      <c r="C306" s="8"/>
      <c r="D306" s="8"/>
      <c r="E306" s="8"/>
      <c r="F306" s="8"/>
      <c r="G306" s="9"/>
      <c r="H306" s="8"/>
      <c r="I306" s="8"/>
      <c r="J306" s="8"/>
      <c r="K306" s="8"/>
      <c r="L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N306" s="9"/>
      <c r="AO306" s="9"/>
      <c r="AP306" s="9"/>
      <c r="AQ306" s="9"/>
      <c r="AR306" s="9"/>
      <c r="AS306" s="9"/>
      <c r="AT306" s="9"/>
    </row>
    <row r="307" ht="17.25" customHeight="1" spans="1:46">
      <c r="A307" s="8"/>
      <c r="B307" s="8"/>
      <c r="C307" s="8"/>
      <c r="D307" s="8"/>
      <c r="E307" s="8"/>
      <c r="F307" s="8"/>
      <c r="G307" s="9"/>
      <c r="H307" s="8"/>
      <c r="I307" s="8"/>
      <c r="J307" s="8"/>
      <c r="K307" s="8"/>
      <c r="L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N307" s="9"/>
      <c r="AO307" s="9"/>
      <c r="AP307" s="9"/>
      <c r="AQ307" s="9"/>
      <c r="AR307" s="9"/>
      <c r="AS307" s="9"/>
      <c r="AT307" s="9"/>
    </row>
    <row r="308" ht="17.25" customHeight="1" spans="1:46">
      <c r="A308" s="8"/>
      <c r="B308" s="8"/>
      <c r="C308" s="8"/>
      <c r="D308" s="8"/>
      <c r="E308" s="8"/>
      <c r="F308" s="8"/>
      <c r="G308" s="9"/>
      <c r="H308" s="8"/>
      <c r="I308" s="8"/>
      <c r="J308" s="8"/>
      <c r="K308" s="8"/>
      <c r="L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N308" s="9"/>
      <c r="AO308" s="9"/>
      <c r="AP308" s="9"/>
      <c r="AQ308" s="9"/>
      <c r="AR308" s="9"/>
      <c r="AS308" s="9"/>
      <c r="AT308" s="9"/>
    </row>
    <row r="309" ht="17.25" customHeight="1" spans="1:46">
      <c r="A309" s="8"/>
      <c r="B309" s="8"/>
      <c r="C309" s="8"/>
      <c r="D309" s="8"/>
      <c r="E309" s="8"/>
      <c r="F309" s="8"/>
      <c r="G309" s="9"/>
      <c r="H309" s="8"/>
      <c r="I309" s="8"/>
      <c r="J309" s="8"/>
      <c r="K309" s="8"/>
      <c r="L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N309" s="9"/>
      <c r="AO309" s="9"/>
      <c r="AP309" s="9"/>
      <c r="AQ309" s="9"/>
      <c r="AR309" s="9"/>
      <c r="AS309" s="9"/>
      <c r="AT309" s="9"/>
    </row>
    <row r="310" ht="17.25" customHeight="1" spans="1:46">
      <c r="A310" s="8"/>
      <c r="B310" s="8"/>
      <c r="C310" s="8"/>
      <c r="D310" s="8"/>
      <c r="E310" s="8"/>
      <c r="F310" s="8"/>
      <c r="G310" s="9"/>
      <c r="H310" s="8"/>
      <c r="I310" s="8"/>
      <c r="J310" s="8"/>
      <c r="K310" s="8"/>
      <c r="L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N310" s="9"/>
      <c r="AO310" s="9"/>
      <c r="AP310" s="9"/>
      <c r="AQ310" s="9"/>
      <c r="AR310" s="9"/>
      <c r="AS310" s="9"/>
      <c r="AT310" s="9"/>
    </row>
    <row r="311" ht="17.25" customHeight="1" spans="1:46">
      <c r="A311" s="8"/>
      <c r="B311" s="8"/>
      <c r="C311" s="8"/>
      <c r="D311" s="8"/>
      <c r="E311" s="8"/>
      <c r="F311" s="8"/>
      <c r="G311" s="9"/>
      <c r="H311" s="8"/>
      <c r="I311" s="8"/>
      <c r="J311" s="8"/>
      <c r="K311" s="8"/>
      <c r="L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N311" s="9"/>
      <c r="AO311" s="9"/>
      <c r="AP311" s="9"/>
      <c r="AQ311" s="9"/>
      <c r="AR311" s="9"/>
      <c r="AS311" s="9"/>
      <c r="AT311" s="9"/>
    </row>
    <row r="312" ht="17.25" customHeight="1" spans="1:46">
      <c r="A312" s="8"/>
      <c r="B312" s="8"/>
      <c r="C312" s="8"/>
      <c r="D312" s="8"/>
      <c r="E312" s="8"/>
      <c r="F312" s="8"/>
      <c r="G312" s="9"/>
      <c r="H312" s="8"/>
      <c r="I312" s="8"/>
      <c r="J312" s="8"/>
      <c r="K312" s="8"/>
      <c r="L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N312" s="9"/>
      <c r="AO312" s="9"/>
      <c r="AP312" s="9"/>
      <c r="AQ312" s="9"/>
      <c r="AR312" s="9"/>
      <c r="AS312" s="9"/>
      <c r="AT312" s="9"/>
    </row>
    <row r="313" ht="17.25" customHeight="1" spans="1:46">
      <c r="A313" s="8"/>
      <c r="B313" s="8"/>
      <c r="C313" s="8"/>
      <c r="D313" s="8"/>
      <c r="E313" s="8"/>
      <c r="F313" s="8"/>
      <c r="G313" s="9"/>
      <c r="H313" s="8"/>
      <c r="I313" s="8"/>
      <c r="J313" s="8"/>
      <c r="K313" s="8"/>
      <c r="L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N313" s="9"/>
      <c r="AO313" s="9"/>
      <c r="AP313" s="9"/>
      <c r="AQ313" s="9"/>
      <c r="AR313" s="9"/>
      <c r="AS313" s="9"/>
      <c r="AT313" s="9"/>
    </row>
    <row r="314" ht="17.25" customHeight="1" spans="1:46">
      <c r="A314" s="8"/>
      <c r="B314" s="8"/>
      <c r="C314" s="8"/>
      <c r="D314" s="8"/>
      <c r="E314" s="8"/>
      <c r="F314" s="8"/>
      <c r="G314" s="9"/>
      <c r="H314" s="8"/>
      <c r="I314" s="8"/>
      <c r="J314" s="8"/>
      <c r="K314" s="8"/>
      <c r="L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N314" s="9"/>
      <c r="AO314" s="9"/>
      <c r="AP314" s="9"/>
      <c r="AQ314" s="9"/>
      <c r="AR314" s="9"/>
      <c r="AS314" s="9"/>
      <c r="AT314" s="9"/>
    </row>
    <row r="315" ht="17.25" customHeight="1" spans="1:46">
      <c r="A315" s="8"/>
      <c r="B315" s="8"/>
      <c r="C315" s="8"/>
      <c r="D315" s="8"/>
      <c r="E315" s="8"/>
      <c r="F315" s="8"/>
      <c r="G315" s="9"/>
      <c r="H315" s="8"/>
      <c r="I315" s="8"/>
      <c r="J315" s="8"/>
      <c r="K315" s="8"/>
      <c r="L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N315" s="9"/>
      <c r="AO315" s="9"/>
      <c r="AP315" s="9"/>
      <c r="AQ315" s="9"/>
      <c r="AR315" s="9"/>
      <c r="AS315" s="9"/>
      <c r="AT315" s="9"/>
    </row>
    <row r="316" ht="17.25" customHeight="1" spans="1:46">
      <c r="A316" s="8"/>
      <c r="B316" s="8"/>
      <c r="C316" s="8"/>
      <c r="D316" s="8"/>
      <c r="E316" s="8"/>
      <c r="F316" s="8"/>
      <c r="G316" s="9"/>
      <c r="H316" s="8"/>
      <c r="I316" s="8"/>
      <c r="J316" s="8"/>
      <c r="K316" s="8"/>
      <c r="L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N316" s="9"/>
      <c r="AO316" s="9"/>
      <c r="AP316" s="9"/>
      <c r="AQ316" s="9"/>
      <c r="AR316" s="9"/>
      <c r="AS316" s="9"/>
      <c r="AT316" s="9"/>
    </row>
    <row r="317" ht="17.25" customHeight="1" spans="1:46">
      <c r="A317" s="8"/>
      <c r="B317" s="8"/>
      <c r="C317" s="8"/>
      <c r="D317" s="8"/>
      <c r="E317" s="8"/>
      <c r="F317" s="8"/>
      <c r="G317" s="9"/>
      <c r="H317" s="8"/>
      <c r="I317" s="8"/>
      <c r="J317" s="8"/>
      <c r="K317" s="8"/>
      <c r="L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N317" s="9"/>
      <c r="AO317" s="9"/>
      <c r="AP317" s="9"/>
      <c r="AQ317" s="9"/>
      <c r="AR317" s="9"/>
      <c r="AS317" s="9"/>
      <c r="AT317" s="9"/>
    </row>
    <row r="318" ht="17.25" customHeight="1" spans="1:46">
      <c r="A318" s="8"/>
      <c r="B318" s="8"/>
      <c r="C318" s="8"/>
      <c r="D318" s="8"/>
      <c r="E318" s="8"/>
      <c r="F318" s="8"/>
      <c r="G318" s="9"/>
      <c r="H318" s="8"/>
      <c r="I318" s="8"/>
      <c r="J318" s="8"/>
      <c r="K318" s="8"/>
      <c r="L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N318" s="9"/>
      <c r="AO318" s="9"/>
      <c r="AP318" s="9"/>
      <c r="AQ318" s="9"/>
      <c r="AR318" s="9"/>
      <c r="AS318" s="9"/>
      <c r="AT318" s="9"/>
    </row>
    <row r="319" ht="17.25" customHeight="1" spans="1:46">
      <c r="A319" s="8"/>
      <c r="B319" s="8"/>
      <c r="C319" s="8"/>
      <c r="D319" s="8"/>
      <c r="E319" s="8"/>
      <c r="F319" s="8"/>
      <c r="G319" s="9"/>
      <c r="H319" s="8"/>
      <c r="I319" s="8"/>
      <c r="J319" s="8"/>
      <c r="K319" s="8"/>
      <c r="L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N319" s="9"/>
      <c r="AO319" s="9"/>
      <c r="AP319" s="9"/>
      <c r="AQ319" s="9"/>
      <c r="AR319" s="9"/>
      <c r="AS319" s="9"/>
      <c r="AT319" s="9"/>
    </row>
    <row r="320" ht="17.25" customHeight="1" spans="1:46">
      <c r="A320" s="8"/>
      <c r="B320" s="8"/>
      <c r="C320" s="8"/>
      <c r="D320" s="8"/>
      <c r="E320" s="8"/>
      <c r="F320" s="8"/>
      <c r="G320" s="9"/>
      <c r="H320" s="8"/>
      <c r="I320" s="8"/>
      <c r="J320" s="8"/>
      <c r="K320" s="8"/>
      <c r="L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N320" s="9"/>
      <c r="AO320" s="9"/>
      <c r="AP320" s="9"/>
      <c r="AQ320" s="9"/>
      <c r="AR320" s="9"/>
      <c r="AS320" s="9"/>
      <c r="AT320" s="9"/>
    </row>
    <row r="321" ht="17.25" customHeight="1" spans="1:46">
      <c r="A321" s="8"/>
      <c r="B321" s="8"/>
      <c r="C321" s="8"/>
      <c r="D321" s="8"/>
      <c r="E321" s="8"/>
      <c r="F321" s="8"/>
      <c r="G321" s="9"/>
      <c r="H321" s="8"/>
      <c r="I321" s="8"/>
      <c r="J321" s="8"/>
      <c r="K321" s="8"/>
      <c r="L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N321" s="9"/>
      <c r="AO321" s="9"/>
      <c r="AP321" s="9"/>
      <c r="AQ321" s="9"/>
      <c r="AR321" s="9"/>
      <c r="AS321" s="9"/>
      <c r="AT321" s="9"/>
    </row>
    <row r="322" ht="17.25" customHeight="1" spans="1:46">
      <c r="A322" s="8"/>
      <c r="B322" s="8"/>
      <c r="C322" s="8"/>
      <c r="D322" s="8"/>
      <c r="E322" s="8"/>
      <c r="F322" s="8"/>
      <c r="G322" s="9"/>
      <c r="H322" s="8"/>
      <c r="I322" s="8"/>
      <c r="J322" s="8"/>
      <c r="K322" s="8"/>
      <c r="L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N322" s="9"/>
      <c r="AO322" s="9"/>
      <c r="AP322" s="9"/>
      <c r="AQ322" s="9"/>
      <c r="AR322" s="9"/>
      <c r="AS322" s="9"/>
      <c r="AT322" s="9"/>
    </row>
    <row r="323" ht="17.25" customHeight="1" spans="1:46">
      <c r="A323" s="8"/>
      <c r="B323" s="8"/>
      <c r="C323" s="8"/>
      <c r="D323" s="8"/>
      <c r="E323" s="8"/>
      <c r="F323" s="8"/>
      <c r="G323" s="9"/>
      <c r="H323" s="8"/>
      <c r="I323" s="8"/>
      <c r="J323" s="8"/>
      <c r="K323" s="8"/>
      <c r="L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N323" s="9"/>
      <c r="AO323" s="9"/>
      <c r="AP323" s="9"/>
      <c r="AQ323" s="9"/>
      <c r="AR323" s="9"/>
      <c r="AS323" s="9"/>
      <c r="AT323" s="9"/>
    </row>
    <row r="324" ht="17.25" customHeight="1" spans="1:46">
      <c r="A324" s="8"/>
      <c r="B324" s="8"/>
      <c r="C324" s="8"/>
      <c r="D324" s="8"/>
      <c r="E324" s="8"/>
      <c r="F324" s="8"/>
      <c r="G324" s="9"/>
      <c r="H324" s="8"/>
      <c r="I324" s="8"/>
      <c r="J324" s="8"/>
      <c r="K324" s="8"/>
      <c r="L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N324" s="9"/>
      <c r="AO324" s="9"/>
      <c r="AP324" s="9"/>
      <c r="AQ324" s="9"/>
      <c r="AR324" s="9"/>
      <c r="AS324" s="9"/>
      <c r="AT324" s="9"/>
    </row>
    <row r="325" ht="17.25" customHeight="1" spans="1:46">
      <c r="A325" s="8"/>
      <c r="B325" s="8"/>
      <c r="C325" s="8"/>
      <c r="D325" s="8"/>
      <c r="E325" s="8"/>
      <c r="F325" s="8"/>
      <c r="G325" s="9"/>
      <c r="H325" s="8"/>
      <c r="I325" s="8"/>
      <c r="J325" s="8"/>
      <c r="K325" s="8"/>
      <c r="L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N325" s="9"/>
      <c r="AO325" s="9"/>
      <c r="AP325" s="9"/>
      <c r="AQ325" s="9"/>
      <c r="AR325" s="9"/>
      <c r="AS325" s="9"/>
      <c r="AT325" s="9"/>
    </row>
    <row r="326" ht="17.25" customHeight="1" spans="1:46">
      <c r="A326" s="8"/>
      <c r="B326" s="8"/>
      <c r="C326" s="8"/>
      <c r="D326" s="8"/>
      <c r="E326" s="8"/>
      <c r="F326" s="8"/>
      <c r="G326" s="9"/>
      <c r="H326" s="8"/>
      <c r="I326" s="8"/>
      <c r="J326" s="8"/>
      <c r="K326" s="8"/>
      <c r="L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N326" s="9"/>
      <c r="AO326" s="9"/>
      <c r="AP326" s="9"/>
      <c r="AQ326" s="9"/>
      <c r="AR326" s="9"/>
      <c r="AS326" s="9"/>
      <c r="AT326" s="9"/>
    </row>
    <row r="327" ht="17.25" customHeight="1" spans="1:46">
      <c r="A327" s="8"/>
      <c r="B327" s="8"/>
      <c r="C327" s="8"/>
      <c r="D327" s="8"/>
      <c r="E327" s="8"/>
      <c r="F327" s="8"/>
      <c r="G327" s="9"/>
      <c r="H327" s="8"/>
      <c r="I327" s="8"/>
      <c r="J327" s="8"/>
      <c r="K327" s="8"/>
      <c r="L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N327" s="9"/>
      <c r="AO327" s="9"/>
      <c r="AP327" s="9"/>
      <c r="AQ327" s="9"/>
      <c r="AR327" s="9"/>
      <c r="AS327" s="9"/>
      <c r="AT327" s="9"/>
    </row>
    <row r="328" ht="17.25" customHeight="1" spans="1:46">
      <c r="A328" s="8"/>
      <c r="B328" s="8"/>
      <c r="C328" s="8"/>
      <c r="D328" s="8"/>
      <c r="E328" s="8"/>
      <c r="F328" s="8"/>
      <c r="G328" s="9"/>
      <c r="H328" s="8"/>
      <c r="I328" s="8"/>
      <c r="J328" s="8"/>
      <c r="K328" s="8"/>
      <c r="L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N328" s="9"/>
      <c r="AO328" s="9"/>
      <c r="AP328" s="9"/>
      <c r="AQ328" s="9"/>
      <c r="AR328" s="9"/>
      <c r="AS328" s="9"/>
      <c r="AT328" s="9"/>
    </row>
    <row r="329" ht="17.25" customHeight="1" spans="1:46">
      <c r="A329" s="8"/>
      <c r="B329" s="8"/>
      <c r="C329" s="8"/>
      <c r="D329" s="8"/>
      <c r="E329" s="8"/>
      <c r="F329" s="8"/>
      <c r="G329" s="9"/>
      <c r="H329" s="8"/>
      <c r="I329" s="8"/>
      <c r="J329" s="8"/>
      <c r="K329" s="8"/>
      <c r="L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N329" s="9"/>
      <c r="AO329" s="9"/>
      <c r="AP329" s="9"/>
      <c r="AQ329" s="9"/>
      <c r="AR329" s="9"/>
      <c r="AS329" s="9"/>
      <c r="AT329" s="9"/>
    </row>
    <row r="330" ht="17.25" customHeight="1" spans="1:46">
      <c r="A330" s="8"/>
      <c r="B330" s="8"/>
      <c r="C330" s="8"/>
      <c r="D330" s="8"/>
      <c r="E330" s="8"/>
      <c r="F330" s="8"/>
      <c r="G330" s="9"/>
      <c r="H330" s="8"/>
      <c r="I330" s="8"/>
      <c r="J330" s="8"/>
      <c r="K330" s="8"/>
      <c r="L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N330" s="9"/>
      <c r="AO330" s="9"/>
      <c r="AP330" s="9"/>
      <c r="AQ330" s="9"/>
      <c r="AR330" s="9"/>
      <c r="AS330" s="9"/>
      <c r="AT330" s="9"/>
    </row>
    <row r="331" ht="17.25" customHeight="1" spans="1:46">
      <c r="A331" s="8"/>
      <c r="B331" s="8"/>
      <c r="C331" s="8"/>
      <c r="D331" s="8"/>
      <c r="E331" s="8"/>
      <c r="F331" s="8"/>
      <c r="G331" s="9"/>
      <c r="H331" s="8"/>
      <c r="I331" s="8"/>
      <c r="J331" s="8"/>
      <c r="K331" s="8"/>
      <c r="L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N331" s="9"/>
      <c r="AO331" s="9"/>
      <c r="AP331" s="9"/>
      <c r="AQ331" s="9"/>
      <c r="AR331" s="9"/>
      <c r="AS331" s="9"/>
      <c r="AT331" s="9"/>
    </row>
    <row r="332" ht="17.25" customHeight="1" spans="1:46">
      <c r="A332" s="8"/>
      <c r="B332" s="8"/>
      <c r="C332" s="8"/>
      <c r="D332" s="8"/>
      <c r="E332" s="8"/>
      <c r="F332" s="8"/>
      <c r="G332" s="9"/>
      <c r="H332" s="8"/>
      <c r="I332" s="8"/>
      <c r="J332" s="8"/>
      <c r="K332" s="8"/>
      <c r="L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N332" s="9"/>
      <c r="AO332" s="9"/>
      <c r="AP332" s="9"/>
      <c r="AQ332" s="9"/>
      <c r="AR332" s="9"/>
      <c r="AS332" s="9"/>
      <c r="AT332" s="9"/>
    </row>
    <row r="333" ht="17.25" customHeight="1" spans="1:46">
      <c r="A333" s="8"/>
      <c r="B333" s="8"/>
      <c r="C333" s="8"/>
      <c r="D333" s="8"/>
      <c r="E333" s="8"/>
      <c r="F333" s="8"/>
      <c r="G333" s="9"/>
      <c r="H333" s="8"/>
      <c r="I333" s="8"/>
      <c r="J333" s="8"/>
      <c r="K333" s="8"/>
      <c r="L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N333" s="9"/>
      <c r="AO333" s="9"/>
      <c r="AP333" s="9"/>
      <c r="AQ333" s="9"/>
      <c r="AR333" s="9"/>
      <c r="AS333" s="9"/>
      <c r="AT333" s="9"/>
    </row>
    <row r="334" ht="17.25" customHeight="1" spans="1:46">
      <c r="A334" s="8"/>
      <c r="B334" s="8"/>
      <c r="C334" s="8"/>
      <c r="D334" s="8"/>
      <c r="E334" s="8"/>
      <c r="F334" s="8"/>
      <c r="G334" s="9"/>
      <c r="H334" s="8"/>
      <c r="I334" s="8"/>
      <c r="J334" s="8"/>
      <c r="K334" s="8"/>
      <c r="L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N334" s="9"/>
      <c r="AO334" s="9"/>
      <c r="AP334" s="9"/>
      <c r="AQ334" s="9"/>
      <c r="AR334" s="9"/>
      <c r="AS334" s="9"/>
      <c r="AT334" s="9"/>
    </row>
    <row r="335" ht="17.25" customHeight="1" spans="1:46">
      <c r="A335" s="8"/>
      <c r="B335" s="8"/>
      <c r="C335" s="8"/>
      <c r="D335" s="8"/>
      <c r="E335" s="8"/>
      <c r="F335" s="8"/>
      <c r="G335" s="9"/>
      <c r="H335" s="8"/>
      <c r="I335" s="8"/>
      <c r="J335" s="8"/>
      <c r="K335" s="8"/>
      <c r="L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N335" s="9"/>
      <c r="AO335" s="9"/>
      <c r="AP335" s="9"/>
      <c r="AQ335" s="9"/>
      <c r="AR335" s="9"/>
      <c r="AS335" s="9"/>
      <c r="AT335" s="9"/>
    </row>
    <row r="336" ht="17.25" customHeight="1" spans="1:46">
      <c r="A336" s="8"/>
      <c r="B336" s="8"/>
      <c r="C336" s="8"/>
      <c r="D336" s="8"/>
      <c r="E336" s="8"/>
      <c r="F336" s="8"/>
      <c r="G336" s="9"/>
      <c r="H336" s="8"/>
      <c r="I336" s="8"/>
      <c r="J336" s="8"/>
      <c r="K336" s="8"/>
      <c r="L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N336" s="9"/>
      <c r="AO336" s="9"/>
      <c r="AP336" s="9"/>
      <c r="AQ336" s="9"/>
      <c r="AR336" s="9"/>
      <c r="AS336" s="9"/>
      <c r="AT336" s="9"/>
    </row>
    <row r="337" ht="17.25" customHeight="1" spans="1:46">
      <c r="A337" s="8"/>
      <c r="B337" s="8"/>
      <c r="C337" s="8"/>
      <c r="D337" s="8"/>
      <c r="E337" s="8"/>
      <c r="F337" s="8"/>
      <c r="G337" s="9"/>
      <c r="H337" s="8"/>
      <c r="I337" s="8"/>
      <c r="J337" s="8"/>
      <c r="K337" s="8"/>
      <c r="L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N337" s="9"/>
      <c r="AO337" s="9"/>
      <c r="AP337" s="9"/>
      <c r="AQ337" s="9"/>
      <c r="AR337" s="9"/>
      <c r="AS337" s="9"/>
      <c r="AT337" s="9"/>
    </row>
    <row r="338" ht="17.25" customHeight="1" spans="1:46">
      <c r="A338" s="8"/>
      <c r="B338" s="8"/>
      <c r="C338" s="8"/>
      <c r="D338" s="8"/>
      <c r="E338" s="8"/>
      <c r="F338" s="8"/>
      <c r="G338" s="9"/>
      <c r="H338" s="8"/>
      <c r="I338" s="8"/>
      <c r="J338" s="8"/>
      <c r="K338" s="8"/>
      <c r="L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N338" s="9"/>
      <c r="AO338" s="9"/>
      <c r="AP338" s="9"/>
      <c r="AQ338" s="9"/>
      <c r="AR338" s="9"/>
      <c r="AS338" s="9"/>
      <c r="AT338" s="9"/>
    </row>
    <row r="339" ht="17.25" customHeight="1" spans="1:46">
      <c r="A339" s="8"/>
      <c r="B339" s="8"/>
      <c r="C339" s="8"/>
      <c r="D339" s="8"/>
      <c r="E339" s="8"/>
      <c r="F339" s="8"/>
      <c r="G339" s="9"/>
      <c r="H339" s="8"/>
      <c r="I339" s="8"/>
      <c r="J339" s="8"/>
      <c r="K339" s="8"/>
      <c r="L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N339" s="9"/>
      <c r="AO339" s="9"/>
      <c r="AP339" s="9"/>
      <c r="AQ339" s="9"/>
      <c r="AR339" s="9"/>
      <c r="AS339" s="9"/>
      <c r="AT339" s="9"/>
    </row>
    <row r="340" ht="17.25" customHeight="1" spans="1:46">
      <c r="A340" s="8"/>
      <c r="B340" s="8"/>
      <c r="C340" s="8"/>
      <c r="D340" s="8"/>
      <c r="E340" s="8"/>
      <c r="F340" s="8"/>
      <c r="G340" s="9"/>
      <c r="H340" s="8"/>
      <c r="I340" s="8"/>
      <c r="J340" s="8"/>
      <c r="K340" s="8"/>
      <c r="L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N340" s="9"/>
      <c r="AO340" s="9"/>
      <c r="AP340" s="9"/>
      <c r="AQ340" s="9"/>
      <c r="AR340" s="9"/>
      <c r="AS340" s="9"/>
      <c r="AT340" s="9"/>
    </row>
    <row r="341" ht="17.25" customHeight="1" spans="1:46">
      <c r="A341" s="8"/>
      <c r="B341" s="8"/>
      <c r="C341" s="8"/>
      <c r="D341" s="8"/>
      <c r="E341" s="8"/>
      <c r="F341" s="8"/>
      <c r="G341" s="9"/>
      <c r="H341" s="8"/>
      <c r="I341" s="8"/>
      <c r="J341" s="8"/>
      <c r="K341" s="8"/>
      <c r="L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N341" s="9"/>
      <c r="AO341" s="9"/>
      <c r="AP341" s="9"/>
      <c r="AQ341" s="9"/>
      <c r="AR341" s="9"/>
      <c r="AS341" s="9"/>
      <c r="AT341" s="9"/>
    </row>
    <row r="342" ht="17.25" customHeight="1" spans="1:46">
      <c r="A342" s="8"/>
      <c r="B342" s="8"/>
      <c r="C342" s="8"/>
      <c r="D342" s="8"/>
      <c r="E342" s="8"/>
      <c r="F342" s="8"/>
      <c r="G342" s="9"/>
      <c r="H342" s="8"/>
      <c r="I342" s="8"/>
      <c r="J342" s="8"/>
      <c r="K342" s="8"/>
      <c r="L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N342" s="9"/>
      <c r="AO342" s="9"/>
      <c r="AP342" s="9"/>
      <c r="AQ342" s="9"/>
      <c r="AR342" s="9"/>
      <c r="AS342" s="9"/>
      <c r="AT342" s="9"/>
    </row>
    <row r="343" ht="17.25" customHeight="1" spans="1:46">
      <c r="A343" s="8"/>
      <c r="B343" s="8"/>
      <c r="C343" s="8"/>
      <c r="D343" s="8"/>
      <c r="E343" s="8"/>
      <c r="F343" s="8"/>
      <c r="G343" s="9"/>
      <c r="H343" s="8"/>
      <c r="I343" s="8"/>
      <c r="J343" s="8"/>
      <c r="K343" s="8"/>
      <c r="L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N343" s="9"/>
      <c r="AO343" s="9"/>
      <c r="AP343" s="9"/>
      <c r="AQ343" s="9"/>
      <c r="AR343" s="9"/>
      <c r="AS343" s="9"/>
      <c r="AT343" s="9"/>
    </row>
    <row r="344" ht="17.25" customHeight="1" spans="1:46">
      <c r="A344" s="8"/>
      <c r="B344" s="8"/>
      <c r="C344" s="8"/>
      <c r="D344" s="8"/>
      <c r="E344" s="8"/>
      <c r="F344" s="8"/>
      <c r="G344" s="9"/>
      <c r="H344" s="8"/>
      <c r="I344" s="8"/>
      <c r="J344" s="8"/>
      <c r="K344" s="8"/>
      <c r="L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N344" s="9"/>
      <c r="AO344" s="9"/>
      <c r="AP344" s="9"/>
      <c r="AQ344" s="9"/>
      <c r="AR344" s="9"/>
      <c r="AS344" s="9"/>
      <c r="AT344" s="9"/>
    </row>
    <row r="345" ht="17.25" customHeight="1" spans="1:46">
      <c r="A345" s="8"/>
      <c r="B345" s="8"/>
      <c r="C345" s="8"/>
      <c r="D345" s="8"/>
      <c r="E345" s="8"/>
      <c r="F345" s="8"/>
      <c r="G345" s="9"/>
      <c r="H345" s="8"/>
      <c r="I345" s="8"/>
      <c r="J345" s="8"/>
      <c r="K345" s="8"/>
      <c r="L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N345" s="9"/>
      <c r="AO345" s="9"/>
      <c r="AP345" s="9"/>
      <c r="AQ345" s="9"/>
      <c r="AR345" s="9"/>
      <c r="AS345" s="9"/>
      <c r="AT345" s="9"/>
    </row>
    <row r="346" ht="17.25" customHeight="1" spans="1:46">
      <c r="A346" s="8"/>
      <c r="B346" s="8"/>
      <c r="C346" s="8"/>
      <c r="D346" s="8"/>
      <c r="E346" s="8"/>
      <c r="F346" s="8"/>
      <c r="G346" s="9"/>
      <c r="H346" s="8"/>
      <c r="I346" s="8"/>
      <c r="J346" s="8"/>
      <c r="K346" s="8"/>
      <c r="L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N346" s="9"/>
      <c r="AO346" s="9"/>
      <c r="AP346" s="9"/>
      <c r="AQ346" s="9"/>
      <c r="AR346" s="9"/>
      <c r="AS346" s="9"/>
      <c r="AT346" s="9"/>
    </row>
    <row r="347" ht="17.25" customHeight="1" spans="1:46">
      <c r="A347" s="8"/>
      <c r="B347" s="8"/>
      <c r="C347" s="8"/>
      <c r="D347" s="8"/>
      <c r="E347" s="8"/>
      <c r="F347" s="8"/>
      <c r="G347" s="9"/>
      <c r="H347" s="8"/>
      <c r="I347" s="8"/>
      <c r="J347" s="8"/>
      <c r="K347" s="8"/>
      <c r="L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N347" s="9"/>
      <c r="AO347" s="9"/>
      <c r="AP347" s="9"/>
      <c r="AQ347" s="9"/>
      <c r="AR347" s="9"/>
      <c r="AS347" s="9"/>
      <c r="AT347" s="9"/>
    </row>
    <row r="348" ht="17.25" customHeight="1" spans="1:46">
      <c r="A348" s="8"/>
      <c r="B348" s="8"/>
      <c r="C348" s="8"/>
      <c r="D348" s="8"/>
      <c r="E348" s="8"/>
      <c r="F348" s="8"/>
      <c r="G348" s="9"/>
      <c r="H348" s="8"/>
      <c r="I348" s="8"/>
      <c r="J348" s="8"/>
      <c r="K348" s="8"/>
      <c r="L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N348" s="9"/>
      <c r="AO348" s="9"/>
      <c r="AP348" s="9"/>
      <c r="AQ348" s="9"/>
      <c r="AR348" s="9"/>
      <c r="AS348" s="9"/>
      <c r="AT348" s="9"/>
    </row>
    <row r="349" ht="17.25" customHeight="1" spans="1:46">
      <c r="A349" s="8"/>
      <c r="B349" s="8"/>
      <c r="C349" s="8"/>
      <c r="D349" s="8"/>
      <c r="E349" s="8"/>
      <c r="F349" s="8"/>
      <c r="G349" s="9"/>
      <c r="H349" s="8"/>
      <c r="I349" s="8"/>
      <c r="J349" s="8"/>
      <c r="K349" s="8"/>
      <c r="L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N349" s="9"/>
      <c r="AO349" s="9"/>
      <c r="AP349" s="9"/>
      <c r="AQ349" s="9"/>
      <c r="AR349" s="9"/>
      <c r="AS349" s="9"/>
      <c r="AT349" s="9"/>
    </row>
    <row r="350" ht="17.25" customHeight="1" spans="1:46">
      <c r="A350" s="8"/>
      <c r="B350" s="8"/>
      <c r="C350" s="8"/>
      <c r="D350" s="8"/>
      <c r="E350" s="8"/>
      <c r="F350" s="8"/>
      <c r="G350" s="9"/>
      <c r="H350" s="8"/>
      <c r="I350" s="8"/>
      <c r="J350" s="8"/>
      <c r="K350" s="8"/>
      <c r="L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N350" s="9"/>
      <c r="AO350" s="9"/>
      <c r="AP350" s="9"/>
      <c r="AQ350" s="9"/>
      <c r="AR350" s="9"/>
      <c r="AS350" s="9"/>
      <c r="AT350" s="9"/>
    </row>
    <row r="351" ht="17.25" customHeight="1" spans="1:46">
      <c r="A351" s="8"/>
      <c r="B351" s="8"/>
      <c r="C351" s="8"/>
      <c r="D351" s="8"/>
      <c r="E351" s="8"/>
      <c r="F351" s="8"/>
      <c r="G351" s="9"/>
      <c r="H351" s="8"/>
      <c r="I351" s="8"/>
      <c r="J351" s="8"/>
      <c r="K351" s="8"/>
      <c r="L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N351" s="9"/>
      <c r="AO351" s="9"/>
      <c r="AP351" s="9"/>
      <c r="AQ351" s="9"/>
      <c r="AR351" s="9"/>
      <c r="AS351" s="9"/>
      <c r="AT351" s="9"/>
    </row>
    <row r="352" ht="17.25" customHeight="1" spans="1:46">
      <c r="A352" s="8"/>
      <c r="B352" s="8"/>
      <c r="C352" s="8"/>
      <c r="D352" s="8"/>
      <c r="E352" s="8"/>
      <c r="F352" s="8"/>
      <c r="G352" s="9"/>
      <c r="H352" s="8"/>
      <c r="I352" s="8"/>
      <c r="J352" s="8"/>
      <c r="K352" s="8"/>
      <c r="L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N352" s="9"/>
      <c r="AO352" s="9"/>
      <c r="AP352" s="9"/>
      <c r="AQ352" s="9"/>
      <c r="AR352" s="9"/>
      <c r="AS352" s="9"/>
      <c r="AT352" s="9"/>
    </row>
    <row r="353" ht="17.25" customHeight="1" spans="1:46">
      <c r="A353" s="8"/>
      <c r="B353" s="8"/>
      <c r="C353" s="8"/>
      <c r="D353" s="8"/>
      <c r="E353" s="8"/>
      <c r="F353" s="8"/>
      <c r="G353" s="9"/>
      <c r="H353" s="8"/>
      <c r="I353" s="8"/>
      <c r="J353" s="8"/>
      <c r="K353" s="8"/>
      <c r="L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N353" s="9"/>
      <c r="AO353" s="9"/>
      <c r="AP353" s="9"/>
      <c r="AQ353" s="9"/>
      <c r="AR353" s="9"/>
      <c r="AS353" s="9"/>
      <c r="AT353" s="9"/>
    </row>
    <row r="354" ht="17.25" customHeight="1" spans="1:46">
      <c r="A354" s="8"/>
      <c r="B354" s="8"/>
      <c r="C354" s="8"/>
      <c r="D354" s="8"/>
      <c r="E354" s="8"/>
      <c r="F354" s="8"/>
      <c r="G354" s="9"/>
      <c r="H354" s="8"/>
      <c r="I354" s="8"/>
      <c r="J354" s="8"/>
      <c r="K354" s="8"/>
      <c r="L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N354" s="9"/>
      <c r="AO354" s="9"/>
      <c r="AP354" s="9"/>
      <c r="AQ354" s="9"/>
      <c r="AR354" s="9"/>
      <c r="AS354" s="9"/>
      <c r="AT354" s="9"/>
    </row>
    <row r="355" ht="17.25" customHeight="1" spans="1:46">
      <c r="A355" s="8"/>
      <c r="B355" s="8"/>
      <c r="C355" s="8"/>
      <c r="D355" s="8"/>
      <c r="E355" s="8"/>
      <c r="F355" s="8"/>
      <c r="G355" s="9"/>
      <c r="H355" s="8"/>
      <c r="I355" s="8"/>
      <c r="J355" s="8"/>
      <c r="K355" s="8"/>
      <c r="L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N355" s="9"/>
      <c r="AO355" s="9"/>
      <c r="AP355" s="9"/>
      <c r="AQ355" s="9"/>
      <c r="AR355" s="9"/>
      <c r="AS355" s="9"/>
      <c r="AT355" s="9"/>
    </row>
    <row r="356" ht="17.25" customHeight="1" spans="1:46">
      <c r="A356" s="8"/>
      <c r="B356" s="8"/>
      <c r="C356" s="8"/>
      <c r="D356" s="8"/>
      <c r="E356" s="8"/>
      <c r="F356" s="8"/>
      <c r="G356" s="9"/>
      <c r="H356" s="8"/>
      <c r="I356" s="8"/>
      <c r="J356" s="8"/>
      <c r="K356" s="8"/>
      <c r="L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N356" s="9"/>
      <c r="AO356" s="9"/>
      <c r="AP356" s="9"/>
      <c r="AQ356" s="9"/>
      <c r="AR356" s="9"/>
      <c r="AS356" s="9"/>
      <c r="AT356" s="9"/>
    </row>
    <row r="357" ht="17.25" customHeight="1" spans="1:46">
      <c r="A357" s="8"/>
      <c r="B357" s="8"/>
      <c r="C357" s="8"/>
      <c r="D357" s="8"/>
      <c r="E357" s="8"/>
      <c r="F357" s="8"/>
      <c r="G357" s="9"/>
      <c r="H357" s="8"/>
      <c r="I357" s="8"/>
      <c r="J357" s="8"/>
      <c r="K357" s="8"/>
      <c r="L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N357" s="9"/>
      <c r="AO357" s="9"/>
      <c r="AP357" s="9"/>
      <c r="AQ357" s="9"/>
      <c r="AR357" s="9"/>
      <c r="AS357" s="9"/>
      <c r="AT357" s="9"/>
    </row>
    <row r="358" ht="17.25" customHeight="1" spans="1:46">
      <c r="A358" s="8"/>
      <c r="B358" s="8"/>
      <c r="C358" s="8"/>
      <c r="D358" s="8"/>
      <c r="E358" s="8"/>
      <c r="F358" s="8"/>
      <c r="G358" s="9"/>
      <c r="H358" s="8"/>
      <c r="I358" s="8"/>
      <c r="J358" s="8"/>
      <c r="K358" s="8"/>
      <c r="L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N358" s="9"/>
      <c r="AO358" s="9"/>
      <c r="AP358" s="9"/>
      <c r="AQ358" s="9"/>
      <c r="AR358" s="9"/>
      <c r="AS358" s="9"/>
      <c r="AT358" s="9"/>
    </row>
    <row r="359" ht="17.25" customHeight="1" spans="1:46">
      <c r="A359" s="8"/>
      <c r="B359" s="8"/>
      <c r="C359" s="8"/>
      <c r="D359" s="8"/>
      <c r="E359" s="8"/>
      <c r="F359" s="8"/>
      <c r="G359" s="9"/>
      <c r="H359" s="8"/>
      <c r="I359" s="8"/>
      <c r="J359" s="8"/>
      <c r="K359" s="8"/>
      <c r="L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N359" s="9"/>
      <c r="AO359" s="9"/>
      <c r="AP359" s="9"/>
      <c r="AQ359" s="9"/>
      <c r="AR359" s="9"/>
      <c r="AS359" s="9"/>
      <c r="AT359" s="9"/>
    </row>
    <row r="360" ht="17.25" customHeight="1" spans="1:46">
      <c r="A360" s="8"/>
      <c r="B360" s="8"/>
      <c r="C360" s="8"/>
      <c r="D360" s="8"/>
      <c r="E360" s="8"/>
      <c r="F360" s="8"/>
      <c r="G360" s="9"/>
      <c r="H360" s="8"/>
      <c r="I360" s="8"/>
      <c r="J360" s="8"/>
      <c r="K360" s="8"/>
      <c r="L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N360" s="9"/>
      <c r="AO360" s="9"/>
      <c r="AP360" s="9"/>
      <c r="AQ360" s="9"/>
      <c r="AR360" s="9"/>
      <c r="AS360" s="9"/>
      <c r="AT360" s="9"/>
    </row>
    <row r="361" ht="17.25" customHeight="1" spans="1:46">
      <c r="A361" s="8"/>
      <c r="B361" s="8"/>
      <c r="C361" s="8"/>
      <c r="D361" s="8"/>
      <c r="E361" s="8"/>
      <c r="F361" s="8"/>
      <c r="G361" s="9"/>
      <c r="H361" s="8"/>
      <c r="I361" s="8"/>
      <c r="J361" s="8"/>
      <c r="K361" s="8"/>
      <c r="L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N361" s="9"/>
      <c r="AO361" s="9"/>
      <c r="AP361" s="9"/>
      <c r="AQ361" s="9"/>
      <c r="AR361" s="9"/>
      <c r="AS361" s="9"/>
      <c r="AT361" s="9"/>
    </row>
    <row r="362" ht="17.25" customHeight="1" spans="1:46">
      <c r="A362" s="8"/>
      <c r="B362" s="8"/>
      <c r="C362" s="8"/>
      <c r="D362" s="8"/>
      <c r="E362" s="8"/>
      <c r="F362" s="8"/>
      <c r="G362" s="9"/>
      <c r="H362" s="8"/>
      <c r="I362" s="8"/>
      <c r="J362" s="8"/>
      <c r="K362" s="8"/>
      <c r="L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N362" s="9"/>
      <c r="AO362" s="9"/>
      <c r="AP362" s="9"/>
      <c r="AQ362" s="9"/>
      <c r="AR362" s="9"/>
      <c r="AS362" s="9"/>
      <c r="AT362" s="9"/>
    </row>
    <row r="363" ht="17.25" customHeight="1" spans="1:46">
      <c r="A363" s="8"/>
      <c r="B363" s="8"/>
      <c r="C363" s="8"/>
      <c r="D363" s="8"/>
      <c r="E363" s="8"/>
      <c r="F363" s="8"/>
      <c r="G363" s="9"/>
      <c r="H363" s="8"/>
      <c r="I363" s="8"/>
      <c r="J363" s="8"/>
      <c r="K363" s="8"/>
      <c r="L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N363" s="9"/>
      <c r="AO363" s="9"/>
      <c r="AP363" s="9"/>
      <c r="AQ363" s="9"/>
      <c r="AR363" s="9"/>
      <c r="AS363" s="9"/>
      <c r="AT363" s="9"/>
    </row>
    <row r="364" ht="17.25" customHeight="1" spans="1:46">
      <c r="A364" s="8"/>
      <c r="B364" s="8"/>
      <c r="C364" s="8"/>
      <c r="D364" s="8"/>
      <c r="E364" s="8"/>
      <c r="F364" s="8"/>
      <c r="G364" s="9"/>
      <c r="H364" s="8"/>
      <c r="I364" s="8"/>
      <c r="J364" s="8"/>
      <c r="K364" s="8"/>
      <c r="L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N364" s="9"/>
      <c r="AO364" s="9"/>
      <c r="AP364" s="9"/>
      <c r="AQ364" s="9"/>
      <c r="AR364" s="9"/>
      <c r="AS364" s="9"/>
      <c r="AT364" s="9"/>
    </row>
    <row r="365" ht="17.25" customHeight="1" spans="1:46">
      <c r="A365" s="8"/>
      <c r="B365" s="8"/>
      <c r="C365" s="8"/>
      <c r="D365" s="8"/>
      <c r="E365" s="8"/>
      <c r="F365" s="8"/>
      <c r="G365" s="9"/>
      <c r="H365" s="8"/>
      <c r="I365" s="8"/>
      <c r="J365" s="8"/>
      <c r="K365" s="8"/>
      <c r="L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N365" s="9"/>
      <c r="AO365" s="9"/>
      <c r="AP365" s="9"/>
      <c r="AQ365" s="9"/>
      <c r="AR365" s="9"/>
      <c r="AS365" s="9"/>
      <c r="AT365" s="9"/>
    </row>
    <row r="366" ht="17.25" customHeight="1" spans="1:46">
      <c r="A366" s="8"/>
      <c r="B366" s="8"/>
      <c r="C366" s="8"/>
      <c r="D366" s="8"/>
      <c r="E366" s="8"/>
      <c r="F366" s="8"/>
      <c r="G366" s="9"/>
      <c r="H366" s="8"/>
      <c r="I366" s="8"/>
      <c r="J366" s="8"/>
      <c r="K366" s="8"/>
      <c r="L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N366" s="9"/>
      <c r="AO366" s="9"/>
      <c r="AP366" s="9"/>
      <c r="AQ366" s="9"/>
      <c r="AR366" s="9"/>
      <c r="AS366" s="9"/>
      <c r="AT366" s="9"/>
    </row>
    <row r="367" ht="17.25" customHeight="1" spans="1:46">
      <c r="A367" s="8"/>
      <c r="B367" s="8"/>
      <c r="C367" s="8"/>
      <c r="D367" s="8"/>
      <c r="E367" s="8"/>
      <c r="F367" s="8"/>
      <c r="G367" s="9"/>
      <c r="H367" s="8"/>
      <c r="I367" s="8"/>
      <c r="J367" s="8"/>
      <c r="K367" s="8"/>
      <c r="L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N367" s="9"/>
      <c r="AO367" s="9"/>
      <c r="AP367" s="9"/>
      <c r="AQ367" s="9"/>
      <c r="AR367" s="9"/>
      <c r="AS367" s="9"/>
      <c r="AT367" s="9"/>
    </row>
    <row r="368" ht="17.25" customHeight="1" spans="1:46">
      <c r="A368" s="8"/>
      <c r="B368" s="8"/>
      <c r="C368" s="8"/>
      <c r="D368" s="8"/>
      <c r="E368" s="8"/>
      <c r="F368" s="8"/>
      <c r="G368" s="9"/>
      <c r="H368" s="8"/>
      <c r="I368" s="8"/>
      <c r="J368" s="8"/>
      <c r="K368" s="8"/>
      <c r="L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N368" s="9"/>
      <c r="AO368" s="9"/>
      <c r="AP368" s="9"/>
      <c r="AQ368" s="9"/>
      <c r="AR368" s="9"/>
      <c r="AS368" s="9"/>
      <c r="AT368" s="9"/>
    </row>
    <row r="369" ht="17.25" customHeight="1" spans="1:46">
      <c r="A369" s="8"/>
      <c r="B369" s="8"/>
      <c r="C369" s="8"/>
      <c r="D369" s="8"/>
      <c r="E369" s="8"/>
      <c r="F369" s="8"/>
      <c r="G369" s="9"/>
      <c r="H369" s="8"/>
      <c r="I369" s="8"/>
      <c r="J369" s="8"/>
      <c r="K369" s="8"/>
      <c r="L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N369" s="9"/>
      <c r="AO369" s="9"/>
      <c r="AP369" s="9"/>
      <c r="AQ369" s="9"/>
      <c r="AR369" s="9"/>
      <c r="AS369" s="9"/>
      <c r="AT369" s="9"/>
    </row>
    <row r="370" ht="17.25" customHeight="1" spans="1:46">
      <c r="A370" s="8"/>
      <c r="B370" s="8"/>
      <c r="C370" s="8"/>
      <c r="D370" s="8"/>
      <c r="E370" s="8"/>
      <c r="F370" s="8"/>
      <c r="G370" s="9"/>
      <c r="H370" s="8"/>
      <c r="I370" s="8"/>
      <c r="J370" s="8"/>
      <c r="K370" s="8"/>
      <c r="L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N370" s="9"/>
      <c r="AO370" s="9"/>
      <c r="AP370" s="9"/>
      <c r="AQ370" s="9"/>
      <c r="AR370" s="9"/>
      <c r="AS370" s="9"/>
      <c r="AT370" s="9"/>
    </row>
    <row r="371" ht="17.25" customHeight="1" spans="1:46">
      <c r="A371" s="8"/>
      <c r="B371" s="8"/>
      <c r="C371" s="8"/>
      <c r="D371" s="8"/>
      <c r="E371" s="8"/>
      <c r="F371" s="8"/>
      <c r="G371" s="9"/>
      <c r="H371" s="8"/>
      <c r="I371" s="8"/>
      <c r="J371" s="8"/>
      <c r="K371" s="8"/>
      <c r="L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N371" s="9"/>
      <c r="AO371" s="9"/>
      <c r="AP371" s="9"/>
      <c r="AQ371" s="9"/>
      <c r="AR371" s="9"/>
      <c r="AS371" s="9"/>
      <c r="AT371" s="9"/>
    </row>
    <row r="372" ht="17.25" customHeight="1" spans="1:46">
      <c r="A372" s="8"/>
      <c r="B372" s="8"/>
      <c r="C372" s="8"/>
      <c r="D372" s="8"/>
      <c r="E372" s="8"/>
      <c r="F372" s="8"/>
      <c r="G372" s="9"/>
      <c r="H372" s="8"/>
      <c r="I372" s="8"/>
      <c r="J372" s="8"/>
      <c r="K372" s="8"/>
      <c r="L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N372" s="9"/>
      <c r="AO372" s="9"/>
      <c r="AP372" s="9"/>
      <c r="AQ372" s="9"/>
      <c r="AR372" s="9"/>
      <c r="AS372" s="9"/>
      <c r="AT372" s="9"/>
    </row>
    <row r="373" ht="17.25" customHeight="1" spans="1:46">
      <c r="A373" s="8"/>
      <c r="B373" s="8"/>
      <c r="C373" s="8"/>
      <c r="D373" s="8"/>
      <c r="E373" s="8"/>
      <c r="F373" s="8"/>
      <c r="G373" s="9"/>
      <c r="H373" s="8"/>
      <c r="I373" s="8"/>
      <c r="J373" s="8"/>
      <c r="K373" s="8"/>
      <c r="L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N373" s="9"/>
      <c r="AO373" s="9"/>
      <c r="AP373" s="9"/>
      <c r="AQ373" s="9"/>
      <c r="AR373" s="9"/>
      <c r="AS373" s="9"/>
      <c r="AT373" s="9"/>
    </row>
    <row r="374" ht="17.25" customHeight="1" spans="1:46">
      <c r="A374" s="8"/>
      <c r="B374" s="8"/>
      <c r="C374" s="8"/>
      <c r="D374" s="8"/>
      <c r="E374" s="8"/>
      <c r="F374" s="8"/>
      <c r="G374" s="9"/>
      <c r="H374" s="8"/>
      <c r="I374" s="8"/>
      <c r="J374" s="8"/>
      <c r="K374" s="8"/>
      <c r="L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N374" s="9"/>
      <c r="AO374" s="9"/>
      <c r="AP374" s="9"/>
      <c r="AQ374" s="9"/>
      <c r="AR374" s="9"/>
      <c r="AS374" s="9"/>
      <c r="AT374" s="9"/>
    </row>
    <row r="375" ht="17.25" customHeight="1" spans="1:46">
      <c r="A375" s="8"/>
      <c r="B375" s="8"/>
      <c r="C375" s="8"/>
      <c r="D375" s="8"/>
      <c r="E375" s="8"/>
      <c r="F375" s="8"/>
      <c r="G375" s="9"/>
      <c r="H375" s="8"/>
      <c r="I375" s="8"/>
      <c r="J375" s="8"/>
      <c r="K375" s="8"/>
      <c r="L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N375" s="9"/>
      <c r="AO375" s="9"/>
      <c r="AP375" s="9"/>
      <c r="AQ375" s="9"/>
      <c r="AR375" s="9"/>
      <c r="AS375" s="9"/>
      <c r="AT375" s="9"/>
    </row>
    <row r="376" ht="17.25" customHeight="1" spans="1:46">
      <c r="A376" s="8"/>
      <c r="B376" s="8"/>
      <c r="C376" s="8"/>
      <c r="D376" s="8"/>
      <c r="E376" s="8"/>
      <c r="F376" s="8"/>
      <c r="G376" s="9"/>
      <c r="H376" s="8"/>
      <c r="I376" s="8"/>
      <c r="J376" s="8"/>
      <c r="K376" s="8"/>
      <c r="L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N376" s="9"/>
      <c r="AO376" s="9"/>
      <c r="AP376" s="9"/>
      <c r="AQ376" s="9"/>
      <c r="AR376" s="9"/>
      <c r="AS376" s="9"/>
      <c r="AT376" s="9"/>
    </row>
    <row r="377" ht="17.25" customHeight="1" spans="1:46">
      <c r="A377" s="8"/>
      <c r="B377" s="8"/>
      <c r="C377" s="8"/>
      <c r="D377" s="8"/>
      <c r="E377" s="8"/>
      <c r="F377" s="8"/>
      <c r="G377" s="9"/>
      <c r="H377" s="8"/>
      <c r="I377" s="8"/>
      <c r="J377" s="8"/>
      <c r="K377" s="8"/>
      <c r="L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N377" s="9"/>
      <c r="AO377" s="9"/>
      <c r="AP377" s="9"/>
      <c r="AQ377" s="9"/>
      <c r="AR377" s="9"/>
      <c r="AS377" s="9"/>
      <c r="AT377" s="9"/>
    </row>
    <row r="378" ht="17.25" customHeight="1" spans="1:46">
      <c r="A378" s="8"/>
      <c r="B378" s="8"/>
      <c r="C378" s="8"/>
      <c r="D378" s="8"/>
      <c r="E378" s="8"/>
      <c r="F378" s="8"/>
      <c r="G378" s="9"/>
      <c r="H378" s="8"/>
      <c r="I378" s="8"/>
      <c r="J378" s="8"/>
      <c r="K378" s="8"/>
      <c r="L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N378" s="9"/>
      <c r="AO378" s="9"/>
      <c r="AP378" s="9"/>
      <c r="AQ378" s="9"/>
      <c r="AR378" s="9"/>
      <c r="AS378" s="9"/>
      <c r="AT378" s="9"/>
    </row>
    <row r="379" ht="17.25" customHeight="1" spans="1:46">
      <c r="A379" s="8"/>
      <c r="B379" s="8"/>
      <c r="C379" s="8"/>
      <c r="D379" s="8"/>
      <c r="E379" s="8"/>
      <c r="F379" s="8"/>
      <c r="G379" s="9"/>
      <c r="H379" s="8"/>
      <c r="I379" s="8"/>
      <c r="J379" s="8"/>
      <c r="K379" s="8"/>
      <c r="L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N379" s="9"/>
      <c r="AO379" s="9"/>
      <c r="AP379" s="9"/>
      <c r="AQ379" s="9"/>
      <c r="AR379" s="9"/>
      <c r="AS379" s="9"/>
      <c r="AT379" s="9"/>
    </row>
    <row r="380" ht="17.25" customHeight="1" spans="1:46">
      <c r="A380" s="8"/>
      <c r="B380" s="8"/>
      <c r="C380" s="8"/>
      <c r="D380" s="8"/>
      <c r="E380" s="8"/>
      <c r="F380" s="8"/>
      <c r="G380" s="9"/>
      <c r="H380" s="8"/>
      <c r="I380" s="8"/>
      <c r="J380" s="8"/>
      <c r="K380" s="8"/>
      <c r="L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N380" s="9"/>
      <c r="AO380" s="9"/>
      <c r="AP380" s="9"/>
      <c r="AQ380" s="9"/>
      <c r="AR380" s="9"/>
      <c r="AS380" s="9"/>
      <c r="AT380" s="9"/>
    </row>
    <row r="381" ht="17.25" customHeight="1" spans="1:46">
      <c r="A381" s="8"/>
      <c r="B381" s="8"/>
      <c r="C381" s="8"/>
      <c r="D381" s="8"/>
      <c r="E381" s="8"/>
      <c r="F381" s="8"/>
      <c r="G381" s="9"/>
      <c r="H381" s="8"/>
      <c r="I381" s="8"/>
      <c r="J381" s="8"/>
      <c r="K381" s="8"/>
      <c r="L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N381" s="9"/>
      <c r="AO381" s="9"/>
      <c r="AP381" s="9"/>
      <c r="AQ381" s="9"/>
      <c r="AR381" s="9"/>
      <c r="AS381" s="9"/>
      <c r="AT381" s="9"/>
    </row>
    <row r="382" ht="17.25" customHeight="1" spans="1:46">
      <c r="A382" s="8"/>
      <c r="B382" s="8"/>
      <c r="C382" s="8"/>
      <c r="D382" s="8"/>
      <c r="E382" s="8"/>
      <c r="F382" s="8"/>
      <c r="G382" s="9"/>
      <c r="H382" s="8"/>
      <c r="I382" s="8"/>
      <c r="J382" s="8"/>
      <c r="K382" s="8"/>
      <c r="L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N382" s="9"/>
      <c r="AO382" s="9"/>
      <c r="AP382" s="9"/>
      <c r="AQ382" s="9"/>
      <c r="AR382" s="9"/>
      <c r="AS382" s="9"/>
      <c r="AT382" s="9"/>
    </row>
    <row r="383" ht="17.25" customHeight="1" spans="1:46">
      <c r="A383" s="8"/>
      <c r="B383" s="8"/>
      <c r="C383" s="8"/>
      <c r="D383" s="8"/>
      <c r="E383" s="8"/>
      <c r="F383" s="8"/>
      <c r="G383" s="9"/>
      <c r="H383" s="8"/>
      <c r="I383" s="8"/>
      <c r="J383" s="8"/>
      <c r="K383" s="8"/>
      <c r="L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N383" s="9"/>
      <c r="AO383" s="9"/>
      <c r="AP383" s="9"/>
      <c r="AQ383" s="9"/>
      <c r="AR383" s="9"/>
      <c r="AS383" s="9"/>
      <c r="AT383" s="9"/>
    </row>
    <row r="384" ht="17.25" customHeight="1" spans="1:46">
      <c r="A384" s="8"/>
      <c r="B384" s="8"/>
      <c r="C384" s="8"/>
      <c r="D384" s="8"/>
      <c r="E384" s="8"/>
      <c r="F384" s="8"/>
      <c r="G384" s="9"/>
      <c r="H384" s="8"/>
      <c r="I384" s="8"/>
      <c r="J384" s="8"/>
      <c r="K384" s="8"/>
      <c r="L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N384" s="9"/>
      <c r="AO384" s="9"/>
      <c r="AP384" s="9"/>
      <c r="AQ384" s="9"/>
      <c r="AR384" s="9"/>
      <c r="AS384" s="9"/>
      <c r="AT384" s="9"/>
    </row>
    <row r="385" ht="17.25" customHeight="1" spans="1:46">
      <c r="A385" s="8"/>
      <c r="B385" s="8"/>
      <c r="C385" s="8"/>
      <c r="D385" s="8"/>
      <c r="E385" s="8"/>
      <c r="F385" s="8"/>
      <c r="G385" s="9"/>
      <c r="H385" s="8"/>
      <c r="I385" s="8"/>
      <c r="J385" s="8"/>
      <c r="K385" s="8"/>
      <c r="L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N385" s="9"/>
      <c r="AO385" s="9"/>
      <c r="AP385" s="9"/>
      <c r="AQ385" s="9"/>
      <c r="AR385" s="9"/>
      <c r="AS385" s="9"/>
      <c r="AT385" s="9"/>
    </row>
    <row r="386" ht="17.25" customHeight="1" spans="1:46">
      <c r="A386" s="8"/>
      <c r="B386" s="8"/>
      <c r="C386" s="8"/>
      <c r="D386" s="8"/>
      <c r="E386" s="8"/>
      <c r="F386" s="8"/>
      <c r="G386" s="9"/>
      <c r="H386" s="8"/>
      <c r="I386" s="8"/>
      <c r="J386" s="8"/>
      <c r="K386" s="8"/>
      <c r="L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N386" s="9"/>
      <c r="AO386" s="9"/>
      <c r="AP386" s="9"/>
      <c r="AQ386" s="9"/>
      <c r="AR386" s="9"/>
      <c r="AS386" s="9"/>
      <c r="AT386" s="9"/>
    </row>
    <row r="387" ht="17.25" customHeight="1" spans="1:46">
      <c r="A387" s="8"/>
      <c r="B387" s="8"/>
      <c r="C387" s="8"/>
      <c r="D387" s="8"/>
      <c r="E387" s="8"/>
      <c r="F387" s="8"/>
      <c r="G387" s="9"/>
      <c r="H387" s="8"/>
      <c r="I387" s="8"/>
      <c r="J387" s="8"/>
      <c r="K387" s="8"/>
      <c r="L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N387" s="9"/>
      <c r="AO387" s="9"/>
      <c r="AP387" s="9"/>
      <c r="AQ387" s="9"/>
      <c r="AR387" s="9"/>
      <c r="AS387" s="9"/>
      <c r="AT387" s="9"/>
    </row>
    <row r="388" ht="17.25" customHeight="1" spans="1:46">
      <c r="A388" s="8"/>
      <c r="B388" s="8"/>
      <c r="C388" s="8"/>
      <c r="D388" s="8"/>
      <c r="E388" s="8"/>
      <c r="F388" s="8"/>
      <c r="G388" s="9"/>
      <c r="H388" s="8"/>
      <c r="I388" s="8"/>
      <c r="J388" s="8"/>
      <c r="K388" s="8"/>
      <c r="L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N388" s="9"/>
      <c r="AO388" s="9"/>
      <c r="AP388" s="9"/>
      <c r="AQ388" s="9"/>
      <c r="AR388" s="9"/>
      <c r="AS388" s="9"/>
      <c r="AT388" s="9"/>
    </row>
    <row r="389" ht="17.25" customHeight="1" spans="1:46">
      <c r="A389" s="8"/>
      <c r="B389" s="8"/>
      <c r="C389" s="8"/>
      <c r="D389" s="8"/>
      <c r="E389" s="8"/>
      <c r="F389" s="8"/>
      <c r="G389" s="9"/>
      <c r="H389" s="8"/>
      <c r="I389" s="8"/>
      <c r="J389" s="8"/>
      <c r="K389" s="8"/>
      <c r="L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N389" s="9"/>
      <c r="AO389" s="9"/>
      <c r="AP389" s="9"/>
      <c r="AQ389" s="9"/>
      <c r="AR389" s="9"/>
      <c r="AS389" s="9"/>
      <c r="AT389" s="9"/>
    </row>
    <row r="390" ht="17.25" customHeight="1" spans="1:46">
      <c r="A390" s="8"/>
      <c r="B390" s="8"/>
      <c r="C390" s="8"/>
      <c r="D390" s="8"/>
      <c r="E390" s="8"/>
      <c r="F390" s="8"/>
      <c r="G390" s="9"/>
      <c r="H390" s="8"/>
      <c r="I390" s="8"/>
      <c r="J390" s="8"/>
      <c r="K390" s="8"/>
      <c r="L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N390" s="9"/>
      <c r="AO390" s="9"/>
      <c r="AP390" s="9"/>
      <c r="AQ390" s="9"/>
      <c r="AR390" s="9"/>
      <c r="AS390" s="9"/>
      <c r="AT390" s="9"/>
    </row>
    <row r="391" ht="17.25" customHeight="1" spans="1:46">
      <c r="A391" s="8"/>
      <c r="B391" s="8"/>
      <c r="C391" s="8"/>
      <c r="D391" s="8"/>
      <c r="E391" s="8"/>
      <c r="F391" s="8"/>
      <c r="G391" s="9"/>
      <c r="H391" s="8"/>
      <c r="I391" s="8"/>
      <c r="J391" s="8"/>
      <c r="K391" s="8"/>
      <c r="L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N391" s="9"/>
      <c r="AO391" s="9"/>
      <c r="AP391" s="9"/>
      <c r="AQ391" s="9"/>
      <c r="AR391" s="9"/>
      <c r="AS391" s="9"/>
      <c r="AT391" s="9"/>
    </row>
    <row r="392" ht="17.25" customHeight="1" spans="1:46">
      <c r="A392" s="8"/>
      <c r="B392" s="8"/>
      <c r="C392" s="8"/>
      <c r="D392" s="8"/>
      <c r="E392" s="8"/>
      <c r="F392" s="8"/>
      <c r="G392" s="9"/>
      <c r="H392" s="8"/>
      <c r="I392" s="8"/>
      <c r="J392" s="8"/>
      <c r="K392" s="8"/>
      <c r="L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N392" s="9"/>
      <c r="AO392" s="9"/>
      <c r="AP392" s="9"/>
      <c r="AQ392" s="9"/>
      <c r="AR392" s="9"/>
      <c r="AS392" s="9"/>
      <c r="AT392" s="9"/>
    </row>
    <row r="393" ht="17.25" customHeight="1" spans="1:46">
      <c r="A393" s="8"/>
      <c r="B393" s="8"/>
      <c r="C393" s="8"/>
      <c r="D393" s="8"/>
      <c r="E393" s="8"/>
      <c r="F393" s="8"/>
      <c r="G393" s="9"/>
      <c r="H393" s="8"/>
      <c r="I393" s="8"/>
      <c r="J393" s="8"/>
      <c r="K393" s="8"/>
      <c r="L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N393" s="9"/>
      <c r="AO393" s="9"/>
      <c r="AP393" s="9"/>
      <c r="AQ393" s="9"/>
      <c r="AR393" s="9"/>
      <c r="AS393" s="9"/>
      <c r="AT393" s="9"/>
    </row>
    <row r="394" ht="17.25" customHeight="1" spans="1:46">
      <c r="A394" s="8"/>
      <c r="B394" s="8"/>
      <c r="C394" s="8"/>
      <c r="D394" s="8"/>
      <c r="E394" s="8"/>
      <c r="F394" s="8"/>
      <c r="G394" s="9"/>
      <c r="H394" s="8"/>
      <c r="I394" s="8"/>
      <c r="J394" s="8"/>
      <c r="K394" s="8"/>
      <c r="L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N394" s="9"/>
      <c r="AO394" s="9"/>
      <c r="AP394" s="9"/>
      <c r="AQ394" s="9"/>
      <c r="AR394" s="9"/>
      <c r="AS394" s="9"/>
      <c r="AT394" s="9"/>
    </row>
    <row r="395" ht="17.25" customHeight="1" spans="1:46">
      <c r="A395" s="8"/>
      <c r="B395" s="8"/>
      <c r="C395" s="8"/>
      <c r="D395" s="8"/>
      <c r="E395" s="8"/>
      <c r="F395" s="8"/>
      <c r="G395" s="9"/>
      <c r="H395" s="8"/>
      <c r="I395" s="8"/>
      <c r="J395" s="8"/>
      <c r="K395" s="8"/>
      <c r="L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N395" s="9"/>
      <c r="AO395" s="9"/>
      <c r="AP395" s="9"/>
      <c r="AQ395" s="9"/>
      <c r="AR395" s="9"/>
      <c r="AS395" s="9"/>
      <c r="AT395" s="9"/>
    </row>
    <row r="396" ht="17.25" customHeight="1" spans="1:46">
      <c r="A396" s="8"/>
      <c r="B396" s="8"/>
      <c r="C396" s="8"/>
      <c r="D396" s="8"/>
      <c r="E396" s="8"/>
      <c r="F396" s="8"/>
      <c r="G396" s="9"/>
      <c r="H396" s="8"/>
      <c r="I396" s="8"/>
      <c r="J396" s="8"/>
      <c r="K396" s="8"/>
      <c r="L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N396" s="9"/>
      <c r="AO396" s="9"/>
      <c r="AP396" s="9"/>
      <c r="AQ396" s="9"/>
      <c r="AR396" s="9"/>
      <c r="AS396" s="9"/>
      <c r="AT396" s="9"/>
    </row>
    <row r="397" ht="17.25" customHeight="1" spans="1:46">
      <c r="A397" s="8"/>
      <c r="B397" s="8"/>
      <c r="C397" s="8"/>
      <c r="D397" s="8"/>
      <c r="E397" s="8"/>
      <c r="F397" s="8"/>
      <c r="G397" s="9"/>
      <c r="H397" s="8"/>
      <c r="I397" s="8"/>
      <c r="J397" s="8"/>
      <c r="K397" s="8"/>
      <c r="L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N397" s="9"/>
      <c r="AO397" s="9"/>
      <c r="AP397" s="9"/>
      <c r="AQ397" s="9"/>
      <c r="AR397" s="9"/>
      <c r="AS397" s="9"/>
      <c r="AT397" s="9"/>
    </row>
    <row r="398" ht="17.25" customHeight="1" spans="1:46">
      <c r="A398" s="8"/>
      <c r="B398" s="8"/>
      <c r="C398" s="8"/>
      <c r="D398" s="8"/>
      <c r="E398" s="8"/>
      <c r="F398" s="8"/>
      <c r="G398" s="9"/>
      <c r="H398" s="8"/>
      <c r="I398" s="8"/>
      <c r="J398" s="8"/>
      <c r="K398" s="8"/>
      <c r="L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N398" s="9"/>
      <c r="AO398" s="9"/>
      <c r="AP398" s="9"/>
      <c r="AQ398" s="9"/>
      <c r="AR398" s="9"/>
      <c r="AS398" s="9"/>
      <c r="AT398" s="9"/>
    </row>
    <row r="399" ht="17.25" customHeight="1" spans="1:46">
      <c r="A399" s="8"/>
      <c r="B399" s="8"/>
      <c r="C399" s="8"/>
      <c r="D399" s="8"/>
      <c r="E399" s="8"/>
      <c r="F399" s="8"/>
      <c r="G399" s="9"/>
      <c r="H399" s="8"/>
      <c r="I399" s="8"/>
      <c r="J399" s="8"/>
      <c r="K399" s="8"/>
      <c r="L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N399" s="9"/>
      <c r="AO399" s="9"/>
      <c r="AP399" s="9"/>
      <c r="AQ399" s="9"/>
      <c r="AR399" s="9"/>
      <c r="AS399" s="9"/>
      <c r="AT399" s="9"/>
    </row>
    <row r="400" ht="17.25" customHeight="1" spans="1:46">
      <c r="A400" s="8"/>
      <c r="B400" s="8"/>
      <c r="C400" s="8"/>
      <c r="D400" s="8"/>
      <c r="E400" s="8"/>
      <c r="F400" s="8"/>
      <c r="G400" s="9"/>
      <c r="H400" s="8"/>
      <c r="I400" s="8"/>
      <c r="J400" s="8"/>
      <c r="K400" s="8"/>
      <c r="L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N400" s="9"/>
      <c r="AO400" s="9"/>
      <c r="AP400" s="9"/>
      <c r="AQ400" s="9"/>
      <c r="AR400" s="9"/>
      <c r="AS400" s="9"/>
      <c r="AT400" s="9"/>
    </row>
    <row r="401" ht="17.25" customHeight="1" spans="1:46">
      <c r="A401" s="8"/>
      <c r="B401" s="8"/>
      <c r="C401" s="8"/>
      <c r="D401" s="8"/>
      <c r="E401" s="8"/>
      <c r="F401" s="8"/>
      <c r="G401" s="9"/>
      <c r="H401" s="8"/>
      <c r="I401" s="8"/>
      <c r="J401" s="8"/>
      <c r="K401" s="8"/>
      <c r="L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N401" s="9"/>
      <c r="AO401" s="9"/>
      <c r="AP401" s="9"/>
      <c r="AQ401" s="9"/>
      <c r="AR401" s="9"/>
      <c r="AS401" s="9"/>
      <c r="AT401" s="9"/>
    </row>
    <row r="402" ht="17.25" customHeight="1" spans="1:46">
      <c r="A402" s="8"/>
      <c r="B402" s="8"/>
      <c r="C402" s="8"/>
      <c r="D402" s="8"/>
      <c r="E402" s="8"/>
      <c r="F402" s="8"/>
      <c r="G402" s="9"/>
      <c r="H402" s="8"/>
      <c r="I402" s="8"/>
      <c r="J402" s="8"/>
      <c r="K402" s="8"/>
      <c r="L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N402" s="9"/>
      <c r="AO402" s="9"/>
      <c r="AP402" s="9"/>
      <c r="AQ402" s="9"/>
      <c r="AR402" s="9"/>
      <c r="AS402" s="9"/>
      <c r="AT402" s="9"/>
    </row>
    <row r="403" ht="17.25" customHeight="1" spans="1:46">
      <c r="A403" s="8"/>
      <c r="B403" s="8"/>
      <c r="C403" s="8"/>
      <c r="D403" s="8"/>
      <c r="E403" s="8"/>
      <c r="F403" s="8"/>
      <c r="G403" s="9"/>
      <c r="H403" s="8"/>
      <c r="I403" s="8"/>
      <c r="J403" s="8"/>
      <c r="K403" s="8"/>
      <c r="L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N403" s="9"/>
      <c r="AO403" s="9"/>
      <c r="AP403" s="9"/>
      <c r="AQ403" s="9"/>
      <c r="AR403" s="9"/>
      <c r="AS403" s="9"/>
      <c r="AT403" s="9"/>
    </row>
    <row r="404" ht="17.25" customHeight="1" spans="1:46">
      <c r="A404" s="8"/>
      <c r="B404" s="8"/>
      <c r="C404" s="8"/>
      <c r="D404" s="8"/>
      <c r="E404" s="8"/>
      <c r="F404" s="8"/>
      <c r="G404" s="9"/>
      <c r="H404" s="8"/>
      <c r="I404" s="8"/>
      <c r="J404" s="8"/>
      <c r="K404" s="8"/>
      <c r="L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N404" s="9"/>
      <c r="AO404" s="9"/>
      <c r="AP404" s="9"/>
      <c r="AQ404" s="9"/>
      <c r="AR404" s="9"/>
      <c r="AS404" s="9"/>
      <c r="AT404" s="9"/>
    </row>
    <row r="405" ht="17.25" customHeight="1" spans="1:46">
      <c r="A405" s="8"/>
      <c r="B405" s="8"/>
      <c r="C405" s="8"/>
      <c r="D405" s="8"/>
      <c r="E405" s="8"/>
      <c r="F405" s="8"/>
      <c r="G405" s="9"/>
      <c r="H405" s="8"/>
      <c r="I405" s="8"/>
      <c r="J405" s="8"/>
      <c r="K405" s="8"/>
      <c r="L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N405" s="9"/>
      <c r="AO405" s="9"/>
      <c r="AP405" s="9"/>
      <c r="AQ405" s="9"/>
      <c r="AR405" s="9"/>
      <c r="AS405" s="9"/>
      <c r="AT405" s="9"/>
    </row>
    <row r="406" ht="17.25" customHeight="1" spans="1:46">
      <c r="A406" s="8"/>
      <c r="B406" s="8"/>
      <c r="C406" s="8"/>
      <c r="D406" s="8"/>
      <c r="E406" s="8"/>
      <c r="F406" s="8"/>
      <c r="G406" s="9"/>
      <c r="H406" s="8"/>
      <c r="I406" s="8"/>
      <c r="J406" s="8"/>
      <c r="K406" s="8"/>
      <c r="L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N406" s="9"/>
      <c r="AO406" s="9"/>
      <c r="AP406" s="9"/>
      <c r="AQ406" s="9"/>
      <c r="AR406" s="9"/>
      <c r="AS406" s="9"/>
      <c r="AT406" s="9"/>
    </row>
    <row r="407" ht="17.25" customHeight="1" spans="1:46">
      <c r="A407" s="8"/>
      <c r="B407" s="8"/>
      <c r="C407" s="8"/>
      <c r="D407" s="8"/>
      <c r="E407" s="8"/>
      <c r="F407" s="8"/>
      <c r="G407" s="9"/>
      <c r="H407" s="8"/>
      <c r="I407" s="8"/>
      <c r="J407" s="8"/>
      <c r="K407" s="8"/>
      <c r="L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N407" s="9"/>
      <c r="AO407" s="9"/>
      <c r="AP407" s="9"/>
      <c r="AQ407" s="9"/>
      <c r="AR407" s="9"/>
      <c r="AS407" s="9"/>
      <c r="AT407" s="9"/>
    </row>
    <row r="408" ht="17.25" customHeight="1" spans="1:46">
      <c r="A408" s="8"/>
      <c r="B408" s="8"/>
      <c r="C408" s="8"/>
      <c r="D408" s="8"/>
      <c r="E408" s="8"/>
      <c r="F408" s="8"/>
      <c r="G408" s="9"/>
      <c r="H408" s="8"/>
      <c r="I408" s="8"/>
      <c r="J408" s="8"/>
      <c r="K408" s="8"/>
      <c r="L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N408" s="9"/>
      <c r="AO408" s="9"/>
      <c r="AP408" s="9"/>
      <c r="AQ408" s="9"/>
      <c r="AR408" s="9"/>
      <c r="AS408" s="9"/>
      <c r="AT408" s="9"/>
    </row>
    <row r="409" ht="17.25" customHeight="1" spans="1:46">
      <c r="A409" s="8"/>
      <c r="B409" s="8"/>
      <c r="C409" s="8"/>
      <c r="D409" s="8"/>
      <c r="E409" s="8"/>
      <c r="F409" s="8"/>
      <c r="G409" s="9"/>
      <c r="H409" s="8"/>
      <c r="I409" s="8"/>
      <c r="J409" s="8"/>
      <c r="K409" s="8"/>
      <c r="L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N409" s="9"/>
      <c r="AO409" s="9"/>
      <c r="AP409" s="9"/>
      <c r="AQ409" s="9"/>
      <c r="AR409" s="9"/>
      <c r="AS409" s="9"/>
      <c r="AT409" s="9"/>
    </row>
    <row r="410" ht="17.25" customHeight="1" spans="1:46">
      <c r="A410" s="8"/>
      <c r="B410" s="8"/>
      <c r="C410" s="8"/>
      <c r="D410" s="8"/>
      <c r="E410" s="8"/>
      <c r="F410" s="8"/>
      <c r="G410" s="9"/>
      <c r="H410" s="8"/>
      <c r="I410" s="8"/>
      <c r="J410" s="8"/>
      <c r="K410" s="8"/>
      <c r="L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N410" s="9"/>
      <c r="AO410" s="9"/>
      <c r="AP410" s="9"/>
      <c r="AQ410" s="9"/>
      <c r="AR410" s="9"/>
      <c r="AS410" s="9"/>
      <c r="AT410" s="9"/>
    </row>
    <row r="411" ht="17.25" customHeight="1" spans="1:46">
      <c r="A411" s="8"/>
      <c r="B411" s="8"/>
      <c r="C411" s="8"/>
      <c r="D411" s="8"/>
      <c r="E411" s="8"/>
      <c r="F411" s="8"/>
      <c r="G411" s="9"/>
      <c r="H411" s="8"/>
      <c r="I411" s="8"/>
      <c r="J411" s="8"/>
      <c r="K411" s="8"/>
      <c r="L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N411" s="9"/>
      <c r="AO411" s="9"/>
      <c r="AP411" s="9"/>
      <c r="AQ411" s="9"/>
      <c r="AR411" s="9"/>
      <c r="AS411" s="9"/>
      <c r="AT411" s="9"/>
    </row>
    <row r="412" ht="17.25" customHeight="1" spans="1:46">
      <c r="A412" s="8"/>
      <c r="B412" s="8"/>
      <c r="C412" s="8"/>
      <c r="D412" s="8"/>
      <c r="E412" s="8"/>
      <c r="F412" s="8"/>
      <c r="G412" s="9"/>
      <c r="H412" s="8"/>
      <c r="I412" s="8"/>
      <c r="J412" s="8"/>
      <c r="K412" s="8"/>
      <c r="L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N412" s="9"/>
      <c r="AO412" s="9"/>
      <c r="AP412" s="9"/>
      <c r="AQ412" s="9"/>
      <c r="AR412" s="9"/>
      <c r="AS412" s="9"/>
      <c r="AT412" s="9"/>
    </row>
    <row r="413" ht="17.25" customHeight="1" spans="1:46">
      <c r="A413" s="8"/>
      <c r="B413" s="8"/>
      <c r="C413" s="8"/>
      <c r="D413" s="8"/>
      <c r="E413" s="8"/>
      <c r="F413" s="8"/>
      <c r="G413" s="9"/>
      <c r="H413" s="8"/>
      <c r="I413" s="8"/>
      <c r="J413" s="8"/>
      <c r="K413" s="8"/>
      <c r="L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N413" s="9"/>
      <c r="AO413" s="9"/>
      <c r="AP413" s="9"/>
      <c r="AQ413" s="9"/>
      <c r="AR413" s="9"/>
      <c r="AS413" s="9"/>
      <c r="AT413" s="9"/>
    </row>
    <row r="414" ht="17.25" customHeight="1" spans="1:46">
      <c r="A414" s="8"/>
      <c r="B414" s="8"/>
      <c r="C414" s="8"/>
      <c r="D414" s="8"/>
      <c r="E414" s="8"/>
      <c r="F414" s="8"/>
      <c r="G414" s="9"/>
      <c r="H414" s="8"/>
      <c r="I414" s="8"/>
      <c r="J414" s="8"/>
      <c r="K414" s="8"/>
      <c r="L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N414" s="9"/>
      <c r="AO414" s="9"/>
      <c r="AP414" s="9"/>
      <c r="AQ414" s="9"/>
      <c r="AR414" s="9"/>
      <c r="AS414" s="9"/>
      <c r="AT414" s="9"/>
    </row>
    <row r="415" ht="17.25" customHeight="1" spans="1:46">
      <c r="A415" s="8"/>
      <c r="B415" s="8"/>
      <c r="C415" s="8"/>
      <c r="D415" s="8"/>
      <c r="E415" s="8"/>
      <c r="F415" s="8"/>
      <c r="G415" s="9"/>
      <c r="H415" s="8"/>
      <c r="I415" s="8"/>
      <c r="J415" s="8"/>
      <c r="K415" s="8"/>
      <c r="L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N415" s="9"/>
      <c r="AO415" s="9"/>
      <c r="AP415" s="9"/>
      <c r="AQ415" s="9"/>
      <c r="AR415" s="9"/>
      <c r="AS415" s="9"/>
      <c r="AT415" s="9"/>
    </row>
    <row r="416" ht="17.25" customHeight="1" spans="1:46">
      <c r="A416" s="8"/>
      <c r="B416" s="8"/>
      <c r="C416" s="8"/>
      <c r="D416" s="8"/>
      <c r="E416" s="8"/>
      <c r="F416" s="8"/>
      <c r="G416" s="9"/>
      <c r="H416" s="8"/>
      <c r="I416" s="8"/>
      <c r="J416" s="8"/>
      <c r="K416" s="8"/>
      <c r="L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N416" s="9"/>
      <c r="AO416" s="9"/>
      <c r="AP416" s="9"/>
      <c r="AQ416" s="9"/>
      <c r="AR416" s="9"/>
      <c r="AS416" s="9"/>
      <c r="AT416" s="9"/>
    </row>
    <row r="417" ht="17.25" customHeight="1" spans="1:46">
      <c r="A417" s="8"/>
      <c r="B417" s="8"/>
      <c r="C417" s="8"/>
      <c r="D417" s="8"/>
      <c r="E417" s="8"/>
      <c r="F417" s="8"/>
      <c r="G417" s="9"/>
      <c r="H417" s="8"/>
      <c r="I417" s="8"/>
      <c r="J417" s="8"/>
      <c r="K417" s="8"/>
      <c r="L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N417" s="9"/>
      <c r="AO417" s="9"/>
      <c r="AP417" s="9"/>
      <c r="AQ417" s="9"/>
      <c r="AR417" s="9"/>
      <c r="AS417" s="9"/>
      <c r="AT417" s="9"/>
    </row>
    <row r="418" ht="17.25" customHeight="1" spans="1:46">
      <c r="A418" s="8"/>
      <c r="B418" s="8"/>
      <c r="C418" s="8"/>
      <c r="D418" s="8"/>
      <c r="E418" s="8"/>
      <c r="F418" s="8"/>
      <c r="G418" s="9"/>
      <c r="H418" s="8"/>
      <c r="I418" s="8"/>
      <c r="J418" s="8"/>
      <c r="K418" s="8"/>
      <c r="L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N418" s="9"/>
      <c r="AO418" s="9"/>
      <c r="AP418" s="9"/>
      <c r="AQ418" s="9"/>
      <c r="AR418" s="9"/>
      <c r="AS418" s="9"/>
      <c r="AT418" s="9"/>
    </row>
    <row r="419" ht="17.25" customHeight="1" spans="1:46">
      <c r="A419" s="8"/>
      <c r="B419" s="8"/>
      <c r="C419" s="8"/>
      <c r="D419" s="8"/>
      <c r="E419" s="8"/>
      <c r="F419" s="8"/>
      <c r="G419" s="9"/>
      <c r="H419" s="8"/>
      <c r="I419" s="8"/>
      <c r="J419" s="8"/>
      <c r="K419" s="8"/>
      <c r="L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N419" s="9"/>
      <c r="AO419" s="9"/>
      <c r="AP419" s="9"/>
      <c r="AQ419" s="9"/>
      <c r="AR419" s="9"/>
      <c r="AS419" s="9"/>
      <c r="AT419" s="9"/>
    </row>
    <row r="420" ht="17.25" customHeight="1" spans="1:46">
      <c r="A420" s="8"/>
      <c r="B420" s="8"/>
      <c r="C420" s="8"/>
      <c r="D420" s="8"/>
      <c r="E420" s="8"/>
      <c r="F420" s="8"/>
      <c r="G420" s="9"/>
      <c r="H420" s="8"/>
      <c r="I420" s="8"/>
      <c r="J420" s="8"/>
      <c r="K420" s="8"/>
      <c r="L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N420" s="9"/>
      <c r="AO420" s="9"/>
      <c r="AP420" s="9"/>
      <c r="AQ420" s="9"/>
      <c r="AR420" s="9"/>
      <c r="AS420" s="9"/>
      <c r="AT420" s="9"/>
    </row>
    <row r="421" ht="17.25" customHeight="1" spans="1:46">
      <c r="A421" s="8"/>
      <c r="B421" s="8"/>
      <c r="C421" s="8"/>
      <c r="D421" s="8"/>
      <c r="E421" s="8"/>
      <c r="F421" s="8"/>
      <c r="G421" s="9"/>
      <c r="H421" s="8"/>
      <c r="I421" s="8"/>
      <c r="J421" s="8"/>
      <c r="K421" s="8"/>
      <c r="L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N421" s="9"/>
      <c r="AO421" s="9"/>
      <c r="AP421" s="9"/>
      <c r="AQ421" s="9"/>
      <c r="AR421" s="9"/>
      <c r="AS421" s="9"/>
      <c r="AT421" s="9"/>
    </row>
    <row r="422" ht="17.25" customHeight="1" spans="1:46">
      <c r="A422" s="8"/>
      <c r="B422" s="8"/>
      <c r="C422" s="8"/>
      <c r="D422" s="8"/>
      <c r="E422" s="8"/>
      <c r="F422" s="8"/>
      <c r="G422" s="9"/>
      <c r="H422" s="8"/>
      <c r="I422" s="8"/>
      <c r="J422" s="8"/>
      <c r="K422" s="8"/>
      <c r="L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N422" s="9"/>
      <c r="AO422" s="9"/>
      <c r="AP422" s="9"/>
      <c r="AQ422" s="9"/>
      <c r="AR422" s="9"/>
      <c r="AS422" s="9"/>
      <c r="AT422" s="9"/>
    </row>
    <row r="423" ht="17.25" customHeight="1" spans="1:46">
      <c r="A423" s="8"/>
      <c r="B423" s="8"/>
      <c r="C423" s="8"/>
      <c r="D423" s="8"/>
      <c r="E423" s="8"/>
      <c r="F423" s="8"/>
      <c r="G423" s="9"/>
      <c r="H423" s="8"/>
      <c r="I423" s="8"/>
      <c r="J423" s="8"/>
      <c r="K423" s="8"/>
      <c r="L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N423" s="9"/>
      <c r="AO423" s="9"/>
      <c r="AP423" s="9"/>
      <c r="AQ423" s="9"/>
      <c r="AR423" s="9"/>
      <c r="AS423" s="9"/>
      <c r="AT423" s="9"/>
    </row>
    <row r="424" ht="17.25" customHeight="1" spans="1:46">
      <c r="A424" s="8"/>
      <c r="B424" s="8"/>
      <c r="C424" s="8"/>
      <c r="D424" s="8"/>
      <c r="E424" s="8"/>
      <c r="F424" s="8"/>
      <c r="G424" s="9"/>
      <c r="H424" s="8"/>
      <c r="I424" s="8"/>
      <c r="J424" s="8"/>
      <c r="K424" s="8"/>
      <c r="L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N424" s="9"/>
      <c r="AO424" s="9"/>
      <c r="AP424" s="9"/>
      <c r="AQ424" s="9"/>
      <c r="AR424" s="9"/>
      <c r="AS424" s="9"/>
      <c r="AT424" s="9"/>
    </row>
    <row r="425" ht="17.25" customHeight="1" spans="1:46">
      <c r="A425" s="8"/>
      <c r="B425" s="8"/>
      <c r="C425" s="8"/>
      <c r="D425" s="8"/>
      <c r="E425" s="8"/>
      <c r="F425" s="8"/>
      <c r="G425" s="9"/>
      <c r="H425" s="8"/>
      <c r="I425" s="8"/>
      <c r="J425" s="8"/>
      <c r="K425" s="8"/>
      <c r="L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N425" s="9"/>
      <c r="AO425" s="9"/>
      <c r="AP425" s="9"/>
      <c r="AQ425" s="9"/>
      <c r="AR425" s="9"/>
      <c r="AS425" s="9"/>
      <c r="AT425" s="9"/>
    </row>
    <row r="426" ht="17.25" customHeight="1" spans="1:46">
      <c r="A426" s="8"/>
      <c r="B426" s="8"/>
      <c r="C426" s="8"/>
      <c r="D426" s="8"/>
      <c r="E426" s="8"/>
      <c r="F426" s="8"/>
      <c r="G426" s="9"/>
      <c r="H426" s="8"/>
      <c r="I426" s="8"/>
      <c r="J426" s="8"/>
      <c r="K426" s="8"/>
      <c r="L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N426" s="9"/>
      <c r="AO426" s="9"/>
      <c r="AP426" s="9"/>
      <c r="AQ426" s="9"/>
      <c r="AR426" s="9"/>
      <c r="AS426" s="9"/>
      <c r="AT426" s="9"/>
    </row>
    <row r="427" ht="17.25" customHeight="1" spans="1:46">
      <c r="A427" s="8"/>
      <c r="B427" s="8"/>
      <c r="C427" s="8"/>
      <c r="D427" s="8"/>
      <c r="E427" s="8"/>
      <c r="F427" s="8"/>
      <c r="G427" s="9"/>
      <c r="H427" s="8"/>
      <c r="I427" s="8"/>
      <c r="J427" s="8"/>
      <c r="K427" s="8"/>
      <c r="L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N427" s="9"/>
      <c r="AO427" s="9"/>
      <c r="AP427" s="9"/>
      <c r="AQ427" s="9"/>
      <c r="AR427" s="9"/>
      <c r="AS427" s="9"/>
      <c r="AT427" s="9"/>
    </row>
    <row r="428" ht="17.25" customHeight="1" spans="1:46">
      <c r="A428" s="8"/>
      <c r="B428" s="8"/>
      <c r="C428" s="8"/>
      <c r="D428" s="8"/>
      <c r="E428" s="8"/>
      <c r="F428" s="8"/>
      <c r="G428" s="9"/>
      <c r="H428" s="8"/>
      <c r="I428" s="8"/>
      <c r="J428" s="8"/>
      <c r="K428" s="8"/>
      <c r="L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N428" s="9"/>
      <c r="AO428" s="9"/>
      <c r="AP428" s="9"/>
      <c r="AQ428" s="9"/>
      <c r="AR428" s="9"/>
      <c r="AS428" s="9"/>
      <c r="AT428" s="9"/>
    </row>
    <row r="429" ht="17.25" customHeight="1" spans="1:46">
      <c r="A429" s="8"/>
      <c r="B429" s="8"/>
      <c r="C429" s="8"/>
      <c r="D429" s="8"/>
      <c r="E429" s="8"/>
      <c r="F429" s="8"/>
      <c r="G429" s="9"/>
      <c r="H429" s="8"/>
      <c r="I429" s="8"/>
      <c r="J429" s="8"/>
      <c r="K429" s="8"/>
      <c r="L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N429" s="9"/>
      <c r="AO429" s="9"/>
      <c r="AP429" s="9"/>
      <c r="AQ429" s="9"/>
      <c r="AR429" s="9"/>
      <c r="AS429" s="9"/>
      <c r="AT429" s="9"/>
    </row>
    <row r="430" ht="17.25" customHeight="1" spans="1:46">
      <c r="A430" s="8"/>
      <c r="B430" s="8"/>
      <c r="C430" s="8"/>
      <c r="D430" s="8"/>
      <c r="E430" s="8"/>
      <c r="F430" s="8"/>
      <c r="G430" s="9"/>
      <c r="H430" s="8"/>
      <c r="I430" s="8"/>
      <c r="J430" s="8"/>
      <c r="K430" s="8"/>
      <c r="L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N430" s="9"/>
      <c r="AO430" s="9"/>
      <c r="AP430" s="9"/>
      <c r="AQ430" s="9"/>
      <c r="AR430" s="9"/>
      <c r="AS430" s="9"/>
      <c r="AT430" s="9"/>
    </row>
    <row r="431" ht="17.25" customHeight="1" spans="1:46">
      <c r="A431" s="8"/>
      <c r="B431" s="8"/>
      <c r="C431" s="8"/>
      <c r="D431" s="8"/>
      <c r="E431" s="8"/>
      <c r="F431" s="8"/>
      <c r="G431" s="9"/>
      <c r="H431" s="8"/>
      <c r="I431" s="8"/>
      <c r="J431" s="8"/>
      <c r="K431" s="8"/>
      <c r="L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N431" s="9"/>
      <c r="AO431" s="9"/>
      <c r="AP431" s="9"/>
      <c r="AQ431" s="9"/>
      <c r="AR431" s="9"/>
      <c r="AS431" s="9"/>
      <c r="AT431" s="9"/>
    </row>
    <row r="432" ht="17.25" customHeight="1" spans="1:46">
      <c r="A432" s="8"/>
      <c r="B432" s="8"/>
      <c r="C432" s="8"/>
      <c r="D432" s="8"/>
      <c r="E432" s="8"/>
      <c r="F432" s="8"/>
      <c r="G432" s="9"/>
      <c r="H432" s="8"/>
      <c r="I432" s="8"/>
      <c r="J432" s="8"/>
      <c r="K432" s="8"/>
      <c r="L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N432" s="9"/>
      <c r="AO432" s="9"/>
      <c r="AP432" s="9"/>
      <c r="AQ432" s="9"/>
      <c r="AR432" s="9"/>
      <c r="AS432" s="9"/>
      <c r="AT432" s="9"/>
    </row>
    <row r="433" ht="17.25" customHeight="1" spans="1:46">
      <c r="A433" s="8"/>
      <c r="B433" s="8"/>
      <c r="C433" s="8"/>
      <c r="D433" s="8"/>
      <c r="E433" s="8"/>
      <c r="F433" s="8"/>
      <c r="G433" s="9"/>
      <c r="H433" s="8"/>
      <c r="I433" s="8"/>
      <c r="J433" s="8"/>
      <c r="K433" s="8"/>
      <c r="L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N433" s="9"/>
      <c r="AO433" s="9"/>
      <c r="AP433" s="9"/>
      <c r="AQ433" s="9"/>
      <c r="AR433" s="9"/>
      <c r="AS433" s="9"/>
      <c r="AT433" s="9"/>
    </row>
    <row r="434" ht="17.25" customHeight="1" spans="1:46">
      <c r="A434" s="8"/>
      <c r="B434" s="8"/>
      <c r="C434" s="8"/>
      <c r="D434" s="8"/>
      <c r="E434" s="8"/>
      <c r="F434" s="8"/>
      <c r="G434" s="9"/>
      <c r="H434" s="8"/>
      <c r="I434" s="8"/>
      <c r="J434" s="8"/>
      <c r="K434" s="8"/>
      <c r="L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N434" s="9"/>
      <c r="AO434" s="9"/>
      <c r="AP434" s="9"/>
      <c r="AQ434" s="9"/>
      <c r="AR434" s="9"/>
      <c r="AS434" s="9"/>
      <c r="AT434" s="9"/>
    </row>
    <row r="435" ht="17.25" customHeight="1" spans="1:46">
      <c r="A435" s="8"/>
      <c r="B435" s="8"/>
      <c r="C435" s="8"/>
      <c r="D435" s="8"/>
      <c r="E435" s="8"/>
      <c r="F435" s="8"/>
      <c r="G435" s="9"/>
      <c r="H435" s="8"/>
      <c r="I435" s="8"/>
      <c r="J435" s="8"/>
      <c r="K435" s="8"/>
      <c r="L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N435" s="9"/>
      <c r="AO435" s="9"/>
      <c r="AP435" s="9"/>
      <c r="AQ435" s="9"/>
      <c r="AR435" s="9"/>
      <c r="AS435" s="9"/>
      <c r="AT435" s="9"/>
    </row>
    <row r="436" ht="17.25" customHeight="1" spans="1:46">
      <c r="A436" s="8"/>
      <c r="B436" s="8"/>
      <c r="C436" s="8"/>
      <c r="D436" s="8"/>
      <c r="E436" s="8"/>
      <c r="F436" s="8"/>
      <c r="G436" s="9"/>
      <c r="H436" s="8"/>
      <c r="I436" s="8"/>
      <c r="J436" s="8"/>
      <c r="K436" s="8"/>
      <c r="L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N436" s="9"/>
      <c r="AO436" s="9"/>
      <c r="AP436" s="9"/>
      <c r="AQ436" s="9"/>
      <c r="AR436" s="9"/>
      <c r="AS436" s="9"/>
      <c r="AT436" s="9"/>
    </row>
    <row r="437" ht="17.25" customHeight="1" spans="1:46">
      <c r="A437" s="8"/>
      <c r="B437" s="8"/>
      <c r="C437" s="8"/>
      <c r="D437" s="8"/>
      <c r="E437" s="8"/>
      <c r="F437" s="8"/>
      <c r="G437" s="9"/>
      <c r="H437" s="8"/>
      <c r="I437" s="8"/>
      <c r="J437" s="8"/>
      <c r="K437" s="8"/>
      <c r="L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N437" s="9"/>
      <c r="AO437" s="9"/>
      <c r="AP437" s="9"/>
      <c r="AQ437" s="9"/>
      <c r="AR437" s="9"/>
      <c r="AS437" s="9"/>
      <c r="AT437" s="9"/>
    </row>
    <row r="438" ht="17.25" customHeight="1" spans="1:46">
      <c r="A438" s="8"/>
      <c r="B438" s="8"/>
      <c r="C438" s="8"/>
      <c r="D438" s="8"/>
      <c r="E438" s="8"/>
      <c r="F438" s="8"/>
      <c r="G438" s="9"/>
      <c r="H438" s="8"/>
      <c r="I438" s="8"/>
      <c r="J438" s="8"/>
      <c r="K438" s="8"/>
      <c r="L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N438" s="9"/>
      <c r="AO438" s="9"/>
      <c r="AP438" s="9"/>
      <c r="AQ438" s="9"/>
      <c r="AR438" s="9"/>
      <c r="AS438" s="9"/>
      <c r="AT438" s="9"/>
    </row>
    <row r="439" ht="17.25" customHeight="1" spans="1:46">
      <c r="A439" s="8"/>
      <c r="B439" s="8"/>
      <c r="C439" s="8"/>
      <c r="D439" s="8"/>
      <c r="E439" s="8"/>
      <c r="F439" s="8"/>
      <c r="G439" s="9"/>
      <c r="H439" s="8"/>
      <c r="I439" s="8"/>
      <c r="J439" s="8"/>
      <c r="K439" s="8"/>
      <c r="L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N439" s="9"/>
      <c r="AO439" s="9"/>
      <c r="AP439" s="9"/>
      <c r="AQ439" s="9"/>
      <c r="AR439" s="9"/>
      <c r="AS439" s="9"/>
      <c r="AT439" s="9"/>
    </row>
    <row r="440" ht="17.25" customHeight="1" spans="1:46">
      <c r="A440" s="8"/>
      <c r="B440" s="8"/>
      <c r="C440" s="8"/>
      <c r="D440" s="8"/>
      <c r="E440" s="8"/>
      <c r="F440" s="8"/>
      <c r="G440" s="9"/>
      <c r="H440" s="8"/>
      <c r="I440" s="8"/>
      <c r="J440" s="8"/>
      <c r="K440" s="8"/>
      <c r="L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N440" s="9"/>
      <c r="AO440" s="9"/>
      <c r="AP440" s="9"/>
      <c r="AQ440" s="9"/>
      <c r="AR440" s="9"/>
      <c r="AS440" s="9"/>
      <c r="AT440" s="9"/>
    </row>
    <row r="441" ht="17.25" customHeight="1" spans="1:46">
      <c r="A441" s="8"/>
      <c r="B441" s="8"/>
      <c r="C441" s="8"/>
      <c r="D441" s="8"/>
      <c r="E441" s="8"/>
      <c r="F441" s="8"/>
      <c r="G441" s="9"/>
      <c r="H441" s="8"/>
      <c r="I441" s="8"/>
      <c r="J441" s="8"/>
      <c r="K441" s="8"/>
      <c r="L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N441" s="9"/>
      <c r="AO441" s="9"/>
      <c r="AP441" s="9"/>
      <c r="AQ441" s="9"/>
      <c r="AR441" s="9"/>
      <c r="AS441" s="9"/>
      <c r="AT441" s="9"/>
    </row>
    <row r="442" ht="17.25" customHeight="1" spans="1:46">
      <c r="A442" s="8"/>
      <c r="B442" s="8"/>
      <c r="C442" s="8"/>
      <c r="D442" s="8"/>
      <c r="E442" s="8"/>
      <c r="F442" s="8"/>
      <c r="G442" s="9"/>
      <c r="H442" s="8"/>
      <c r="I442" s="8"/>
      <c r="J442" s="8"/>
      <c r="K442" s="8"/>
      <c r="L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N442" s="9"/>
      <c r="AO442" s="9"/>
      <c r="AP442" s="9"/>
      <c r="AQ442" s="9"/>
      <c r="AR442" s="9"/>
      <c r="AS442" s="9"/>
      <c r="AT442" s="9"/>
    </row>
    <row r="443" ht="17.25" customHeight="1" spans="1:46">
      <c r="A443" s="8"/>
      <c r="B443" s="8"/>
      <c r="C443" s="8"/>
      <c r="D443" s="8"/>
      <c r="E443" s="8"/>
      <c r="F443" s="8"/>
      <c r="G443" s="9"/>
      <c r="H443" s="8"/>
      <c r="I443" s="8"/>
      <c r="J443" s="8"/>
      <c r="K443" s="8"/>
      <c r="L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N443" s="9"/>
      <c r="AO443" s="9"/>
      <c r="AP443" s="9"/>
      <c r="AQ443" s="9"/>
      <c r="AR443" s="9"/>
      <c r="AS443" s="9"/>
      <c r="AT443" s="9"/>
    </row>
    <row r="444" ht="17.25" customHeight="1" spans="1:46">
      <c r="A444" s="8"/>
      <c r="B444" s="8"/>
      <c r="C444" s="8"/>
      <c r="D444" s="8"/>
      <c r="E444" s="8"/>
      <c r="F444" s="8"/>
      <c r="G444" s="9"/>
      <c r="H444" s="8"/>
      <c r="I444" s="8"/>
      <c r="J444" s="8"/>
      <c r="K444" s="8"/>
      <c r="L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N444" s="9"/>
      <c r="AO444" s="9"/>
      <c r="AP444" s="9"/>
      <c r="AQ444" s="9"/>
      <c r="AR444" s="9"/>
      <c r="AS444" s="9"/>
      <c r="AT444" s="9"/>
    </row>
    <row r="445" ht="17.25" customHeight="1" spans="1:46">
      <c r="A445" s="8"/>
      <c r="B445" s="8"/>
      <c r="C445" s="8"/>
      <c r="D445" s="8"/>
      <c r="E445" s="8"/>
      <c r="F445" s="8"/>
      <c r="G445" s="9"/>
      <c r="H445" s="8"/>
      <c r="I445" s="8"/>
      <c r="J445" s="8"/>
      <c r="K445" s="8"/>
      <c r="L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N445" s="9"/>
      <c r="AO445" s="9"/>
      <c r="AP445" s="9"/>
      <c r="AQ445" s="9"/>
      <c r="AR445" s="9"/>
      <c r="AS445" s="9"/>
      <c r="AT445" s="9"/>
    </row>
    <row r="446" ht="17.25" customHeight="1" spans="1:46">
      <c r="A446" s="8"/>
      <c r="B446" s="8"/>
      <c r="C446" s="8"/>
      <c r="D446" s="8"/>
      <c r="E446" s="8"/>
      <c r="F446" s="8"/>
      <c r="G446" s="9"/>
      <c r="H446" s="8"/>
      <c r="I446" s="8"/>
      <c r="J446" s="8"/>
      <c r="K446" s="8"/>
      <c r="L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N446" s="9"/>
      <c r="AO446" s="9"/>
      <c r="AP446" s="9"/>
      <c r="AQ446" s="9"/>
      <c r="AR446" s="9"/>
      <c r="AS446" s="9"/>
      <c r="AT446" s="9"/>
    </row>
    <row r="447" ht="17.25" customHeight="1" spans="1:46">
      <c r="A447" s="8"/>
      <c r="B447" s="8"/>
      <c r="C447" s="8"/>
      <c r="D447" s="8"/>
      <c r="E447" s="8"/>
      <c r="F447" s="8"/>
      <c r="G447" s="9"/>
      <c r="H447" s="8"/>
      <c r="I447" s="8"/>
      <c r="J447" s="8"/>
      <c r="K447" s="8"/>
      <c r="L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N447" s="9"/>
      <c r="AO447" s="9"/>
      <c r="AP447" s="9"/>
      <c r="AQ447" s="9"/>
      <c r="AR447" s="9"/>
      <c r="AS447" s="9"/>
      <c r="AT447" s="9"/>
    </row>
    <row r="448" ht="17.25" customHeight="1" spans="1:46">
      <c r="A448" s="8"/>
      <c r="B448" s="8"/>
      <c r="C448" s="8"/>
      <c r="D448" s="8"/>
      <c r="E448" s="8"/>
      <c r="F448" s="8"/>
      <c r="G448" s="9"/>
      <c r="H448" s="8"/>
      <c r="I448" s="8"/>
      <c r="J448" s="8"/>
      <c r="K448" s="8"/>
      <c r="L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N448" s="9"/>
      <c r="AO448" s="9"/>
      <c r="AP448" s="9"/>
      <c r="AQ448" s="9"/>
      <c r="AR448" s="9"/>
      <c r="AS448" s="9"/>
      <c r="AT448" s="9"/>
    </row>
    <row r="449" ht="17.25" customHeight="1" spans="1:46">
      <c r="A449" s="8"/>
      <c r="B449" s="8"/>
      <c r="C449" s="8"/>
      <c r="D449" s="8"/>
      <c r="E449" s="8"/>
      <c r="F449" s="8"/>
      <c r="G449" s="9"/>
      <c r="H449" s="8"/>
      <c r="I449" s="8"/>
      <c r="J449" s="8"/>
      <c r="K449" s="8"/>
      <c r="L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N449" s="9"/>
      <c r="AO449" s="9"/>
      <c r="AP449" s="9"/>
      <c r="AQ449" s="9"/>
      <c r="AR449" s="9"/>
      <c r="AS449" s="9"/>
      <c r="AT449" s="9"/>
    </row>
    <row r="450" ht="17.25" customHeight="1" spans="1:46">
      <c r="A450" s="8"/>
      <c r="B450" s="8"/>
      <c r="C450" s="8"/>
      <c r="D450" s="8"/>
      <c r="E450" s="8"/>
      <c r="F450" s="8"/>
      <c r="G450" s="9"/>
      <c r="H450" s="8"/>
      <c r="I450" s="8"/>
      <c r="J450" s="8"/>
      <c r="K450" s="8"/>
      <c r="L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N450" s="9"/>
      <c r="AO450" s="9"/>
      <c r="AP450" s="9"/>
      <c r="AQ450" s="9"/>
      <c r="AR450" s="9"/>
      <c r="AS450" s="9"/>
      <c r="AT450" s="9"/>
    </row>
    <row r="451" ht="17.25" customHeight="1" spans="1:46">
      <c r="A451" s="8"/>
      <c r="B451" s="8"/>
      <c r="C451" s="8"/>
      <c r="D451" s="8"/>
      <c r="E451" s="8"/>
      <c r="F451" s="8"/>
      <c r="G451" s="9"/>
      <c r="H451" s="8"/>
      <c r="I451" s="8"/>
      <c r="J451" s="8"/>
      <c r="K451" s="8"/>
      <c r="L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N451" s="9"/>
      <c r="AO451" s="9"/>
      <c r="AP451" s="9"/>
      <c r="AQ451" s="9"/>
      <c r="AR451" s="9"/>
      <c r="AS451" s="9"/>
      <c r="AT451" s="9"/>
    </row>
    <row r="452" ht="17.25" customHeight="1" spans="1:46">
      <c r="A452" s="8"/>
      <c r="B452" s="8"/>
      <c r="C452" s="8"/>
      <c r="D452" s="8"/>
      <c r="E452" s="8"/>
      <c r="F452" s="8"/>
      <c r="G452" s="9"/>
      <c r="H452" s="8"/>
      <c r="I452" s="8"/>
      <c r="J452" s="8"/>
      <c r="K452" s="8"/>
      <c r="L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N452" s="9"/>
      <c r="AO452" s="9"/>
      <c r="AP452" s="9"/>
      <c r="AQ452" s="9"/>
      <c r="AR452" s="9"/>
      <c r="AS452" s="9"/>
      <c r="AT452" s="9"/>
    </row>
    <row r="453" ht="17.25" customHeight="1" spans="1:46">
      <c r="A453" s="8"/>
      <c r="B453" s="8"/>
      <c r="C453" s="8"/>
      <c r="D453" s="8"/>
      <c r="E453" s="8"/>
      <c r="F453" s="8"/>
      <c r="G453" s="9"/>
      <c r="H453" s="8"/>
      <c r="I453" s="8"/>
      <c r="J453" s="8"/>
      <c r="K453" s="8"/>
      <c r="L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N453" s="9"/>
      <c r="AO453" s="9"/>
      <c r="AP453" s="9"/>
      <c r="AQ453" s="9"/>
      <c r="AR453" s="9"/>
      <c r="AS453" s="9"/>
      <c r="AT453" s="9"/>
    </row>
    <row r="454" ht="17.25" customHeight="1" spans="1:46">
      <c r="A454" s="8"/>
      <c r="B454" s="8"/>
      <c r="C454" s="8"/>
      <c r="D454" s="8"/>
      <c r="E454" s="8"/>
      <c r="F454" s="8"/>
      <c r="G454" s="9"/>
      <c r="H454" s="8"/>
      <c r="I454" s="8"/>
      <c r="J454" s="8"/>
      <c r="K454" s="8"/>
      <c r="L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N454" s="9"/>
      <c r="AO454" s="9"/>
      <c r="AP454" s="9"/>
      <c r="AQ454" s="9"/>
      <c r="AR454" s="9"/>
      <c r="AS454" s="9"/>
      <c r="AT454" s="9"/>
    </row>
    <row r="455" ht="17.25" customHeight="1" spans="1:46">
      <c r="A455" s="8"/>
      <c r="B455" s="8"/>
      <c r="C455" s="8"/>
      <c r="D455" s="8"/>
      <c r="E455" s="8"/>
      <c r="F455" s="8"/>
      <c r="G455" s="9"/>
      <c r="H455" s="8"/>
      <c r="I455" s="8"/>
      <c r="J455" s="8"/>
      <c r="K455" s="8"/>
      <c r="L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N455" s="9"/>
      <c r="AO455" s="9"/>
      <c r="AP455" s="9"/>
      <c r="AQ455" s="9"/>
      <c r="AR455" s="9"/>
      <c r="AS455" s="9"/>
      <c r="AT455" s="9"/>
    </row>
    <row r="456" ht="17.25" customHeight="1" spans="1:46">
      <c r="A456" s="8"/>
      <c r="B456" s="8"/>
      <c r="C456" s="8"/>
      <c r="D456" s="8"/>
      <c r="E456" s="8"/>
      <c r="F456" s="8"/>
      <c r="G456" s="9"/>
      <c r="H456" s="8"/>
      <c r="I456" s="8"/>
      <c r="J456" s="8"/>
      <c r="K456" s="8"/>
      <c r="L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N456" s="9"/>
      <c r="AO456" s="9"/>
      <c r="AP456" s="9"/>
      <c r="AQ456" s="9"/>
      <c r="AR456" s="9"/>
      <c r="AS456" s="9"/>
      <c r="AT456" s="9"/>
    </row>
    <row r="457" ht="17.25" customHeight="1" spans="1:46">
      <c r="A457" s="8"/>
      <c r="B457" s="8"/>
      <c r="C457" s="8"/>
      <c r="D457" s="8"/>
      <c r="E457" s="8"/>
      <c r="F457" s="8"/>
      <c r="G457" s="9"/>
      <c r="H457" s="8"/>
      <c r="I457" s="8"/>
      <c r="J457" s="8"/>
      <c r="K457" s="8"/>
      <c r="L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N457" s="9"/>
      <c r="AO457" s="9"/>
      <c r="AP457" s="9"/>
      <c r="AQ457" s="9"/>
      <c r="AR457" s="9"/>
      <c r="AS457" s="9"/>
      <c r="AT457" s="9"/>
    </row>
    <row r="458" ht="17.25" customHeight="1" spans="1:46">
      <c r="A458" s="8"/>
      <c r="B458" s="8"/>
      <c r="C458" s="8"/>
      <c r="D458" s="8"/>
      <c r="E458" s="8"/>
      <c r="F458" s="8"/>
      <c r="G458" s="9"/>
      <c r="H458" s="8"/>
      <c r="I458" s="8"/>
      <c r="J458" s="8"/>
      <c r="K458" s="8"/>
      <c r="L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N458" s="9"/>
      <c r="AO458" s="9"/>
      <c r="AP458" s="9"/>
      <c r="AQ458" s="9"/>
      <c r="AR458" s="9"/>
      <c r="AS458" s="9"/>
      <c r="AT458" s="9"/>
    </row>
    <row r="459" ht="17.25" customHeight="1" spans="1:46">
      <c r="A459" s="8"/>
      <c r="B459" s="8"/>
      <c r="C459" s="8"/>
      <c r="D459" s="8"/>
      <c r="E459" s="8"/>
      <c r="F459" s="8"/>
      <c r="G459" s="9"/>
      <c r="H459" s="8"/>
      <c r="I459" s="8"/>
      <c r="J459" s="8"/>
      <c r="K459" s="8"/>
      <c r="L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N459" s="9"/>
      <c r="AO459" s="9"/>
      <c r="AP459" s="9"/>
      <c r="AQ459" s="9"/>
      <c r="AR459" s="9"/>
      <c r="AS459" s="9"/>
      <c r="AT459" s="9"/>
    </row>
    <row r="460" ht="17.25" customHeight="1" spans="1:46">
      <c r="A460" s="8"/>
      <c r="B460" s="8"/>
      <c r="C460" s="8"/>
      <c r="D460" s="8"/>
      <c r="E460" s="8"/>
      <c r="F460" s="8"/>
      <c r="G460" s="9"/>
      <c r="H460" s="8"/>
      <c r="I460" s="8"/>
      <c r="J460" s="8"/>
      <c r="K460" s="8"/>
      <c r="L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N460" s="9"/>
      <c r="AO460" s="9"/>
      <c r="AP460" s="9"/>
      <c r="AQ460" s="9"/>
      <c r="AR460" s="9"/>
      <c r="AS460" s="9"/>
      <c r="AT460" s="9"/>
    </row>
    <row r="461" ht="17.25" customHeight="1" spans="1:46">
      <c r="A461" s="8"/>
      <c r="B461" s="8"/>
      <c r="C461" s="8"/>
      <c r="D461" s="8"/>
      <c r="E461" s="8"/>
      <c r="F461" s="8"/>
      <c r="G461" s="9"/>
      <c r="H461" s="8"/>
      <c r="I461" s="8"/>
      <c r="J461" s="8"/>
      <c r="K461" s="8"/>
      <c r="L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N461" s="9"/>
      <c r="AO461" s="9"/>
      <c r="AP461" s="9"/>
      <c r="AQ461" s="9"/>
      <c r="AR461" s="9"/>
      <c r="AS461" s="9"/>
      <c r="AT461" s="9"/>
    </row>
    <row r="462" ht="17.25" customHeight="1" spans="1:46">
      <c r="A462" s="8"/>
      <c r="B462" s="8"/>
      <c r="C462" s="8"/>
      <c r="D462" s="8"/>
      <c r="E462" s="8"/>
      <c r="F462" s="8"/>
      <c r="G462" s="9"/>
      <c r="H462" s="8"/>
      <c r="I462" s="8"/>
      <c r="J462" s="8"/>
      <c r="K462" s="8"/>
      <c r="L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N462" s="9"/>
      <c r="AO462" s="9"/>
      <c r="AP462" s="9"/>
      <c r="AQ462" s="9"/>
      <c r="AR462" s="9"/>
      <c r="AS462" s="9"/>
      <c r="AT462" s="9"/>
    </row>
    <row r="463" ht="17.25" customHeight="1" spans="1:46">
      <c r="A463" s="8"/>
      <c r="B463" s="8"/>
      <c r="C463" s="8"/>
      <c r="D463" s="8"/>
      <c r="E463" s="8"/>
      <c r="F463" s="8"/>
      <c r="G463" s="9"/>
      <c r="H463" s="8"/>
      <c r="I463" s="8"/>
      <c r="J463" s="8"/>
      <c r="K463" s="8"/>
      <c r="L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N463" s="9"/>
      <c r="AO463" s="9"/>
      <c r="AP463" s="9"/>
      <c r="AQ463" s="9"/>
      <c r="AR463" s="9"/>
      <c r="AS463" s="9"/>
      <c r="AT463" s="9"/>
    </row>
    <row r="464" ht="17.25" customHeight="1" spans="1:46">
      <c r="A464" s="8"/>
      <c r="B464" s="8"/>
      <c r="C464" s="8"/>
      <c r="D464" s="8"/>
      <c r="E464" s="8"/>
      <c r="F464" s="8"/>
      <c r="G464" s="9"/>
      <c r="H464" s="8"/>
      <c r="I464" s="8"/>
      <c r="J464" s="8"/>
      <c r="K464" s="8"/>
      <c r="L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N464" s="9"/>
      <c r="AO464" s="9"/>
      <c r="AP464" s="9"/>
      <c r="AQ464" s="9"/>
      <c r="AR464" s="9"/>
      <c r="AS464" s="9"/>
      <c r="AT464" s="9"/>
    </row>
    <row r="465" ht="17.25" customHeight="1" spans="1:46">
      <c r="A465" s="8"/>
      <c r="B465" s="8"/>
      <c r="C465" s="8"/>
      <c r="D465" s="8"/>
      <c r="E465" s="8"/>
      <c r="F465" s="8"/>
      <c r="G465" s="9"/>
      <c r="H465" s="8"/>
      <c r="I465" s="8"/>
      <c r="J465" s="8"/>
      <c r="K465" s="8"/>
      <c r="L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N465" s="9"/>
      <c r="AO465" s="9"/>
      <c r="AP465" s="9"/>
      <c r="AQ465" s="9"/>
      <c r="AR465" s="9"/>
      <c r="AS465" s="9"/>
      <c r="AT465" s="9"/>
    </row>
    <row r="466" ht="17.25" customHeight="1" spans="1:46">
      <c r="A466" s="8"/>
      <c r="B466" s="8"/>
      <c r="C466" s="8"/>
      <c r="D466" s="8"/>
      <c r="E466" s="8"/>
      <c r="F466" s="8"/>
      <c r="G466" s="9"/>
      <c r="H466" s="8"/>
      <c r="I466" s="8"/>
      <c r="J466" s="8"/>
      <c r="K466" s="8"/>
      <c r="L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N466" s="9"/>
      <c r="AO466" s="9"/>
      <c r="AP466" s="9"/>
      <c r="AQ466" s="9"/>
      <c r="AR466" s="9"/>
      <c r="AS466" s="9"/>
      <c r="AT466" s="9"/>
    </row>
    <row r="467" ht="17.25" customHeight="1" spans="1:46">
      <c r="A467" s="8"/>
      <c r="B467" s="8"/>
      <c r="C467" s="8"/>
      <c r="D467" s="8"/>
      <c r="E467" s="8"/>
      <c r="F467" s="8"/>
      <c r="G467" s="9"/>
      <c r="H467" s="8"/>
      <c r="I467" s="8"/>
      <c r="J467" s="8"/>
      <c r="K467" s="8"/>
      <c r="L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N467" s="9"/>
      <c r="AO467" s="9"/>
      <c r="AP467" s="9"/>
      <c r="AQ467" s="9"/>
      <c r="AR467" s="9"/>
      <c r="AS467" s="9"/>
      <c r="AT467" s="9"/>
    </row>
    <row r="468" ht="17.25" customHeight="1" spans="1:46">
      <c r="A468" s="8"/>
      <c r="B468" s="8"/>
      <c r="C468" s="8"/>
      <c r="D468" s="8"/>
      <c r="E468" s="8"/>
      <c r="F468" s="8"/>
      <c r="G468" s="9"/>
      <c r="H468" s="8"/>
      <c r="I468" s="8"/>
      <c r="J468" s="8"/>
      <c r="K468" s="8"/>
      <c r="L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N468" s="9"/>
      <c r="AO468" s="9"/>
      <c r="AP468" s="9"/>
      <c r="AQ468" s="9"/>
      <c r="AR468" s="9"/>
      <c r="AS468" s="9"/>
      <c r="AT468" s="9"/>
    </row>
    <row r="469" ht="17.25" customHeight="1" spans="1:46">
      <c r="A469" s="8"/>
      <c r="B469" s="8"/>
      <c r="C469" s="8"/>
      <c r="D469" s="8"/>
      <c r="E469" s="8"/>
      <c r="F469" s="8"/>
      <c r="G469" s="9"/>
      <c r="H469" s="8"/>
      <c r="I469" s="8"/>
      <c r="J469" s="8"/>
      <c r="K469" s="8"/>
      <c r="L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N469" s="9"/>
      <c r="AO469" s="9"/>
      <c r="AP469" s="9"/>
      <c r="AQ469" s="9"/>
      <c r="AR469" s="9"/>
      <c r="AS469" s="9"/>
      <c r="AT469" s="9"/>
    </row>
    <row r="470" ht="17.25" customHeight="1" spans="1:46">
      <c r="A470" s="8"/>
      <c r="B470" s="8"/>
      <c r="C470" s="8"/>
      <c r="D470" s="8"/>
      <c r="E470" s="8"/>
      <c r="F470" s="8"/>
      <c r="G470" s="9"/>
      <c r="H470" s="8"/>
      <c r="I470" s="8"/>
      <c r="J470" s="8"/>
      <c r="K470" s="8"/>
      <c r="L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N470" s="9"/>
      <c r="AO470" s="9"/>
      <c r="AP470" s="9"/>
      <c r="AQ470" s="9"/>
      <c r="AR470" s="9"/>
      <c r="AS470" s="9"/>
      <c r="AT470" s="9"/>
    </row>
    <row r="471" ht="17.25" customHeight="1" spans="1:46">
      <c r="A471" s="8"/>
      <c r="B471" s="8"/>
      <c r="C471" s="8"/>
      <c r="D471" s="8"/>
      <c r="E471" s="8"/>
      <c r="F471" s="8"/>
      <c r="G471" s="9"/>
      <c r="H471" s="8"/>
      <c r="I471" s="8"/>
      <c r="J471" s="8"/>
      <c r="K471" s="8"/>
      <c r="L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N471" s="9"/>
      <c r="AO471" s="9"/>
      <c r="AP471" s="9"/>
      <c r="AQ471" s="9"/>
      <c r="AR471" s="9"/>
      <c r="AS471" s="9"/>
      <c r="AT471" s="9"/>
    </row>
    <row r="472" ht="17.25" customHeight="1" spans="1:46">
      <c r="A472" s="8"/>
      <c r="B472" s="8"/>
      <c r="C472" s="8"/>
      <c r="D472" s="8"/>
      <c r="E472" s="8"/>
      <c r="F472" s="8"/>
      <c r="G472" s="9"/>
      <c r="H472" s="8"/>
      <c r="I472" s="8"/>
      <c r="J472" s="8"/>
      <c r="K472" s="8"/>
      <c r="L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N472" s="9"/>
      <c r="AO472" s="9"/>
      <c r="AP472" s="9"/>
      <c r="AQ472" s="9"/>
      <c r="AR472" s="9"/>
      <c r="AS472" s="9"/>
      <c r="AT472" s="9"/>
    </row>
    <row r="473" ht="17.25" customHeight="1" spans="1:46">
      <c r="A473" s="8"/>
      <c r="B473" s="8"/>
      <c r="C473" s="8"/>
      <c r="D473" s="8"/>
      <c r="E473" s="8"/>
      <c r="F473" s="8"/>
      <c r="G473" s="9"/>
      <c r="H473" s="8"/>
      <c r="I473" s="8"/>
      <c r="J473" s="8"/>
      <c r="K473" s="8"/>
      <c r="L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N473" s="9"/>
      <c r="AO473" s="9"/>
      <c r="AP473" s="9"/>
      <c r="AQ473" s="9"/>
      <c r="AR473" s="9"/>
      <c r="AS473" s="9"/>
      <c r="AT473" s="9"/>
    </row>
    <row r="474" ht="17.25" customHeight="1" spans="1:46">
      <c r="A474" s="8"/>
      <c r="B474" s="8"/>
      <c r="C474" s="8"/>
      <c r="D474" s="8"/>
      <c r="E474" s="8"/>
      <c r="F474" s="8"/>
      <c r="G474" s="9"/>
      <c r="H474" s="8"/>
      <c r="I474" s="8"/>
      <c r="J474" s="8"/>
      <c r="K474" s="8"/>
      <c r="L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N474" s="9"/>
      <c r="AO474" s="9"/>
      <c r="AP474" s="9"/>
      <c r="AQ474" s="9"/>
      <c r="AR474" s="9"/>
      <c r="AS474" s="9"/>
      <c r="AT474" s="9"/>
    </row>
    <row r="475" ht="17.25" customHeight="1" spans="1:46">
      <c r="A475" s="8"/>
      <c r="B475" s="8"/>
      <c r="C475" s="8"/>
      <c r="D475" s="8"/>
      <c r="E475" s="8"/>
      <c r="F475" s="8"/>
      <c r="G475" s="9"/>
      <c r="H475" s="8"/>
      <c r="I475" s="8"/>
      <c r="J475" s="8"/>
      <c r="K475" s="8"/>
      <c r="L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N475" s="9"/>
      <c r="AO475" s="9"/>
      <c r="AP475" s="9"/>
      <c r="AQ475" s="9"/>
      <c r="AR475" s="9"/>
      <c r="AS475" s="9"/>
      <c r="AT475" s="9"/>
    </row>
    <row r="476" ht="17.25" customHeight="1" spans="1:46">
      <c r="A476" s="8"/>
      <c r="B476" s="8"/>
      <c r="C476" s="8"/>
      <c r="D476" s="8"/>
      <c r="E476" s="8"/>
      <c r="F476" s="8"/>
      <c r="G476" s="9"/>
      <c r="H476" s="8"/>
      <c r="I476" s="8"/>
      <c r="J476" s="8"/>
      <c r="K476" s="8"/>
      <c r="L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N476" s="9"/>
      <c r="AO476" s="9"/>
      <c r="AP476" s="9"/>
      <c r="AQ476" s="9"/>
      <c r="AR476" s="9"/>
      <c r="AS476" s="9"/>
      <c r="AT476" s="9"/>
    </row>
    <row r="477" ht="17.25" customHeight="1" spans="1:46">
      <c r="A477" s="8"/>
      <c r="B477" s="8"/>
      <c r="C477" s="8"/>
      <c r="D477" s="8"/>
      <c r="E477" s="8"/>
      <c r="F477" s="8"/>
      <c r="G477" s="9"/>
      <c r="H477" s="8"/>
      <c r="I477" s="8"/>
      <c r="J477" s="8"/>
      <c r="K477" s="8"/>
      <c r="L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N477" s="9"/>
      <c r="AO477" s="9"/>
      <c r="AP477" s="9"/>
      <c r="AQ477" s="9"/>
      <c r="AR477" s="9"/>
      <c r="AS477" s="9"/>
      <c r="AT477" s="9"/>
    </row>
    <row r="478" ht="17.25" customHeight="1" spans="1:46">
      <c r="A478" s="8"/>
      <c r="B478" s="8"/>
      <c r="C478" s="8"/>
      <c r="D478" s="8"/>
      <c r="E478" s="8"/>
      <c r="F478" s="8"/>
      <c r="G478" s="9"/>
      <c r="H478" s="8"/>
      <c r="I478" s="8"/>
      <c r="J478" s="8"/>
      <c r="K478" s="8"/>
      <c r="L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N478" s="9"/>
      <c r="AO478" s="9"/>
      <c r="AP478" s="9"/>
      <c r="AQ478" s="9"/>
      <c r="AR478" s="9"/>
      <c r="AS478" s="9"/>
      <c r="AT478" s="9"/>
    </row>
    <row r="479" ht="17.25" customHeight="1" spans="1:46">
      <c r="A479" s="8"/>
      <c r="B479" s="8"/>
      <c r="C479" s="8"/>
      <c r="D479" s="8"/>
      <c r="E479" s="8"/>
      <c r="F479" s="8"/>
      <c r="G479" s="9"/>
      <c r="H479" s="8"/>
      <c r="I479" s="8"/>
      <c r="J479" s="8"/>
      <c r="K479" s="8"/>
      <c r="L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N479" s="9"/>
      <c r="AO479" s="9"/>
      <c r="AP479" s="9"/>
      <c r="AQ479" s="9"/>
      <c r="AR479" s="9"/>
      <c r="AS479" s="9"/>
      <c r="AT479" s="9"/>
    </row>
    <row r="480" ht="17.25" customHeight="1" spans="1:46">
      <c r="A480" s="8"/>
      <c r="B480" s="8"/>
      <c r="C480" s="8"/>
      <c r="D480" s="8"/>
      <c r="E480" s="8"/>
      <c r="F480" s="8"/>
      <c r="G480" s="9"/>
      <c r="H480" s="8"/>
      <c r="I480" s="8"/>
      <c r="J480" s="8"/>
      <c r="K480" s="8"/>
      <c r="L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N480" s="9"/>
      <c r="AO480" s="9"/>
      <c r="AP480" s="9"/>
      <c r="AQ480" s="9"/>
      <c r="AR480" s="9"/>
      <c r="AS480" s="9"/>
      <c r="AT480" s="9"/>
    </row>
    <row r="481" ht="17.25" customHeight="1" spans="1:46">
      <c r="A481" s="8"/>
      <c r="B481" s="8"/>
      <c r="C481" s="8"/>
      <c r="D481" s="8"/>
      <c r="E481" s="8"/>
      <c r="F481" s="8"/>
      <c r="G481" s="9"/>
      <c r="H481" s="8"/>
      <c r="I481" s="8"/>
      <c r="J481" s="8"/>
      <c r="K481" s="8"/>
      <c r="L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N481" s="9"/>
      <c r="AO481" s="9"/>
      <c r="AP481" s="9"/>
      <c r="AQ481" s="9"/>
      <c r="AR481" s="9"/>
      <c r="AS481" s="9"/>
      <c r="AT481" s="9"/>
    </row>
    <row r="482" ht="17.25" customHeight="1" spans="1:46">
      <c r="A482" s="8"/>
      <c r="B482" s="8"/>
      <c r="C482" s="8"/>
      <c r="D482" s="8"/>
      <c r="E482" s="8"/>
      <c r="F482" s="8"/>
      <c r="G482" s="9"/>
      <c r="H482" s="8"/>
      <c r="I482" s="8"/>
      <c r="J482" s="8"/>
      <c r="K482" s="8"/>
      <c r="L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N482" s="9"/>
      <c r="AO482" s="9"/>
      <c r="AP482" s="9"/>
      <c r="AQ482" s="9"/>
      <c r="AR482" s="9"/>
      <c r="AS482" s="9"/>
      <c r="AT482" s="9"/>
    </row>
    <row r="483" ht="17.25" customHeight="1" spans="1:46">
      <c r="A483" s="8"/>
      <c r="B483" s="8"/>
      <c r="C483" s="8"/>
      <c r="D483" s="8"/>
      <c r="E483" s="8"/>
      <c r="F483" s="8"/>
      <c r="G483" s="9"/>
      <c r="H483" s="8"/>
      <c r="I483" s="8"/>
      <c r="J483" s="8"/>
      <c r="K483" s="8"/>
      <c r="L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N483" s="9"/>
      <c r="AO483" s="9"/>
      <c r="AP483" s="9"/>
      <c r="AQ483" s="9"/>
      <c r="AR483" s="9"/>
      <c r="AS483" s="9"/>
      <c r="AT483" s="9"/>
    </row>
    <row r="484" ht="17.25" customHeight="1" spans="1:46">
      <c r="A484" s="8"/>
      <c r="B484" s="8"/>
      <c r="C484" s="8"/>
      <c r="D484" s="8"/>
      <c r="E484" s="8"/>
      <c r="F484" s="8"/>
      <c r="G484" s="9"/>
      <c r="H484" s="8"/>
      <c r="I484" s="8"/>
      <c r="J484" s="8"/>
      <c r="K484" s="8"/>
      <c r="L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N484" s="9"/>
      <c r="AO484" s="9"/>
      <c r="AP484" s="9"/>
      <c r="AQ484" s="9"/>
      <c r="AR484" s="9"/>
      <c r="AS484" s="9"/>
      <c r="AT484" s="9"/>
    </row>
    <row r="485" ht="17.25" customHeight="1" spans="1:46">
      <c r="A485" s="8"/>
      <c r="B485" s="8"/>
      <c r="C485" s="8"/>
      <c r="D485" s="8"/>
      <c r="E485" s="8"/>
      <c r="F485" s="8"/>
      <c r="G485" s="9"/>
      <c r="H485" s="8"/>
      <c r="I485" s="8"/>
      <c r="J485" s="8"/>
      <c r="K485" s="8"/>
      <c r="L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N485" s="9"/>
      <c r="AO485" s="9"/>
      <c r="AP485" s="9"/>
      <c r="AQ485" s="9"/>
      <c r="AR485" s="9"/>
      <c r="AS485" s="9"/>
      <c r="AT485" s="9"/>
    </row>
    <row r="486" ht="17.25" customHeight="1" spans="1:46">
      <c r="A486" s="8"/>
      <c r="B486" s="8"/>
      <c r="C486" s="8"/>
      <c r="D486" s="8"/>
      <c r="E486" s="8"/>
      <c r="F486" s="8"/>
      <c r="G486" s="9"/>
      <c r="H486" s="8"/>
      <c r="I486" s="8"/>
      <c r="J486" s="8"/>
      <c r="K486" s="8"/>
      <c r="L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N486" s="9"/>
      <c r="AO486" s="9"/>
      <c r="AP486" s="9"/>
      <c r="AQ486" s="9"/>
      <c r="AR486" s="9"/>
      <c r="AS486" s="9"/>
      <c r="AT486" s="9"/>
    </row>
    <row r="487" ht="17.25" customHeight="1" spans="1:46">
      <c r="A487" s="8"/>
      <c r="B487" s="8"/>
      <c r="C487" s="8"/>
      <c r="D487" s="8"/>
      <c r="E487" s="8"/>
      <c r="F487" s="8"/>
      <c r="G487" s="9"/>
      <c r="H487" s="8"/>
      <c r="I487" s="8"/>
      <c r="J487" s="8"/>
      <c r="K487" s="8"/>
      <c r="L487" s="8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N487" s="9"/>
      <c r="AO487" s="9"/>
      <c r="AP487" s="9"/>
      <c r="AQ487" s="9"/>
      <c r="AR487" s="9"/>
      <c r="AS487" s="9"/>
      <c r="AT487" s="9"/>
    </row>
    <row r="488" ht="17.25" customHeight="1" spans="1:46">
      <c r="A488" s="8"/>
      <c r="B488" s="8"/>
      <c r="C488" s="8"/>
      <c r="D488" s="8"/>
      <c r="E488" s="8"/>
      <c r="F488" s="8"/>
      <c r="G488" s="9"/>
      <c r="H488" s="8"/>
      <c r="I488" s="8"/>
      <c r="J488" s="8"/>
      <c r="K488" s="8"/>
      <c r="L488" s="8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N488" s="9"/>
      <c r="AO488" s="9"/>
      <c r="AP488" s="9"/>
      <c r="AQ488" s="9"/>
      <c r="AR488" s="9"/>
      <c r="AS488" s="9"/>
      <c r="AT488" s="9"/>
    </row>
    <row r="489" ht="17.25" customHeight="1" spans="1:46">
      <c r="A489" s="8"/>
      <c r="B489" s="8"/>
      <c r="C489" s="8"/>
      <c r="D489" s="8"/>
      <c r="E489" s="8"/>
      <c r="F489" s="8"/>
      <c r="G489" s="9"/>
      <c r="H489" s="8"/>
      <c r="I489" s="8"/>
      <c r="J489" s="8"/>
      <c r="K489" s="8"/>
      <c r="L489" s="8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N489" s="9"/>
      <c r="AO489" s="9"/>
      <c r="AP489" s="9"/>
      <c r="AQ489" s="9"/>
      <c r="AR489" s="9"/>
      <c r="AS489" s="9"/>
      <c r="AT489" s="9"/>
    </row>
    <row r="490" ht="17.25" customHeight="1" spans="1:46">
      <c r="A490" s="8"/>
      <c r="B490" s="8"/>
      <c r="C490" s="8"/>
      <c r="D490" s="8"/>
      <c r="E490" s="8"/>
      <c r="F490" s="8"/>
      <c r="G490" s="9"/>
      <c r="H490" s="8"/>
      <c r="I490" s="8"/>
      <c r="J490" s="8"/>
      <c r="K490" s="8"/>
      <c r="L490" s="8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N490" s="9"/>
      <c r="AO490" s="9"/>
      <c r="AP490" s="9"/>
      <c r="AQ490" s="9"/>
      <c r="AR490" s="9"/>
      <c r="AS490" s="9"/>
      <c r="AT490" s="9"/>
    </row>
    <row r="491" ht="17.25" customHeight="1" spans="1:46">
      <c r="A491" s="8"/>
      <c r="B491" s="8"/>
      <c r="C491" s="8"/>
      <c r="D491" s="8"/>
      <c r="E491" s="8"/>
      <c r="F491" s="8"/>
      <c r="G491" s="9"/>
      <c r="H491" s="8"/>
      <c r="I491" s="8"/>
      <c r="J491" s="8"/>
      <c r="K491" s="8"/>
      <c r="L491" s="8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N491" s="9"/>
      <c r="AO491" s="9"/>
      <c r="AP491" s="9"/>
      <c r="AQ491" s="9"/>
      <c r="AR491" s="9"/>
      <c r="AS491" s="9"/>
      <c r="AT491" s="9"/>
    </row>
    <row r="492" ht="17.25" customHeight="1" spans="1:46">
      <c r="A492" s="8"/>
      <c r="B492" s="8"/>
      <c r="C492" s="8"/>
      <c r="D492" s="8"/>
      <c r="E492" s="8"/>
      <c r="F492" s="8"/>
      <c r="G492" s="9"/>
      <c r="H492" s="8"/>
      <c r="I492" s="8"/>
      <c r="J492" s="8"/>
      <c r="K492" s="8"/>
      <c r="L492" s="8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N492" s="9"/>
      <c r="AO492" s="9"/>
      <c r="AP492" s="9"/>
      <c r="AQ492" s="9"/>
      <c r="AR492" s="9"/>
      <c r="AS492" s="9"/>
      <c r="AT492" s="9"/>
    </row>
    <row r="493" ht="17.25" customHeight="1" spans="1:46">
      <c r="A493" s="8"/>
      <c r="B493" s="8"/>
      <c r="C493" s="8"/>
      <c r="D493" s="8"/>
      <c r="E493" s="8"/>
      <c r="F493" s="8"/>
      <c r="G493" s="9"/>
      <c r="H493" s="8"/>
      <c r="I493" s="8"/>
      <c r="J493" s="8"/>
      <c r="K493" s="8"/>
      <c r="L493" s="8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N493" s="9"/>
      <c r="AO493" s="9"/>
      <c r="AP493" s="9"/>
      <c r="AQ493" s="9"/>
      <c r="AR493" s="9"/>
      <c r="AS493" s="9"/>
      <c r="AT493" s="9"/>
    </row>
    <row r="494" ht="17.25" customHeight="1" spans="1:46">
      <c r="A494" s="8"/>
      <c r="B494" s="8"/>
      <c r="C494" s="8"/>
      <c r="D494" s="8"/>
      <c r="E494" s="8"/>
      <c r="F494" s="8"/>
      <c r="G494" s="9"/>
      <c r="H494" s="8"/>
      <c r="I494" s="8"/>
      <c r="J494" s="8"/>
      <c r="K494" s="8"/>
      <c r="L494" s="8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N494" s="9"/>
      <c r="AO494" s="9"/>
      <c r="AP494" s="9"/>
      <c r="AQ494" s="9"/>
      <c r="AR494" s="9"/>
      <c r="AS494" s="9"/>
      <c r="AT494" s="9"/>
    </row>
    <row r="495" ht="17.25" customHeight="1" spans="1:46">
      <c r="A495" s="8"/>
      <c r="B495" s="8"/>
      <c r="C495" s="8"/>
      <c r="D495" s="8"/>
      <c r="E495" s="8"/>
      <c r="F495" s="8"/>
      <c r="G495" s="9"/>
      <c r="H495" s="8"/>
      <c r="I495" s="8"/>
      <c r="J495" s="8"/>
      <c r="K495" s="8"/>
      <c r="L495" s="8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N495" s="9"/>
      <c r="AO495" s="9"/>
      <c r="AP495" s="9"/>
      <c r="AQ495" s="9"/>
      <c r="AR495" s="9"/>
      <c r="AS495" s="9"/>
      <c r="AT495" s="9"/>
    </row>
    <row r="496" ht="17.25" customHeight="1" spans="1:46">
      <c r="A496" s="8"/>
      <c r="B496" s="8"/>
      <c r="C496" s="8"/>
      <c r="D496" s="8"/>
      <c r="E496" s="8"/>
      <c r="F496" s="8"/>
      <c r="G496" s="9"/>
      <c r="H496" s="8"/>
      <c r="I496" s="8"/>
      <c r="J496" s="8"/>
      <c r="K496" s="8"/>
      <c r="L496" s="8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N496" s="9"/>
      <c r="AO496" s="9"/>
      <c r="AP496" s="9"/>
      <c r="AQ496" s="9"/>
      <c r="AR496" s="9"/>
      <c r="AS496" s="9"/>
      <c r="AT496" s="9"/>
    </row>
    <row r="497" ht="17.25" customHeight="1" spans="1:46">
      <c r="A497" s="8"/>
      <c r="B497" s="8"/>
      <c r="C497" s="8"/>
      <c r="D497" s="8"/>
      <c r="E497" s="8"/>
      <c r="F497" s="8"/>
      <c r="G497" s="9"/>
      <c r="H497" s="8"/>
      <c r="I497" s="8"/>
      <c r="J497" s="8"/>
      <c r="K497" s="8"/>
      <c r="L497" s="8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N497" s="9"/>
      <c r="AO497" s="9"/>
      <c r="AP497" s="9"/>
      <c r="AQ497" s="9"/>
      <c r="AR497" s="9"/>
      <c r="AS497" s="9"/>
      <c r="AT497" s="9"/>
    </row>
    <row r="498" ht="17.25" customHeight="1" spans="1:46">
      <c r="A498" s="8"/>
      <c r="B498" s="8"/>
      <c r="C498" s="8"/>
      <c r="D498" s="8"/>
      <c r="E498" s="8"/>
      <c r="F498" s="8"/>
      <c r="G498" s="9"/>
      <c r="H498" s="8"/>
      <c r="I498" s="8"/>
      <c r="J498" s="8"/>
      <c r="K498" s="8"/>
      <c r="L498" s="8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N498" s="9"/>
      <c r="AO498" s="9"/>
      <c r="AP498" s="9"/>
      <c r="AQ498" s="9"/>
      <c r="AR498" s="9"/>
      <c r="AS498" s="9"/>
      <c r="AT498" s="9"/>
    </row>
    <row r="499" ht="17.25" customHeight="1" spans="1:46">
      <c r="A499" s="8"/>
      <c r="B499" s="8"/>
      <c r="C499" s="8"/>
      <c r="D499" s="8"/>
      <c r="E499" s="8"/>
      <c r="F499" s="8"/>
      <c r="G499" s="9"/>
      <c r="H499" s="8"/>
      <c r="I499" s="8"/>
      <c r="J499" s="8"/>
      <c r="K499" s="8"/>
      <c r="L499" s="8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N499" s="9"/>
      <c r="AO499" s="9"/>
      <c r="AP499" s="9"/>
      <c r="AQ499" s="9"/>
      <c r="AR499" s="9"/>
      <c r="AS499" s="9"/>
      <c r="AT499" s="9"/>
    </row>
    <row r="500" ht="17.25" customHeight="1" spans="1:46">
      <c r="A500" s="8"/>
      <c r="B500" s="8"/>
      <c r="C500" s="8"/>
      <c r="D500" s="8"/>
      <c r="E500" s="8"/>
      <c r="F500" s="8"/>
      <c r="G500" s="9"/>
      <c r="H500" s="8"/>
      <c r="I500" s="8"/>
      <c r="J500" s="8"/>
      <c r="K500" s="8"/>
      <c r="L500" s="8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N500" s="9"/>
      <c r="AO500" s="9"/>
      <c r="AP500" s="9"/>
      <c r="AQ500" s="9"/>
      <c r="AR500" s="9"/>
      <c r="AS500" s="9"/>
      <c r="AT500" s="9"/>
    </row>
    <row r="501" ht="17.25" customHeight="1" spans="1:46">
      <c r="A501" s="8"/>
      <c r="B501" s="8"/>
      <c r="C501" s="8"/>
      <c r="D501" s="8"/>
      <c r="E501" s="8"/>
      <c r="F501" s="8"/>
      <c r="G501" s="9"/>
      <c r="H501" s="8"/>
      <c r="I501" s="8"/>
      <c r="J501" s="8"/>
      <c r="K501" s="8"/>
      <c r="L501" s="8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N501" s="9"/>
      <c r="AO501" s="9"/>
      <c r="AP501" s="9"/>
      <c r="AQ501" s="9"/>
      <c r="AR501" s="9"/>
      <c r="AS501" s="9"/>
      <c r="AT501" s="9"/>
    </row>
    <row r="502" ht="17.25" customHeight="1" spans="1:46">
      <c r="A502" s="8"/>
      <c r="B502" s="8"/>
      <c r="C502" s="8"/>
      <c r="D502" s="8"/>
      <c r="E502" s="8"/>
      <c r="F502" s="8"/>
      <c r="G502" s="9"/>
      <c r="H502" s="8"/>
      <c r="I502" s="8"/>
      <c r="J502" s="8"/>
      <c r="K502" s="8"/>
      <c r="L502" s="8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N502" s="9"/>
      <c r="AO502" s="9"/>
      <c r="AP502" s="9"/>
      <c r="AQ502" s="9"/>
      <c r="AR502" s="9"/>
      <c r="AS502" s="9"/>
      <c r="AT502" s="9"/>
    </row>
    <row r="503" ht="17.25" customHeight="1" spans="1:46">
      <c r="A503" s="8"/>
      <c r="B503" s="8"/>
      <c r="C503" s="8"/>
      <c r="D503" s="8"/>
      <c r="E503" s="8"/>
      <c r="F503" s="8"/>
      <c r="G503" s="9"/>
      <c r="H503" s="8"/>
      <c r="I503" s="8"/>
      <c r="J503" s="8"/>
      <c r="K503" s="8"/>
      <c r="L503" s="8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N503" s="9"/>
      <c r="AO503" s="9"/>
      <c r="AP503" s="9"/>
      <c r="AQ503" s="9"/>
      <c r="AR503" s="9"/>
      <c r="AS503" s="9"/>
      <c r="AT503" s="9"/>
    </row>
    <row r="504" ht="17.25" customHeight="1" spans="1:46">
      <c r="A504" s="8"/>
      <c r="B504" s="8"/>
      <c r="C504" s="8"/>
      <c r="D504" s="8"/>
      <c r="E504" s="8"/>
      <c r="F504" s="8"/>
      <c r="G504" s="9"/>
      <c r="H504" s="8"/>
      <c r="I504" s="8"/>
      <c r="J504" s="8"/>
      <c r="K504" s="8"/>
      <c r="L504" s="8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N504" s="9"/>
      <c r="AO504" s="9"/>
      <c r="AP504" s="9"/>
      <c r="AQ504" s="9"/>
      <c r="AR504" s="9"/>
      <c r="AS504" s="9"/>
      <c r="AT504" s="9"/>
    </row>
    <row r="505" ht="17.25" customHeight="1" spans="1:46">
      <c r="A505" s="8"/>
      <c r="B505" s="8"/>
      <c r="C505" s="8"/>
      <c r="D505" s="8"/>
      <c r="E505" s="8"/>
      <c r="F505" s="8"/>
      <c r="G505" s="9"/>
      <c r="H505" s="8"/>
      <c r="I505" s="8"/>
      <c r="J505" s="8"/>
      <c r="K505" s="8"/>
      <c r="L505" s="8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N505" s="9"/>
      <c r="AO505" s="9"/>
      <c r="AP505" s="9"/>
      <c r="AQ505" s="9"/>
      <c r="AR505" s="9"/>
      <c r="AS505" s="9"/>
      <c r="AT505" s="9"/>
    </row>
    <row r="506" ht="17.25" customHeight="1" spans="1:46">
      <c r="A506" s="8"/>
      <c r="B506" s="8"/>
      <c r="C506" s="8"/>
      <c r="D506" s="8"/>
      <c r="E506" s="8"/>
      <c r="F506" s="8"/>
      <c r="G506" s="9"/>
      <c r="H506" s="8"/>
      <c r="I506" s="8"/>
      <c r="J506" s="8"/>
      <c r="K506" s="8"/>
      <c r="L506" s="8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N506" s="9"/>
      <c r="AO506" s="9"/>
      <c r="AP506" s="9"/>
      <c r="AQ506" s="9"/>
      <c r="AR506" s="9"/>
      <c r="AS506" s="9"/>
      <c r="AT506" s="9"/>
    </row>
    <row r="507" ht="17.25" customHeight="1" spans="1:46">
      <c r="A507" s="8"/>
      <c r="B507" s="8"/>
      <c r="C507" s="8"/>
      <c r="D507" s="8"/>
      <c r="E507" s="8"/>
      <c r="F507" s="8"/>
      <c r="G507" s="9"/>
      <c r="H507" s="8"/>
      <c r="I507" s="8"/>
      <c r="J507" s="8"/>
      <c r="K507" s="8"/>
      <c r="L507" s="8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N507" s="9"/>
      <c r="AO507" s="9"/>
      <c r="AP507" s="9"/>
      <c r="AQ507" s="9"/>
      <c r="AR507" s="9"/>
      <c r="AS507" s="9"/>
      <c r="AT507" s="9"/>
    </row>
    <row r="508" ht="17.25" customHeight="1" spans="1:46">
      <c r="A508" s="8"/>
      <c r="B508" s="8"/>
      <c r="C508" s="8"/>
      <c r="D508" s="8"/>
      <c r="E508" s="8"/>
      <c r="F508" s="8"/>
      <c r="G508" s="9"/>
      <c r="H508" s="8"/>
      <c r="I508" s="8"/>
      <c r="J508" s="8"/>
      <c r="K508" s="8"/>
      <c r="L508" s="8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N508" s="9"/>
      <c r="AO508" s="9"/>
      <c r="AP508" s="9"/>
      <c r="AQ508" s="9"/>
      <c r="AR508" s="9"/>
      <c r="AS508" s="9"/>
      <c r="AT508" s="9"/>
    </row>
    <row r="509" ht="17.25" customHeight="1" spans="1:46">
      <c r="A509" s="8"/>
      <c r="B509" s="8"/>
      <c r="C509" s="8"/>
      <c r="D509" s="8"/>
      <c r="E509" s="8"/>
      <c r="F509" s="8"/>
      <c r="G509" s="9"/>
      <c r="H509" s="8"/>
      <c r="I509" s="8"/>
      <c r="J509" s="8"/>
      <c r="K509" s="8"/>
      <c r="L509" s="8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N509" s="9"/>
      <c r="AO509" s="9"/>
      <c r="AP509" s="9"/>
      <c r="AQ509" s="9"/>
      <c r="AR509" s="9"/>
      <c r="AS509" s="9"/>
      <c r="AT509" s="9"/>
    </row>
    <row r="510" ht="17.25" customHeight="1" spans="1:46">
      <c r="A510" s="8"/>
      <c r="B510" s="8"/>
      <c r="C510" s="8"/>
      <c r="D510" s="8"/>
      <c r="E510" s="8"/>
      <c r="F510" s="8"/>
      <c r="G510" s="9"/>
      <c r="H510" s="8"/>
      <c r="I510" s="8"/>
      <c r="J510" s="8"/>
      <c r="K510" s="8"/>
      <c r="L510" s="8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N510" s="9"/>
      <c r="AO510" s="9"/>
      <c r="AP510" s="9"/>
      <c r="AQ510" s="9"/>
      <c r="AR510" s="9"/>
      <c r="AS510" s="9"/>
      <c r="AT510" s="9"/>
    </row>
    <row r="511" ht="17.25" customHeight="1" spans="1:46">
      <c r="A511" s="8"/>
      <c r="B511" s="8"/>
      <c r="C511" s="8"/>
      <c r="D511" s="8"/>
      <c r="E511" s="8"/>
      <c r="F511" s="8"/>
      <c r="G511" s="9"/>
      <c r="H511" s="8"/>
      <c r="I511" s="8"/>
      <c r="J511" s="8"/>
      <c r="K511" s="8"/>
      <c r="L511" s="8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N511" s="9"/>
      <c r="AO511" s="9"/>
      <c r="AP511" s="9"/>
      <c r="AQ511" s="9"/>
      <c r="AR511" s="9"/>
      <c r="AS511" s="9"/>
      <c r="AT511" s="9"/>
    </row>
    <row r="512" ht="17.25" customHeight="1" spans="1:46">
      <c r="A512" s="8"/>
      <c r="B512" s="8"/>
      <c r="C512" s="8"/>
      <c r="D512" s="8"/>
      <c r="E512" s="8"/>
      <c r="F512" s="8"/>
      <c r="G512" s="9"/>
      <c r="H512" s="8"/>
      <c r="I512" s="8"/>
      <c r="J512" s="8"/>
      <c r="K512" s="8"/>
      <c r="L512" s="8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N512" s="9"/>
      <c r="AO512" s="9"/>
      <c r="AP512" s="9"/>
      <c r="AQ512" s="9"/>
      <c r="AR512" s="9"/>
      <c r="AS512" s="9"/>
      <c r="AT512" s="9"/>
    </row>
    <row r="513" ht="17.25" customHeight="1" spans="1:46">
      <c r="A513" s="8"/>
      <c r="B513" s="8"/>
      <c r="C513" s="8"/>
      <c r="D513" s="8"/>
      <c r="E513" s="8"/>
      <c r="F513" s="8"/>
      <c r="G513" s="9"/>
      <c r="H513" s="8"/>
      <c r="I513" s="8"/>
      <c r="J513" s="8"/>
      <c r="K513" s="8"/>
      <c r="L513" s="8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N513" s="9"/>
      <c r="AO513" s="9"/>
      <c r="AP513" s="9"/>
      <c r="AQ513" s="9"/>
      <c r="AR513" s="9"/>
      <c r="AS513" s="9"/>
      <c r="AT513" s="9"/>
    </row>
    <row r="514" ht="17.25" customHeight="1" spans="1:46">
      <c r="A514" s="8"/>
      <c r="B514" s="8"/>
      <c r="C514" s="8"/>
      <c r="D514" s="8"/>
      <c r="E514" s="8"/>
      <c r="F514" s="8"/>
      <c r="G514" s="9"/>
      <c r="H514" s="8"/>
      <c r="I514" s="8"/>
      <c r="J514" s="8"/>
      <c r="K514" s="8"/>
      <c r="L514" s="8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N514" s="9"/>
      <c r="AO514" s="9"/>
      <c r="AP514" s="9"/>
      <c r="AQ514" s="9"/>
      <c r="AR514" s="9"/>
      <c r="AS514" s="9"/>
      <c r="AT514" s="9"/>
    </row>
    <row r="515" ht="17.25" customHeight="1" spans="1:46">
      <c r="A515" s="8"/>
      <c r="B515" s="8"/>
      <c r="C515" s="8"/>
      <c r="D515" s="8"/>
      <c r="E515" s="8"/>
      <c r="F515" s="8"/>
      <c r="G515" s="9"/>
      <c r="H515" s="8"/>
      <c r="I515" s="8"/>
      <c r="J515" s="8"/>
      <c r="K515" s="8"/>
      <c r="L515" s="8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N515" s="9"/>
      <c r="AO515" s="9"/>
      <c r="AP515" s="9"/>
      <c r="AQ515" s="9"/>
      <c r="AR515" s="9"/>
      <c r="AS515" s="9"/>
      <c r="AT515" s="9"/>
    </row>
    <row r="516" ht="17.25" customHeight="1" spans="1:46">
      <c r="A516" s="8"/>
      <c r="B516" s="8"/>
      <c r="C516" s="8"/>
      <c r="D516" s="8"/>
      <c r="E516" s="8"/>
      <c r="F516" s="8"/>
      <c r="G516" s="9"/>
      <c r="H516" s="8"/>
      <c r="I516" s="8"/>
      <c r="J516" s="8"/>
      <c r="K516" s="8"/>
      <c r="L516" s="8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N516" s="9"/>
      <c r="AO516" s="9"/>
      <c r="AP516" s="9"/>
      <c r="AQ516" s="9"/>
      <c r="AR516" s="9"/>
      <c r="AS516" s="9"/>
      <c r="AT516" s="9"/>
    </row>
    <row r="517" ht="17.25" customHeight="1" spans="1:46">
      <c r="A517" s="8"/>
      <c r="B517" s="8"/>
      <c r="C517" s="8"/>
      <c r="D517" s="8"/>
      <c r="E517" s="8"/>
      <c r="F517" s="8"/>
      <c r="G517" s="9"/>
      <c r="H517" s="8"/>
      <c r="I517" s="8"/>
      <c r="J517" s="8"/>
      <c r="K517" s="8"/>
      <c r="L517" s="8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N517" s="9"/>
      <c r="AO517" s="9"/>
      <c r="AP517" s="9"/>
      <c r="AQ517" s="9"/>
      <c r="AR517" s="9"/>
      <c r="AS517" s="9"/>
      <c r="AT517" s="9"/>
    </row>
    <row r="518" ht="17.25" customHeight="1" spans="1:46">
      <c r="A518" s="8"/>
      <c r="B518" s="8"/>
      <c r="C518" s="8"/>
      <c r="D518" s="8"/>
      <c r="E518" s="8"/>
      <c r="F518" s="8"/>
      <c r="G518" s="9"/>
      <c r="H518" s="8"/>
      <c r="I518" s="8"/>
      <c r="J518" s="8"/>
      <c r="K518" s="8"/>
      <c r="L518" s="8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N518" s="9"/>
      <c r="AO518" s="9"/>
      <c r="AP518" s="9"/>
      <c r="AQ518" s="9"/>
      <c r="AR518" s="9"/>
      <c r="AS518" s="9"/>
      <c r="AT518" s="9"/>
    </row>
    <row r="519" ht="17.25" customHeight="1" spans="1:46">
      <c r="A519" s="8"/>
      <c r="B519" s="8"/>
      <c r="C519" s="8"/>
      <c r="D519" s="8"/>
      <c r="E519" s="8"/>
      <c r="F519" s="8"/>
      <c r="G519" s="9"/>
      <c r="H519" s="8"/>
      <c r="I519" s="8"/>
      <c r="J519" s="8"/>
      <c r="K519" s="8"/>
      <c r="L519" s="8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N519" s="9"/>
      <c r="AO519" s="9"/>
      <c r="AP519" s="9"/>
      <c r="AQ519" s="9"/>
      <c r="AR519" s="9"/>
      <c r="AS519" s="9"/>
      <c r="AT519" s="9"/>
    </row>
    <row r="520" ht="17.25" customHeight="1" spans="1:46">
      <c r="A520" s="8"/>
      <c r="B520" s="8"/>
      <c r="C520" s="8"/>
      <c r="D520" s="8"/>
      <c r="E520" s="8"/>
      <c r="F520" s="8"/>
      <c r="G520" s="9"/>
      <c r="H520" s="8"/>
      <c r="I520" s="8"/>
      <c r="J520" s="8"/>
      <c r="K520" s="8"/>
      <c r="L520" s="8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N520" s="9"/>
      <c r="AO520" s="9"/>
      <c r="AP520" s="9"/>
      <c r="AQ520" s="9"/>
      <c r="AR520" s="9"/>
      <c r="AS520" s="9"/>
      <c r="AT520" s="9"/>
    </row>
    <row r="521" ht="17.25" customHeight="1" spans="1:46">
      <c r="A521" s="8"/>
      <c r="B521" s="8"/>
      <c r="C521" s="8"/>
      <c r="D521" s="8"/>
      <c r="E521" s="8"/>
      <c r="F521" s="8"/>
      <c r="G521" s="9"/>
      <c r="H521" s="8"/>
      <c r="I521" s="8"/>
      <c r="J521" s="8"/>
      <c r="K521" s="8"/>
      <c r="L521" s="8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N521" s="9"/>
      <c r="AO521" s="9"/>
      <c r="AP521" s="9"/>
      <c r="AQ521" s="9"/>
      <c r="AR521" s="9"/>
      <c r="AS521" s="9"/>
      <c r="AT521" s="9"/>
    </row>
    <row r="522" ht="17.25" customHeight="1" spans="1:46">
      <c r="A522" s="8"/>
      <c r="B522" s="8"/>
      <c r="C522" s="8"/>
      <c r="D522" s="8"/>
      <c r="E522" s="8"/>
      <c r="F522" s="8"/>
      <c r="G522" s="9"/>
      <c r="H522" s="8"/>
      <c r="I522" s="8"/>
      <c r="J522" s="8"/>
      <c r="K522" s="8"/>
      <c r="L522" s="8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N522" s="9"/>
      <c r="AO522" s="9"/>
      <c r="AP522" s="9"/>
      <c r="AQ522" s="9"/>
      <c r="AR522" s="9"/>
      <c r="AS522" s="9"/>
      <c r="AT522" s="9"/>
    </row>
    <row r="523" ht="17.25" customHeight="1" spans="1:46">
      <c r="A523" s="8"/>
      <c r="B523" s="8"/>
      <c r="C523" s="8"/>
      <c r="D523" s="8"/>
      <c r="E523" s="8"/>
      <c r="F523" s="8"/>
      <c r="G523" s="9"/>
      <c r="H523" s="8"/>
      <c r="I523" s="8"/>
      <c r="J523" s="8"/>
      <c r="K523" s="8"/>
      <c r="L523" s="8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N523" s="9"/>
      <c r="AO523" s="9"/>
      <c r="AP523" s="9"/>
      <c r="AQ523" s="9"/>
      <c r="AR523" s="9"/>
      <c r="AS523" s="9"/>
      <c r="AT523" s="9"/>
    </row>
    <row r="524" ht="17.25" customHeight="1" spans="1:46">
      <c r="A524" s="8"/>
      <c r="B524" s="8"/>
      <c r="C524" s="8"/>
      <c r="D524" s="8"/>
      <c r="E524" s="8"/>
      <c r="F524" s="8"/>
      <c r="G524" s="9"/>
      <c r="H524" s="8"/>
      <c r="I524" s="8"/>
      <c r="J524" s="8"/>
      <c r="K524" s="8"/>
      <c r="L524" s="8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N524" s="9"/>
      <c r="AO524" s="9"/>
      <c r="AP524" s="9"/>
      <c r="AQ524" s="9"/>
      <c r="AR524" s="9"/>
      <c r="AS524" s="9"/>
      <c r="AT524" s="9"/>
    </row>
    <row r="525" ht="17.25" customHeight="1" spans="1:46">
      <c r="A525" s="8"/>
      <c r="B525" s="8"/>
      <c r="C525" s="8"/>
      <c r="D525" s="8"/>
      <c r="E525" s="8"/>
      <c r="F525" s="8"/>
      <c r="G525" s="9"/>
      <c r="H525" s="8"/>
      <c r="I525" s="8"/>
      <c r="J525" s="8"/>
      <c r="K525" s="8"/>
      <c r="L525" s="8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N525" s="9"/>
      <c r="AO525" s="9"/>
      <c r="AP525" s="9"/>
      <c r="AQ525" s="9"/>
      <c r="AR525" s="9"/>
      <c r="AS525" s="9"/>
      <c r="AT525" s="9"/>
    </row>
    <row r="526" ht="17.25" customHeight="1" spans="1:46">
      <c r="A526" s="8"/>
      <c r="B526" s="8"/>
      <c r="C526" s="8"/>
      <c r="D526" s="8"/>
      <c r="E526" s="8"/>
      <c r="F526" s="8"/>
      <c r="G526" s="9"/>
      <c r="H526" s="8"/>
      <c r="I526" s="8"/>
      <c r="J526" s="8"/>
      <c r="K526" s="8"/>
      <c r="L526" s="8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N526" s="9"/>
      <c r="AO526" s="9"/>
      <c r="AP526" s="9"/>
      <c r="AQ526" s="9"/>
      <c r="AR526" s="9"/>
      <c r="AS526" s="9"/>
      <c r="AT526" s="9"/>
    </row>
    <row r="527" ht="17.25" customHeight="1" spans="1:46">
      <c r="A527" s="8"/>
      <c r="B527" s="8"/>
      <c r="C527" s="8"/>
      <c r="D527" s="8"/>
      <c r="E527" s="8"/>
      <c r="F527" s="8"/>
      <c r="G527" s="9"/>
      <c r="H527" s="8"/>
      <c r="I527" s="8"/>
      <c r="J527" s="8"/>
      <c r="K527" s="8"/>
      <c r="L527" s="8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N527" s="9"/>
      <c r="AO527" s="9"/>
      <c r="AP527" s="9"/>
      <c r="AQ527" s="9"/>
      <c r="AR527" s="9"/>
      <c r="AS527" s="9"/>
      <c r="AT527" s="9"/>
    </row>
    <row r="528" ht="17.25" customHeight="1" spans="1:46">
      <c r="A528" s="8"/>
      <c r="B528" s="8"/>
      <c r="C528" s="8"/>
      <c r="D528" s="8"/>
      <c r="E528" s="8"/>
      <c r="F528" s="8"/>
      <c r="G528" s="9"/>
      <c r="H528" s="8"/>
      <c r="I528" s="8"/>
      <c r="J528" s="8"/>
      <c r="K528" s="8"/>
      <c r="L528" s="8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N528" s="9"/>
      <c r="AO528" s="9"/>
      <c r="AP528" s="9"/>
      <c r="AQ528" s="9"/>
      <c r="AR528" s="9"/>
      <c r="AS528" s="9"/>
      <c r="AT528" s="9"/>
    </row>
    <row r="529" ht="17.25" customHeight="1" spans="1:46">
      <c r="A529" s="8"/>
      <c r="B529" s="8"/>
      <c r="C529" s="8"/>
      <c r="D529" s="8"/>
      <c r="E529" s="8"/>
      <c r="F529" s="8"/>
      <c r="G529" s="9"/>
      <c r="H529" s="8"/>
      <c r="I529" s="8"/>
      <c r="J529" s="8"/>
      <c r="K529" s="8"/>
      <c r="L529" s="8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N529" s="9"/>
      <c r="AO529" s="9"/>
      <c r="AP529" s="9"/>
      <c r="AQ529" s="9"/>
      <c r="AR529" s="9"/>
      <c r="AS529" s="9"/>
      <c r="AT529" s="9"/>
    </row>
    <row r="530" ht="17.25" customHeight="1" spans="1:46">
      <c r="A530" s="8"/>
      <c r="B530" s="8"/>
      <c r="C530" s="8"/>
      <c r="D530" s="8"/>
      <c r="E530" s="8"/>
      <c r="F530" s="8"/>
      <c r="G530" s="9"/>
      <c r="H530" s="8"/>
      <c r="I530" s="8"/>
      <c r="J530" s="8"/>
      <c r="K530" s="8"/>
      <c r="L530" s="8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N530" s="9"/>
      <c r="AO530" s="9"/>
      <c r="AP530" s="9"/>
      <c r="AQ530" s="9"/>
      <c r="AR530" s="9"/>
      <c r="AS530" s="9"/>
      <c r="AT530" s="9"/>
    </row>
    <row r="531" ht="17.25" customHeight="1" spans="1:46">
      <c r="A531" s="8"/>
      <c r="B531" s="8"/>
      <c r="C531" s="8"/>
      <c r="D531" s="8"/>
      <c r="E531" s="8"/>
      <c r="F531" s="8"/>
      <c r="G531" s="9"/>
      <c r="H531" s="8"/>
      <c r="I531" s="8"/>
      <c r="J531" s="8"/>
      <c r="K531" s="8"/>
      <c r="L531" s="8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N531" s="9"/>
      <c r="AO531" s="9"/>
      <c r="AP531" s="9"/>
      <c r="AQ531" s="9"/>
      <c r="AR531" s="9"/>
      <c r="AS531" s="9"/>
      <c r="AT531" s="9"/>
    </row>
    <row r="532" ht="17.25" customHeight="1" spans="1:46">
      <c r="A532" s="8"/>
      <c r="B532" s="8"/>
      <c r="C532" s="8"/>
      <c r="D532" s="8"/>
      <c r="E532" s="8"/>
      <c r="F532" s="8"/>
      <c r="G532" s="9"/>
      <c r="H532" s="8"/>
      <c r="I532" s="8"/>
      <c r="J532" s="8"/>
      <c r="K532" s="8"/>
      <c r="L532" s="8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N532" s="9"/>
      <c r="AO532" s="9"/>
      <c r="AP532" s="9"/>
      <c r="AQ532" s="9"/>
      <c r="AR532" s="9"/>
      <c r="AS532" s="9"/>
      <c r="AT532" s="9"/>
    </row>
    <row r="533" ht="17.25" customHeight="1" spans="1:46">
      <c r="A533" s="8"/>
      <c r="B533" s="8"/>
      <c r="C533" s="8"/>
      <c r="D533" s="8"/>
      <c r="E533" s="8"/>
      <c r="F533" s="8"/>
      <c r="G533" s="9"/>
      <c r="H533" s="8"/>
      <c r="I533" s="8"/>
      <c r="J533" s="8"/>
      <c r="K533" s="8"/>
      <c r="L533" s="8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N533" s="9"/>
      <c r="AO533" s="9"/>
      <c r="AP533" s="9"/>
      <c r="AQ533" s="9"/>
      <c r="AR533" s="9"/>
      <c r="AS533" s="9"/>
      <c r="AT533" s="9"/>
    </row>
    <row r="534" ht="17.25" customHeight="1" spans="1:46">
      <c r="A534" s="8"/>
      <c r="B534" s="8"/>
      <c r="C534" s="8"/>
      <c r="D534" s="8"/>
      <c r="E534" s="8"/>
      <c r="F534" s="8"/>
      <c r="G534" s="9"/>
      <c r="H534" s="8"/>
      <c r="I534" s="8"/>
      <c r="J534" s="8"/>
      <c r="K534" s="8"/>
      <c r="L534" s="8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N534" s="9"/>
      <c r="AO534" s="9"/>
      <c r="AP534" s="9"/>
      <c r="AQ534" s="9"/>
      <c r="AR534" s="9"/>
      <c r="AS534" s="9"/>
      <c r="AT534" s="9"/>
    </row>
    <row r="535" ht="17.25" customHeight="1" spans="1:46">
      <c r="A535" s="8"/>
      <c r="B535" s="8"/>
      <c r="C535" s="8"/>
      <c r="D535" s="8"/>
      <c r="E535" s="8"/>
      <c r="F535" s="8"/>
      <c r="G535" s="9"/>
      <c r="H535" s="8"/>
      <c r="I535" s="8"/>
      <c r="J535" s="8"/>
      <c r="K535" s="8"/>
      <c r="L535" s="8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N535" s="9"/>
      <c r="AO535" s="9"/>
      <c r="AP535" s="9"/>
      <c r="AQ535" s="9"/>
      <c r="AR535" s="9"/>
      <c r="AS535" s="9"/>
      <c r="AT535" s="9"/>
    </row>
    <row r="536" ht="17.25" customHeight="1" spans="1:46">
      <c r="A536" s="8"/>
      <c r="B536" s="8"/>
      <c r="C536" s="8"/>
      <c r="D536" s="8"/>
      <c r="E536" s="8"/>
      <c r="F536" s="8"/>
      <c r="G536" s="9"/>
      <c r="H536" s="8"/>
      <c r="I536" s="8"/>
      <c r="J536" s="8"/>
      <c r="K536" s="8"/>
      <c r="L536" s="8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N536" s="9"/>
      <c r="AO536" s="9"/>
      <c r="AP536" s="9"/>
      <c r="AQ536" s="9"/>
      <c r="AR536" s="9"/>
      <c r="AS536" s="9"/>
      <c r="AT536" s="9"/>
    </row>
    <row r="537" ht="17.25" customHeight="1" spans="1:46">
      <c r="A537" s="8"/>
      <c r="B537" s="8"/>
      <c r="C537" s="8"/>
      <c r="D537" s="8"/>
      <c r="E537" s="8"/>
      <c r="F537" s="8"/>
      <c r="G537" s="9"/>
      <c r="H537" s="8"/>
      <c r="I537" s="8"/>
      <c r="J537" s="8"/>
      <c r="K537" s="8"/>
      <c r="L537" s="8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N537" s="9"/>
      <c r="AO537" s="9"/>
      <c r="AP537" s="9"/>
      <c r="AQ537" s="9"/>
      <c r="AR537" s="9"/>
      <c r="AS537" s="9"/>
      <c r="AT537" s="9"/>
    </row>
    <row r="538" ht="17.25" customHeight="1" spans="1:46">
      <c r="A538" s="8"/>
      <c r="B538" s="8"/>
      <c r="C538" s="8"/>
      <c r="D538" s="8"/>
      <c r="E538" s="8"/>
      <c r="F538" s="8"/>
      <c r="G538" s="9"/>
      <c r="H538" s="8"/>
      <c r="I538" s="8"/>
      <c r="J538" s="8"/>
      <c r="K538" s="8"/>
      <c r="L538" s="8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N538" s="9"/>
      <c r="AO538" s="9"/>
      <c r="AP538" s="9"/>
      <c r="AQ538" s="9"/>
      <c r="AR538" s="9"/>
      <c r="AS538" s="9"/>
      <c r="AT538" s="9"/>
    </row>
    <row r="539" ht="17.25" customHeight="1" spans="1:46">
      <c r="A539" s="8"/>
      <c r="B539" s="8"/>
      <c r="C539" s="8"/>
      <c r="D539" s="8"/>
      <c r="E539" s="8"/>
      <c r="F539" s="8"/>
      <c r="G539" s="9"/>
      <c r="H539" s="8"/>
      <c r="I539" s="8"/>
      <c r="J539" s="8"/>
      <c r="K539" s="8"/>
      <c r="L539" s="8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N539" s="9"/>
      <c r="AO539" s="9"/>
      <c r="AP539" s="9"/>
      <c r="AQ539" s="9"/>
      <c r="AR539" s="9"/>
      <c r="AS539" s="9"/>
      <c r="AT539" s="9"/>
    </row>
    <row r="540" ht="17.25" customHeight="1" spans="1:46">
      <c r="A540" s="8"/>
      <c r="B540" s="8"/>
      <c r="C540" s="8"/>
      <c r="D540" s="8"/>
      <c r="E540" s="8"/>
      <c r="F540" s="8"/>
      <c r="G540" s="9"/>
      <c r="H540" s="8"/>
      <c r="I540" s="8"/>
      <c r="J540" s="8"/>
      <c r="K540" s="8"/>
      <c r="L540" s="8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N540" s="9"/>
      <c r="AO540" s="9"/>
      <c r="AP540" s="9"/>
      <c r="AQ540" s="9"/>
      <c r="AR540" s="9"/>
      <c r="AS540" s="9"/>
      <c r="AT540" s="9"/>
    </row>
    <row r="541" ht="17.25" customHeight="1" spans="1:46">
      <c r="A541" s="8"/>
      <c r="B541" s="8"/>
      <c r="C541" s="8"/>
      <c r="D541" s="8"/>
      <c r="E541" s="8"/>
      <c r="F541" s="8"/>
      <c r="G541" s="9"/>
      <c r="H541" s="8"/>
      <c r="I541" s="8"/>
      <c r="J541" s="8"/>
      <c r="K541" s="8"/>
      <c r="L541" s="8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N541" s="9"/>
      <c r="AO541" s="9"/>
      <c r="AP541" s="9"/>
      <c r="AQ541" s="9"/>
      <c r="AR541" s="9"/>
      <c r="AS541" s="9"/>
      <c r="AT541" s="9"/>
    </row>
    <row r="542" ht="17.25" customHeight="1" spans="1:46">
      <c r="A542" s="8"/>
      <c r="B542" s="8"/>
      <c r="C542" s="8"/>
      <c r="D542" s="8"/>
      <c r="E542" s="8"/>
      <c r="F542" s="8"/>
      <c r="G542" s="9"/>
      <c r="H542" s="8"/>
      <c r="I542" s="8"/>
      <c r="J542" s="8"/>
      <c r="K542" s="8"/>
      <c r="L542" s="8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N542" s="9"/>
      <c r="AO542" s="9"/>
      <c r="AP542" s="9"/>
      <c r="AQ542" s="9"/>
      <c r="AR542" s="9"/>
      <c r="AS542" s="9"/>
      <c r="AT542" s="9"/>
    </row>
    <row r="543" ht="17.25" customHeight="1" spans="1:46">
      <c r="A543" s="8"/>
      <c r="B543" s="8"/>
      <c r="C543" s="8"/>
      <c r="D543" s="8"/>
      <c r="E543" s="8"/>
      <c r="F543" s="8"/>
      <c r="G543" s="9"/>
      <c r="H543" s="8"/>
      <c r="I543" s="8"/>
      <c r="J543" s="8"/>
      <c r="K543" s="8"/>
      <c r="L543" s="8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N543" s="9"/>
      <c r="AO543" s="9"/>
      <c r="AP543" s="9"/>
      <c r="AQ543" s="9"/>
      <c r="AR543" s="9"/>
      <c r="AS543" s="9"/>
      <c r="AT543" s="9"/>
    </row>
    <row r="544" ht="17.25" customHeight="1" spans="1:46">
      <c r="A544" s="8"/>
      <c r="B544" s="8"/>
      <c r="C544" s="8"/>
      <c r="D544" s="8"/>
      <c r="E544" s="8"/>
      <c r="F544" s="8"/>
      <c r="G544" s="9"/>
      <c r="H544" s="8"/>
      <c r="I544" s="8"/>
      <c r="J544" s="8"/>
      <c r="K544" s="8"/>
      <c r="L544" s="8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N544" s="9"/>
      <c r="AO544" s="9"/>
      <c r="AP544" s="9"/>
      <c r="AQ544" s="9"/>
      <c r="AR544" s="9"/>
      <c r="AS544" s="9"/>
      <c r="AT544" s="9"/>
    </row>
    <row r="545" ht="17.25" customHeight="1" spans="1:46">
      <c r="A545" s="8"/>
      <c r="B545" s="8"/>
      <c r="C545" s="8"/>
      <c r="D545" s="8"/>
      <c r="E545" s="8"/>
      <c r="F545" s="8"/>
      <c r="G545" s="9"/>
      <c r="H545" s="8"/>
      <c r="I545" s="8"/>
      <c r="J545" s="8"/>
      <c r="K545" s="8"/>
      <c r="L545" s="8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N545" s="9"/>
      <c r="AO545" s="9"/>
      <c r="AP545" s="9"/>
      <c r="AQ545" s="9"/>
      <c r="AR545" s="9"/>
      <c r="AS545" s="9"/>
      <c r="AT545" s="9"/>
    </row>
    <row r="546" ht="17.25" customHeight="1" spans="1:46">
      <c r="A546" s="8"/>
      <c r="B546" s="8"/>
      <c r="C546" s="8"/>
      <c r="D546" s="8"/>
      <c r="E546" s="8"/>
      <c r="F546" s="8"/>
      <c r="G546" s="9"/>
      <c r="H546" s="8"/>
      <c r="I546" s="8"/>
      <c r="J546" s="8"/>
      <c r="K546" s="8"/>
      <c r="L546" s="8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N546" s="9"/>
      <c r="AO546" s="9"/>
      <c r="AP546" s="9"/>
      <c r="AQ546" s="9"/>
      <c r="AR546" s="9"/>
      <c r="AS546" s="9"/>
      <c r="AT546" s="9"/>
    </row>
    <row r="547" ht="17.25" customHeight="1" spans="1:46">
      <c r="A547" s="8"/>
      <c r="B547" s="8"/>
      <c r="C547" s="8"/>
      <c r="D547" s="8"/>
      <c r="E547" s="8"/>
      <c r="F547" s="8"/>
      <c r="G547" s="9"/>
      <c r="H547" s="8"/>
      <c r="I547" s="8"/>
      <c r="J547" s="8"/>
      <c r="K547" s="8"/>
      <c r="L547" s="8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N547" s="9"/>
      <c r="AO547" s="9"/>
      <c r="AP547" s="9"/>
      <c r="AQ547" s="9"/>
      <c r="AR547" s="9"/>
      <c r="AS547" s="9"/>
      <c r="AT547" s="9"/>
    </row>
    <row r="548" ht="17.25" customHeight="1" spans="1:46">
      <c r="A548" s="8"/>
      <c r="B548" s="8"/>
      <c r="C548" s="8"/>
      <c r="D548" s="8"/>
      <c r="E548" s="8"/>
      <c r="F548" s="8"/>
      <c r="G548" s="9"/>
      <c r="H548" s="8"/>
      <c r="I548" s="8"/>
      <c r="J548" s="8"/>
      <c r="K548" s="8"/>
      <c r="L548" s="8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N548" s="9"/>
      <c r="AO548" s="9"/>
      <c r="AP548" s="9"/>
      <c r="AQ548" s="9"/>
      <c r="AR548" s="9"/>
      <c r="AS548" s="9"/>
      <c r="AT548" s="9"/>
    </row>
    <row r="549" ht="17.25" customHeight="1" spans="1:46">
      <c r="A549" s="8"/>
      <c r="B549" s="8"/>
      <c r="C549" s="8"/>
      <c r="D549" s="8"/>
      <c r="E549" s="8"/>
      <c r="F549" s="8"/>
      <c r="G549" s="9"/>
      <c r="H549" s="8"/>
      <c r="I549" s="8"/>
      <c r="J549" s="8"/>
      <c r="K549" s="8"/>
      <c r="L549" s="8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N549" s="9"/>
      <c r="AO549" s="9"/>
      <c r="AP549" s="9"/>
      <c r="AQ549" s="9"/>
      <c r="AR549" s="9"/>
      <c r="AS549" s="9"/>
      <c r="AT549" s="9"/>
    </row>
    <row r="550" ht="17.25" customHeight="1" spans="1:46">
      <c r="A550" s="8"/>
      <c r="B550" s="8"/>
      <c r="C550" s="8"/>
      <c r="D550" s="8"/>
      <c r="E550" s="8"/>
      <c r="F550" s="8"/>
      <c r="G550" s="9"/>
      <c r="H550" s="8"/>
      <c r="I550" s="8"/>
      <c r="J550" s="8"/>
      <c r="K550" s="8"/>
      <c r="L550" s="8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N550" s="9"/>
      <c r="AO550" s="9"/>
      <c r="AP550" s="9"/>
      <c r="AQ550" s="9"/>
      <c r="AR550" s="9"/>
      <c r="AS550" s="9"/>
      <c r="AT550" s="9"/>
    </row>
    <row r="551" ht="17.25" customHeight="1" spans="1:46">
      <c r="A551" s="8"/>
      <c r="B551" s="8"/>
      <c r="C551" s="8"/>
      <c r="D551" s="8"/>
      <c r="E551" s="8"/>
      <c r="F551" s="8"/>
      <c r="G551" s="9"/>
      <c r="H551" s="8"/>
      <c r="I551" s="8"/>
      <c r="J551" s="8"/>
      <c r="K551" s="8"/>
      <c r="L551" s="8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N551" s="9"/>
      <c r="AO551" s="9"/>
      <c r="AP551" s="9"/>
      <c r="AQ551" s="9"/>
      <c r="AR551" s="9"/>
      <c r="AS551" s="9"/>
      <c r="AT551" s="9"/>
    </row>
    <row r="552" ht="17.25" customHeight="1" spans="1:46">
      <c r="A552" s="8"/>
      <c r="B552" s="8"/>
      <c r="C552" s="8"/>
      <c r="D552" s="8"/>
      <c r="E552" s="8"/>
      <c r="F552" s="8"/>
      <c r="G552" s="9"/>
      <c r="H552" s="8"/>
      <c r="I552" s="8"/>
      <c r="J552" s="8"/>
      <c r="K552" s="8"/>
      <c r="L552" s="8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N552" s="9"/>
      <c r="AO552" s="9"/>
      <c r="AP552" s="9"/>
      <c r="AQ552" s="9"/>
      <c r="AR552" s="9"/>
      <c r="AS552" s="9"/>
      <c r="AT552" s="9"/>
    </row>
    <row r="553" ht="17.25" customHeight="1" spans="1:46">
      <c r="A553" s="8"/>
      <c r="B553" s="8"/>
      <c r="C553" s="8"/>
      <c r="D553" s="8"/>
      <c r="E553" s="8"/>
      <c r="F553" s="8"/>
      <c r="G553" s="9"/>
      <c r="H553" s="8"/>
      <c r="I553" s="8"/>
      <c r="J553" s="8"/>
      <c r="K553" s="8"/>
      <c r="L553" s="8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N553" s="9"/>
      <c r="AO553" s="9"/>
      <c r="AP553" s="9"/>
      <c r="AQ553" s="9"/>
      <c r="AR553" s="9"/>
      <c r="AS553" s="9"/>
      <c r="AT553" s="9"/>
    </row>
    <row r="554" ht="17.25" customHeight="1" spans="1:46">
      <c r="A554" s="8"/>
      <c r="B554" s="8"/>
      <c r="C554" s="8"/>
      <c r="D554" s="8"/>
      <c r="E554" s="8"/>
      <c r="F554" s="8"/>
      <c r="G554" s="9"/>
      <c r="H554" s="8"/>
      <c r="I554" s="8"/>
      <c r="J554" s="8"/>
      <c r="K554" s="8"/>
      <c r="L554" s="8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N554" s="9"/>
      <c r="AO554" s="9"/>
      <c r="AP554" s="9"/>
      <c r="AQ554" s="9"/>
      <c r="AR554" s="9"/>
      <c r="AS554" s="9"/>
      <c r="AT554" s="9"/>
    </row>
    <row r="555" ht="17.25" customHeight="1" spans="1:46">
      <c r="A555" s="8"/>
      <c r="B555" s="8"/>
      <c r="C555" s="8"/>
      <c r="D555" s="8"/>
      <c r="E555" s="8"/>
      <c r="F555" s="8"/>
      <c r="G555" s="9"/>
      <c r="H555" s="8"/>
      <c r="I555" s="8"/>
      <c r="J555" s="8"/>
      <c r="K555" s="8"/>
      <c r="L555" s="8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N555" s="9"/>
      <c r="AO555" s="9"/>
      <c r="AP555" s="9"/>
      <c r="AQ555" s="9"/>
      <c r="AR555" s="9"/>
      <c r="AS555" s="9"/>
      <c r="AT555" s="9"/>
    </row>
    <row r="556" ht="17.25" customHeight="1" spans="1:46">
      <c r="A556" s="8"/>
      <c r="B556" s="8"/>
      <c r="C556" s="8"/>
      <c r="D556" s="8"/>
      <c r="E556" s="8"/>
      <c r="F556" s="8"/>
      <c r="G556" s="9"/>
      <c r="H556" s="8"/>
      <c r="I556" s="8"/>
      <c r="J556" s="8"/>
      <c r="K556" s="8"/>
      <c r="L556" s="8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N556" s="9"/>
      <c r="AO556" s="9"/>
      <c r="AP556" s="9"/>
      <c r="AQ556" s="9"/>
      <c r="AR556" s="9"/>
      <c r="AS556" s="9"/>
      <c r="AT556" s="9"/>
    </row>
    <row r="557" ht="17.25" customHeight="1" spans="1:46">
      <c r="A557" s="8"/>
      <c r="B557" s="8"/>
      <c r="C557" s="8"/>
      <c r="D557" s="8"/>
      <c r="E557" s="8"/>
      <c r="F557" s="8"/>
      <c r="G557" s="9"/>
      <c r="H557" s="8"/>
      <c r="I557" s="8"/>
      <c r="J557" s="8"/>
      <c r="K557" s="8"/>
      <c r="L557" s="8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N557" s="9"/>
      <c r="AO557" s="9"/>
      <c r="AP557" s="9"/>
      <c r="AQ557" s="9"/>
      <c r="AR557" s="9"/>
      <c r="AS557" s="9"/>
      <c r="AT557" s="9"/>
    </row>
    <row r="558" ht="17.25" customHeight="1" spans="1:46">
      <c r="A558" s="8"/>
      <c r="B558" s="8"/>
      <c r="C558" s="8"/>
      <c r="D558" s="8"/>
      <c r="E558" s="8"/>
      <c r="F558" s="8"/>
      <c r="G558" s="9"/>
      <c r="H558" s="8"/>
      <c r="I558" s="8"/>
      <c r="J558" s="8"/>
      <c r="K558" s="8"/>
      <c r="L558" s="8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N558" s="9"/>
      <c r="AO558" s="9"/>
      <c r="AP558" s="9"/>
      <c r="AQ558" s="9"/>
      <c r="AR558" s="9"/>
      <c r="AS558" s="9"/>
      <c r="AT558" s="9"/>
    </row>
    <row r="559" ht="17.25" customHeight="1" spans="1:46">
      <c r="A559" s="8"/>
      <c r="B559" s="8"/>
      <c r="C559" s="8"/>
      <c r="D559" s="8"/>
      <c r="E559" s="8"/>
      <c r="F559" s="8"/>
      <c r="G559" s="9"/>
      <c r="H559" s="8"/>
      <c r="I559" s="8"/>
      <c r="J559" s="8"/>
      <c r="K559" s="8"/>
      <c r="L559" s="8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N559" s="9"/>
      <c r="AO559" s="9"/>
      <c r="AP559" s="9"/>
      <c r="AQ559" s="9"/>
      <c r="AR559" s="9"/>
      <c r="AS559" s="9"/>
      <c r="AT559" s="9"/>
    </row>
    <row r="560" ht="17.25" customHeight="1" spans="1:46">
      <c r="A560" s="8"/>
      <c r="B560" s="8"/>
      <c r="C560" s="8"/>
      <c r="D560" s="8"/>
      <c r="E560" s="8"/>
      <c r="F560" s="8"/>
      <c r="G560" s="9"/>
      <c r="H560" s="8"/>
      <c r="I560" s="8"/>
      <c r="J560" s="8"/>
      <c r="K560" s="8"/>
      <c r="L560" s="8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N560" s="9"/>
      <c r="AO560" s="9"/>
      <c r="AP560" s="9"/>
      <c r="AQ560" s="9"/>
      <c r="AR560" s="9"/>
      <c r="AS560" s="9"/>
      <c r="AT560" s="9"/>
    </row>
    <row r="561" ht="17.25" customHeight="1" spans="1:46">
      <c r="A561" s="8"/>
      <c r="B561" s="8"/>
      <c r="C561" s="8"/>
      <c r="D561" s="8"/>
      <c r="E561" s="8"/>
      <c r="F561" s="8"/>
      <c r="G561" s="9"/>
      <c r="H561" s="8"/>
      <c r="I561" s="8"/>
      <c r="J561" s="8"/>
      <c r="K561" s="8"/>
      <c r="L561" s="8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N561" s="9"/>
      <c r="AO561" s="9"/>
      <c r="AP561" s="9"/>
      <c r="AQ561" s="9"/>
      <c r="AR561" s="9"/>
      <c r="AS561" s="9"/>
      <c r="AT561" s="9"/>
    </row>
    <row r="562" ht="17.25" customHeight="1" spans="1:46">
      <c r="A562" s="8"/>
      <c r="B562" s="8"/>
      <c r="C562" s="8"/>
      <c r="D562" s="8"/>
      <c r="E562" s="8"/>
      <c r="F562" s="8"/>
      <c r="G562" s="9"/>
      <c r="H562" s="8"/>
      <c r="I562" s="8"/>
      <c r="J562" s="8"/>
      <c r="K562" s="8"/>
      <c r="L562" s="8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N562" s="9"/>
      <c r="AO562" s="9"/>
      <c r="AP562" s="9"/>
      <c r="AQ562" s="9"/>
      <c r="AR562" s="9"/>
      <c r="AS562" s="9"/>
      <c r="AT562" s="9"/>
    </row>
    <row r="563" ht="17.25" customHeight="1" spans="1:46">
      <c r="A563" s="8"/>
      <c r="B563" s="8"/>
      <c r="C563" s="8"/>
      <c r="D563" s="8"/>
      <c r="E563" s="8"/>
      <c r="F563" s="8"/>
      <c r="G563" s="9"/>
      <c r="H563" s="8"/>
      <c r="I563" s="8"/>
      <c r="J563" s="8"/>
      <c r="K563" s="8"/>
      <c r="L563" s="8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N563" s="9"/>
      <c r="AO563" s="9"/>
      <c r="AP563" s="9"/>
      <c r="AQ563" s="9"/>
      <c r="AR563" s="9"/>
      <c r="AS563" s="9"/>
      <c r="AT563" s="9"/>
    </row>
    <row r="564" ht="17.25" customHeight="1" spans="1:46">
      <c r="A564" s="8"/>
      <c r="B564" s="8"/>
      <c r="C564" s="8"/>
      <c r="D564" s="8"/>
      <c r="E564" s="8"/>
      <c r="F564" s="8"/>
      <c r="G564" s="9"/>
      <c r="H564" s="8"/>
      <c r="I564" s="8"/>
      <c r="J564" s="8"/>
      <c r="K564" s="8"/>
      <c r="L564" s="8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N564" s="9"/>
      <c r="AO564" s="9"/>
      <c r="AP564" s="9"/>
      <c r="AQ564" s="9"/>
      <c r="AR564" s="9"/>
      <c r="AS564" s="9"/>
      <c r="AT564" s="9"/>
    </row>
    <row r="565" ht="17.25" customHeight="1" spans="1:46">
      <c r="A565" s="8"/>
      <c r="B565" s="8"/>
      <c r="C565" s="8"/>
      <c r="D565" s="8"/>
      <c r="E565" s="8"/>
      <c r="F565" s="8"/>
      <c r="G565" s="9"/>
      <c r="H565" s="8"/>
      <c r="I565" s="8"/>
      <c r="J565" s="8"/>
      <c r="K565" s="8"/>
      <c r="L565" s="8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N565" s="9"/>
      <c r="AO565" s="9"/>
      <c r="AP565" s="9"/>
      <c r="AQ565" s="9"/>
      <c r="AR565" s="9"/>
      <c r="AS565" s="9"/>
      <c r="AT565" s="9"/>
    </row>
    <row r="566" ht="17.25" customHeight="1" spans="1:46">
      <c r="A566" s="8"/>
      <c r="B566" s="8"/>
      <c r="C566" s="8"/>
      <c r="D566" s="8"/>
      <c r="E566" s="8"/>
      <c r="F566" s="8"/>
      <c r="G566" s="9"/>
      <c r="H566" s="8"/>
      <c r="I566" s="8"/>
      <c r="J566" s="8"/>
      <c r="K566" s="8"/>
      <c r="L566" s="8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N566" s="9"/>
      <c r="AO566" s="9"/>
      <c r="AP566" s="9"/>
      <c r="AQ566" s="9"/>
      <c r="AR566" s="9"/>
      <c r="AS566" s="9"/>
      <c r="AT566" s="9"/>
    </row>
    <row r="567" ht="17.25" customHeight="1" spans="1:46">
      <c r="A567" s="8"/>
      <c r="B567" s="8"/>
      <c r="C567" s="8"/>
      <c r="D567" s="8"/>
      <c r="E567" s="8"/>
      <c r="F567" s="8"/>
      <c r="G567" s="9"/>
      <c r="H567" s="8"/>
      <c r="I567" s="8"/>
      <c r="J567" s="8"/>
      <c r="K567" s="8"/>
      <c r="L567" s="8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N567" s="9"/>
      <c r="AO567" s="9"/>
      <c r="AP567" s="9"/>
      <c r="AQ567" s="9"/>
      <c r="AR567" s="9"/>
      <c r="AS567" s="9"/>
      <c r="AT567" s="9"/>
    </row>
    <row r="568" ht="17.25" customHeight="1" spans="1:46">
      <c r="A568" s="8"/>
      <c r="B568" s="8"/>
      <c r="C568" s="8"/>
      <c r="D568" s="8"/>
      <c r="E568" s="8"/>
      <c r="F568" s="8"/>
      <c r="G568" s="9"/>
      <c r="H568" s="8"/>
      <c r="I568" s="8"/>
      <c r="J568" s="8"/>
      <c r="K568" s="8"/>
      <c r="L568" s="8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N568" s="9"/>
      <c r="AO568" s="9"/>
      <c r="AP568" s="9"/>
      <c r="AQ568" s="9"/>
      <c r="AR568" s="9"/>
      <c r="AS568" s="9"/>
      <c r="AT568" s="9"/>
    </row>
    <row r="569" ht="17.25" customHeight="1" spans="1:46">
      <c r="A569" s="8"/>
      <c r="B569" s="8"/>
      <c r="C569" s="8"/>
      <c r="D569" s="8"/>
      <c r="E569" s="8"/>
      <c r="F569" s="8"/>
      <c r="G569" s="9"/>
      <c r="H569" s="8"/>
      <c r="I569" s="8"/>
      <c r="J569" s="8"/>
      <c r="K569" s="8"/>
      <c r="L569" s="8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N569" s="9"/>
      <c r="AO569" s="9"/>
      <c r="AP569" s="9"/>
      <c r="AQ569" s="9"/>
      <c r="AR569" s="9"/>
      <c r="AS569" s="9"/>
      <c r="AT569" s="9"/>
    </row>
    <row r="570" ht="17.25" customHeight="1" spans="1:46">
      <c r="A570" s="8"/>
      <c r="B570" s="8"/>
      <c r="C570" s="8"/>
      <c r="D570" s="8"/>
      <c r="E570" s="8"/>
      <c r="F570" s="8"/>
      <c r="G570" s="9"/>
      <c r="H570" s="8"/>
      <c r="I570" s="8"/>
      <c r="J570" s="8"/>
      <c r="K570" s="8"/>
      <c r="L570" s="8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N570" s="9"/>
      <c r="AO570" s="9"/>
      <c r="AP570" s="9"/>
      <c r="AQ570" s="9"/>
      <c r="AR570" s="9"/>
      <c r="AS570" s="9"/>
      <c r="AT570" s="9"/>
    </row>
    <row r="571" ht="17.25" customHeight="1" spans="1:46">
      <c r="A571" s="8"/>
      <c r="B571" s="8"/>
      <c r="C571" s="8"/>
      <c r="D571" s="8"/>
      <c r="E571" s="8"/>
      <c r="F571" s="8"/>
      <c r="G571" s="9"/>
      <c r="H571" s="8"/>
      <c r="I571" s="8"/>
      <c r="J571" s="8"/>
      <c r="K571" s="8"/>
      <c r="L571" s="8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N571" s="9"/>
      <c r="AO571" s="9"/>
      <c r="AP571" s="9"/>
      <c r="AQ571" s="9"/>
      <c r="AR571" s="9"/>
      <c r="AS571" s="9"/>
      <c r="AT571" s="9"/>
    </row>
    <row r="572" ht="17.25" customHeight="1" spans="1:46">
      <c r="A572" s="8"/>
      <c r="B572" s="8"/>
      <c r="C572" s="8"/>
      <c r="D572" s="8"/>
      <c r="E572" s="8"/>
      <c r="F572" s="8"/>
      <c r="G572" s="9"/>
      <c r="H572" s="8"/>
      <c r="I572" s="8"/>
      <c r="J572" s="8"/>
      <c r="K572" s="8"/>
      <c r="L572" s="8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N572" s="9"/>
      <c r="AO572" s="9"/>
      <c r="AP572" s="9"/>
      <c r="AQ572" s="9"/>
      <c r="AR572" s="9"/>
      <c r="AS572" s="9"/>
      <c r="AT572" s="9"/>
    </row>
    <row r="573" ht="17.25" customHeight="1" spans="1:46">
      <c r="A573" s="8"/>
      <c r="B573" s="8"/>
      <c r="C573" s="8"/>
      <c r="D573" s="8"/>
      <c r="E573" s="8"/>
      <c r="F573" s="8"/>
      <c r="G573" s="9"/>
      <c r="H573" s="8"/>
      <c r="I573" s="8"/>
      <c r="J573" s="8"/>
      <c r="K573" s="8"/>
      <c r="L573" s="8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N573" s="9"/>
      <c r="AO573" s="9"/>
      <c r="AP573" s="9"/>
      <c r="AQ573" s="9"/>
      <c r="AR573" s="9"/>
      <c r="AS573" s="9"/>
      <c r="AT573" s="9"/>
    </row>
    <row r="574" ht="17.25" customHeight="1" spans="1:46">
      <c r="A574" s="8"/>
      <c r="B574" s="8"/>
      <c r="C574" s="8"/>
      <c r="D574" s="8"/>
      <c r="E574" s="8"/>
      <c r="F574" s="8"/>
      <c r="G574" s="9"/>
      <c r="H574" s="8"/>
      <c r="I574" s="8"/>
      <c r="J574" s="8"/>
      <c r="K574" s="8"/>
      <c r="L574" s="8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N574" s="9"/>
      <c r="AO574" s="9"/>
      <c r="AP574" s="9"/>
      <c r="AQ574" s="9"/>
      <c r="AR574" s="9"/>
      <c r="AS574" s="9"/>
      <c r="AT574" s="9"/>
    </row>
    <row r="575" ht="17.25" customHeight="1" spans="1:46">
      <c r="A575" s="8"/>
      <c r="B575" s="8"/>
      <c r="C575" s="8"/>
      <c r="D575" s="8"/>
      <c r="E575" s="8"/>
      <c r="F575" s="8"/>
      <c r="G575" s="9"/>
      <c r="H575" s="8"/>
      <c r="I575" s="8"/>
      <c r="J575" s="8"/>
      <c r="K575" s="8"/>
      <c r="L575" s="8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N575" s="9"/>
      <c r="AO575" s="9"/>
      <c r="AP575" s="9"/>
      <c r="AQ575" s="9"/>
      <c r="AR575" s="9"/>
      <c r="AS575" s="9"/>
      <c r="AT575" s="9"/>
    </row>
    <row r="576" ht="17.25" customHeight="1" spans="1:46">
      <c r="A576" s="8"/>
      <c r="B576" s="8"/>
      <c r="C576" s="8"/>
      <c r="D576" s="8"/>
      <c r="E576" s="8"/>
      <c r="F576" s="8"/>
      <c r="G576" s="9"/>
      <c r="H576" s="8"/>
      <c r="I576" s="8"/>
      <c r="J576" s="8"/>
      <c r="K576" s="8"/>
      <c r="L576" s="8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N576" s="9"/>
      <c r="AO576" s="9"/>
      <c r="AP576" s="9"/>
      <c r="AQ576" s="9"/>
      <c r="AR576" s="9"/>
      <c r="AS576" s="9"/>
      <c r="AT576" s="9"/>
    </row>
    <row r="577" ht="17.25" customHeight="1" spans="1:46">
      <c r="A577" s="8"/>
      <c r="B577" s="8"/>
      <c r="C577" s="8"/>
      <c r="D577" s="8"/>
      <c r="E577" s="8"/>
      <c r="F577" s="8"/>
      <c r="G577" s="9"/>
      <c r="H577" s="8"/>
      <c r="I577" s="8"/>
      <c r="J577" s="8"/>
      <c r="K577" s="8"/>
      <c r="L577" s="8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N577" s="9"/>
      <c r="AO577" s="9"/>
      <c r="AP577" s="9"/>
      <c r="AQ577" s="9"/>
      <c r="AR577" s="9"/>
      <c r="AS577" s="9"/>
      <c r="AT577" s="9"/>
    </row>
    <row r="578" ht="17.25" customHeight="1" spans="1:46">
      <c r="A578" s="8"/>
      <c r="B578" s="8"/>
      <c r="C578" s="8"/>
      <c r="D578" s="8"/>
      <c r="E578" s="8"/>
      <c r="F578" s="8"/>
      <c r="G578" s="9"/>
      <c r="H578" s="8"/>
      <c r="I578" s="8"/>
      <c r="J578" s="8"/>
      <c r="K578" s="8"/>
      <c r="L578" s="8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N578" s="9"/>
      <c r="AO578" s="9"/>
      <c r="AP578" s="9"/>
      <c r="AQ578" s="9"/>
      <c r="AR578" s="9"/>
      <c r="AS578" s="9"/>
      <c r="AT578" s="9"/>
    </row>
    <row r="579" ht="17.25" customHeight="1" spans="1:46">
      <c r="A579" s="8"/>
      <c r="B579" s="8"/>
      <c r="C579" s="8"/>
      <c r="D579" s="8"/>
      <c r="E579" s="8"/>
      <c r="F579" s="8"/>
      <c r="G579" s="9"/>
      <c r="H579" s="8"/>
      <c r="I579" s="8"/>
      <c r="J579" s="8"/>
      <c r="K579" s="8"/>
      <c r="L579" s="8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N579" s="9"/>
      <c r="AO579" s="9"/>
      <c r="AP579" s="9"/>
      <c r="AQ579" s="9"/>
      <c r="AR579" s="9"/>
      <c r="AS579" s="9"/>
      <c r="AT579" s="9"/>
    </row>
    <row r="580" ht="17.25" customHeight="1" spans="1:46">
      <c r="A580" s="8"/>
      <c r="B580" s="8"/>
      <c r="C580" s="8"/>
      <c r="D580" s="8"/>
      <c r="E580" s="8"/>
      <c r="F580" s="8"/>
      <c r="G580" s="9"/>
      <c r="H580" s="8"/>
      <c r="I580" s="8"/>
      <c r="J580" s="8"/>
      <c r="K580" s="8"/>
      <c r="L580" s="8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N580" s="9"/>
      <c r="AO580" s="9"/>
      <c r="AP580" s="9"/>
      <c r="AQ580" s="9"/>
      <c r="AR580" s="9"/>
      <c r="AS580" s="9"/>
      <c r="AT580" s="9"/>
    </row>
    <row r="581" ht="17.25" customHeight="1" spans="1:46">
      <c r="A581" s="8"/>
      <c r="B581" s="8"/>
      <c r="C581" s="8"/>
      <c r="D581" s="8"/>
      <c r="E581" s="8"/>
      <c r="F581" s="8"/>
      <c r="G581" s="9"/>
      <c r="H581" s="8"/>
      <c r="I581" s="8"/>
      <c r="J581" s="8"/>
      <c r="K581" s="8"/>
      <c r="L581" s="8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N581" s="9"/>
      <c r="AO581" s="9"/>
      <c r="AP581" s="9"/>
      <c r="AQ581" s="9"/>
      <c r="AR581" s="9"/>
      <c r="AS581" s="9"/>
      <c r="AT581" s="9"/>
    </row>
    <row r="582" ht="17.25" customHeight="1" spans="1:46">
      <c r="A582" s="8"/>
      <c r="B582" s="8"/>
      <c r="C582" s="8"/>
      <c r="D582" s="8"/>
      <c r="E582" s="8"/>
      <c r="F582" s="8"/>
      <c r="G582" s="9"/>
      <c r="H582" s="8"/>
      <c r="I582" s="8"/>
      <c r="J582" s="8"/>
      <c r="K582" s="8"/>
      <c r="L582" s="8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N582" s="9"/>
      <c r="AO582" s="9"/>
      <c r="AP582" s="9"/>
      <c r="AQ582" s="9"/>
      <c r="AR582" s="9"/>
      <c r="AS582" s="9"/>
      <c r="AT582" s="9"/>
    </row>
    <row r="583" ht="17.25" customHeight="1" spans="1:46">
      <c r="A583" s="8"/>
      <c r="B583" s="8"/>
      <c r="C583" s="8"/>
      <c r="D583" s="8"/>
      <c r="E583" s="8"/>
      <c r="F583" s="8"/>
      <c r="G583" s="9"/>
      <c r="H583" s="8"/>
      <c r="I583" s="8"/>
      <c r="J583" s="8"/>
      <c r="K583" s="8"/>
      <c r="L583" s="8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N583" s="9"/>
      <c r="AO583" s="9"/>
      <c r="AP583" s="9"/>
      <c r="AQ583" s="9"/>
      <c r="AR583" s="9"/>
      <c r="AS583" s="9"/>
      <c r="AT583" s="9"/>
    </row>
    <row r="584" ht="17.25" customHeight="1" spans="1:46">
      <c r="A584" s="8"/>
      <c r="B584" s="8"/>
      <c r="C584" s="8"/>
      <c r="D584" s="8"/>
      <c r="E584" s="8"/>
      <c r="F584" s="8"/>
      <c r="G584" s="9"/>
      <c r="H584" s="8"/>
      <c r="I584" s="8"/>
      <c r="J584" s="8"/>
      <c r="K584" s="8"/>
      <c r="L584" s="8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N584" s="9"/>
      <c r="AO584" s="9"/>
      <c r="AP584" s="9"/>
      <c r="AQ584" s="9"/>
      <c r="AR584" s="9"/>
      <c r="AS584" s="9"/>
      <c r="AT584" s="9"/>
    </row>
    <row r="585" ht="17.25" customHeight="1" spans="1:46">
      <c r="A585" s="8"/>
      <c r="B585" s="8"/>
      <c r="C585" s="8"/>
      <c r="D585" s="8"/>
      <c r="E585" s="8"/>
      <c r="F585" s="8"/>
      <c r="G585" s="9"/>
      <c r="H585" s="8"/>
      <c r="I585" s="8"/>
      <c r="J585" s="8"/>
      <c r="K585" s="8"/>
      <c r="L585" s="8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N585" s="9"/>
      <c r="AO585" s="9"/>
      <c r="AP585" s="9"/>
      <c r="AQ585" s="9"/>
      <c r="AR585" s="9"/>
      <c r="AS585" s="9"/>
      <c r="AT585" s="9"/>
    </row>
    <row r="586" ht="17.25" customHeight="1" spans="1:46">
      <c r="A586" s="8"/>
      <c r="B586" s="8"/>
      <c r="C586" s="8"/>
      <c r="D586" s="8"/>
      <c r="E586" s="8"/>
      <c r="F586" s="8"/>
      <c r="G586" s="9"/>
      <c r="H586" s="8"/>
      <c r="I586" s="8"/>
      <c r="J586" s="8"/>
      <c r="K586" s="8"/>
      <c r="L586" s="8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N586" s="9"/>
      <c r="AO586" s="9"/>
      <c r="AP586" s="9"/>
      <c r="AQ586" s="9"/>
      <c r="AR586" s="9"/>
      <c r="AS586" s="9"/>
      <c r="AT586" s="9"/>
    </row>
    <row r="587" ht="17.25" customHeight="1" spans="1:46">
      <c r="A587" s="8"/>
      <c r="B587" s="8"/>
      <c r="C587" s="8"/>
      <c r="D587" s="8"/>
      <c r="E587" s="8"/>
      <c r="F587" s="8"/>
      <c r="G587" s="9"/>
      <c r="H587" s="8"/>
      <c r="I587" s="8"/>
      <c r="J587" s="8"/>
      <c r="K587" s="8"/>
      <c r="L587" s="8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N587" s="9"/>
      <c r="AO587" s="9"/>
      <c r="AP587" s="9"/>
      <c r="AQ587" s="9"/>
      <c r="AR587" s="9"/>
      <c r="AS587" s="9"/>
      <c r="AT587" s="9"/>
    </row>
    <row r="588" ht="17.25" customHeight="1" spans="1:46">
      <c r="A588" s="8"/>
      <c r="B588" s="8"/>
      <c r="C588" s="8"/>
      <c r="D588" s="8"/>
      <c r="E588" s="8"/>
      <c r="F588" s="8"/>
      <c r="G588" s="9"/>
      <c r="H588" s="8"/>
      <c r="I588" s="8"/>
      <c r="J588" s="8"/>
      <c r="K588" s="8"/>
      <c r="L588" s="8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N588" s="9"/>
      <c r="AO588" s="9"/>
      <c r="AP588" s="9"/>
      <c r="AQ588" s="9"/>
      <c r="AR588" s="9"/>
      <c r="AS588" s="9"/>
      <c r="AT588" s="9"/>
    </row>
    <row r="589" ht="17.25" customHeight="1" spans="1:46">
      <c r="A589" s="8"/>
      <c r="B589" s="8"/>
      <c r="C589" s="8"/>
      <c r="D589" s="8"/>
      <c r="E589" s="8"/>
      <c r="F589" s="8"/>
      <c r="G589" s="9"/>
      <c r="H589" s="8"/>
      <c r="I589" s="8"/>
      <c r="J589" s="8"/>
      <c r="K589" s="8"/>
      <c r="L589" s="8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N589" s="9"/>
      <c r="AO589" s="9"/>
      <c r="AP589" s="9"/>
      <c r="AQ589" s="9"/>
      <c r="AR589" s="9"/>
      <c r="AS589" s="9"/>
      <c r="AT589" s="9"/>
    </row>
    <row r="590" ht="17.25" customHeight="1" spans="1:46">
      <c r="A590" s="8"/>
      <c r="B590" s="8"/>
      <c r="C590" s="8"/>
      <c r="D590" s="8"/>
      <c r="E590" s="8"/>
      <c r="F590" s="8"/>
      <c r="G590" s="9"/>
      <c r="H590" s="8"/>
      <c r="I590" s="8"/>
      <c r="J590" s="8"/>
      <c r="K590" s="8"/>
      <c r="L590" s="8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N590" s="9"/>
      <c r="AO590" s="9"/>
      <c r="AP590" s="9"/>
      <c r="AQ590" s="9"/>
      <c r="AR590" s="9"/>
      <c r="AS590" s="9"/>
      <c r="AT590" s="9"/>
    </row>
    <row r="591" ht="17.25" customHeight="1" spans="1:46">
      <c r="A591" s="8"/>
      <c r="B591" s="8"/>
      <c r="C591" s="8"/>
      <c r="D591" s="8"/>
      <c r="E591" s="8"/>
      <c r="F591" s="8"/>
      <c r="G591" s="9"/>
      <c r="H591" s="8"/>
      <c r="I591" s="8"/>
      <c r="J591" s="8"/>
      <c r="K591" s="8"/>
      <c r="L591" s="8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N591" s="9"/>
      <c r="AO591" s="9"/>
      <c r="AP591" s="9"/>
      <c r="AQ591" s="9"/>
      <c r="AR591" s="9"/>
      <c r="AS591" s="9"/>
      <c r="AT591" s="9"/>
    </row>
    <row r="592" ht="17.25" customHeight="1" spans="1:46">
      <c r="A592" s="8"/>
      <c r="B592" s="8"/>
      <c r="C592" s="8"/>
      <c r="D592" s="8"/>
      <c r="E592" s="8"/>
      <c r="F592" s="8"/>
      <c r="G592" s="9"/>
      <c r="H592" s="8"/>
      <c r="I592" s="8"/>
      <c r="J592" s="8"/>
      <c r="K592" s="8"/>
      <c r="L592" s="8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N592" s="9"/>
      <c r="AO592" s="9"/>
      <c r="AP592" s="9"/>
      <c r="AQ592" s="9"/>
      <c r="AR592" s="9"/>
      <c r="AS592" s="9"/>
      <c r="AT592" s="9"/>
    </row>
    <row r="593" ht="17.25" customHeight="1" spans="1:46">
      <c r="A593" s="8"/>
      <c r="B593" s="8"/>
      <c r="C593" s="8"/>
      <c r="D593" s="8"/>
      <c r="E593" s="8"/>
      <c r="F593" s="8"/>
      <c r="G593" s="9"/>
      <c r="H593" s="8"/>
      <c r="I593" s="8"/>
      <c r="J593" s="8"/>
      <c r="K593" s="8"/>
      <c r="L593" s="8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N593" s="9"/>
      <c r="AO593" s="9"/>
      <c r="AP593" s="9"/>
      <c r="AQ593" s="9"/>
      <c r="AR593" s="9"/>
      <c r="AS593" s="9"/>
      <c r="AT593" s="9"/>
    </row>
    <row r="594" ht="17.25" customHeight="1" spans="1:46">
      <c r="A594" s="8"/>
      <c r="B594" s="8"/>
      <c r="C594" s="8"/>
      <c r="D594" s="8"/>
      <c r="E594" s="8"/>
      <c r="F594" s="8"/>
      <c r="G594" s="9"/>
      <c r="H594" s="8"/>
      <c r="I594" s="8"/>
      <c r="J594" s="8"/>
      <c r="K594" s="8"/>
      <c r="L594" s="8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N594" s="9"/>
      <c r="AO594" s="9"/>
      <c r="AP594" s="9"/>
      <c r="AQ594" s="9"/>
      <c r="AR594" s="9"/>
      <c r="AS594" s="9"/>
      <c r="AT594" s="9"/>
    </row>
    <row r="595" ht="17.25" customHeight="1" spans="1:46">
      <c r="A595" s="8"/>
      <c r="B595" s="8"/>
      <c r="C595" s="8"/>
      <c r="D595" s="8"/>
      <c r="E595" s="8"/>
      <c r="F595" s="8"/>
      <c r="G595" s="9"/>
      <c r="H595" s="8"/>
      <c r="I595" s="8"/>
      <c r="J595" s="8"/>
      <c r="K595" s="8"/>
      <c r="L595" s="8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N595" s="9"/>
      <c r="AO595" s="9"/>
      <c r="AP595" s="9"/>
      <c r="AQ595" s="9"/>
      <c r="AR595" s="9"/>
      <c r="AS595" s="9"/>
      <c r="AT595" s="9"/>
    </row>
    <row r="596" ht="17.25" customHeight="1" spans="1:46">
      <c r="A596" s="8"/>
      <c r="B596" s="8"/>
      <c r="C596" s="8"/>
      <c r="D596" s="8"/>
      <c r="E596" s="8"/>
      <c r="F596" s="8"/>
      <c r="G596" s="9"/>
      <c r="H596" s="8"/>
      <c r="I596" s="8"/>
      <c r="J596" s="8"/>
      <c r="K596" s="8"/>
      <c r="L596" s="8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N596" s="9"/>
      <c r="AO596" s="9"/>
      <c r="AP596" s="9"/>
      <c r="AQ596" s="9"/>
      <c r="AR596" s="9"/>
      <c r="AS596" s="9"/>
      <c r="AT596" s="9"/>
    </row>
    <row r="597" ht="17.25" customHeight="1" spans="1:46">
      <c r="A597" s="8"/>
      <c r="B597" s="8"/>
      <c r="C597" s="8"/>
      <c r="D597" s="8"/>
      <c r="E597" s="8"/>
      <c r="F597" s="8"/>
      <c r="G597" s="9"/>
      <c r="H597" s="8"/>
      <c r="I597" s="8"/>
      <c r="J597" s="8"/>
      <c r="K597" s="8"/>
      <c r="L597" s="8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N597" s="9"/>
      <c r="AO597" s="9"/>
      <c r="AP597" s="9"/>
      <c r="AQ597" s="9"/>
      <c r="AR597" s="9"/>
      <c r="AS597" s="9"/>
      <c r="AT597" s="9"/>
    </row>
    <row r="598" ht="17.25" customHeight="1" spans="1:46">
      <c r="A598" s="8"/>
      <c r="B598" s="8"/>
      <c r="C598" s="8"/>
      <c r="D598" s="8"/>
      <c r="E598" s="8"/>
      <c r="F598" s="8"/>
      <c r="G598" s="9"/>
      <c r="H598" s="8"/>
      <c r="I598" s="8"/>
      <c r="J598" s="8"/>
      <c r="K598" s="8"/>
      <c r="L598" s="8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N598" s="9"/>
      <c r="AO598" s="9"/>
      <c r="AP598" s="9"/>
      <c r="AQ598" s="9"/>
      <c r="AR598" s="9"/>
      <c r="AS598" s="9"/>
      <c r="AT598" s="9"/>
    </row>
    <row r="599" ht="17.25" customHeight="1" spans="1:46">
      <c r="A599" s="8"/>
      <c r="B599" s="8"/>
      <c r="C599" s="8"/>
      <c r="D599" s="8"/>
      <c r="E599" s="8"/>
      <c r="F599" s="8"/>
      <c r="G599" s="9"/>
      <c r="H599" s="8"/>
      <c r="I599" s="8"/>
      <c r="J599" s="8"/>
      <c r="K599" s="8"/>
      <c r="L599" s="8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N599" s="9"/>
      <c r="AO599" s="9"/>
      <c r="AP599" s="9"/>
      <c r="AQ599" s="9"/>
      <c r="AR599" s="9"/>
      <c r="AS599" s="9"/>
      <c r="AT599" s="9"/>
    </row>
    <row r="600" ht="17.25" customHeight="1" spans="1:46">
      <c r="A600" s="8"/>
      <c r="B600" s="8"/>
      <c r="C600" s="8"/>
      <c r="D600" s="8"/>
      <c r="E600" s="8"/>
      <c r="F600" s="8"/>
      <c r="G600" s="9"/>
      <c r="H600" s="8"/>
      <c r="I600" s="8"/>
      <c r="J600" s="8"/>
      <c r="K600" s="8"/>
      <c r="L600" s="8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N600" s="9"/>
      <c r="AO600" s="9"/>
      <c r="AP600" s="9"/>
      <c r="AQ600" s="9"/>
      <c r="AR600" s="9"/>
      <c r="AS600" s="9"/>
      <c r="AT600" s="9"/>
    </row>
    <row r="601" ht="17.25" customHeight="1" spans="1:46">
      <c r="A601" s="8"/>
      <c r="B601" s="8"/>
      <c r="C601" s="8"/>
      <c r="D601" s="8"/>
      <c r="E601" s="8"/>
      <c r="F601" s="8"/>
      <c r="G601" s="9"/>
      <c r="H601" s="8"/>
      <c r="I601" s="8"/>
      <c r="J601" s="8"/>
      <c r="K601" s="8"/>
      <c r="L601" s="8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N601" s="9"/>
      <c r="AO601" s="9"/>
      <c r="AP601" s="9"/>
      <c r="AQ601" s="9"/>
      <c r="AR601" s="9"/>
      <c r="AS601" s="9"/>
      <c r="AT601" s="9"/>
    </row>
    <row r="602" ht="17.25" customHeight="1" spans="1:46">
      <c r="A602" s="8"/>
      <c r="B602" s="8"/>
      <c r="C602" s="8"/>
      <c r="D602" s="8"/>
      <c r="E602" s="8"/>
      <c r="F602" s="8"/>
      <c r="G602" s="9"/>
      <c r="H602" s="8"/>
      <c r="I602" s="8"/>
      <c r="J602" s="8"/>
      <c r="K602" s="8"/>
      <c r="L602" s="8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N602" s="9"/>
      <c r="AO602" s="9"/>
      <c r="AP602" s="9"/>
      <c r="AQ602" s="9"/>
      <c r="AR602" s="9"/>
      <c r="AS602" s="9"/>
      <c r="AT602" s="9"/>
    </row>
    <row r="603" ht="17.25" customHeight="1" spans="1:46">
      <c r="A603" s="8"/>
      <c r="B603" s="8"/>
      <c r="C603" s="8"/>
      <c r="D603" s="8"/>
      <c r="E603" s="8"/>
      <c r="F603" s="8"/>
      <c r="G603" s="9"/>
      <c r="H603" s="8"/>
      <c r="I603" s="8"/>
      <c r="J603" s="8"/>
      <c r="K603" s="8"/>
      <c r="L603" s="8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N603" s="9"/>
      <c r="AO603" s="9"/>
      <c r="AP603" s="9"/>
      <c r="AQ603" s="9"/>
      <c r="AR603" s="9"/>
      <c r="AS603" s="9"/>
      <c r="AT603" s="9"/>
    </row>
    <row r="604" ht="17.25" customHeight="1" spans="1:46">
      <c r="A604" s="8"/>
      <c r="B604" s="8"/>
      <c r="C604" s="8"/>
      <c r="D604" s="8"/>
      <c r="E604" s="8"/>
      <c r="F604" s="8"/>
      <c r="G604" s="9"/>
      <c r="H604" s="8"/>
      <c r="I604" s="8"/>
      <c r="J604" s="8"/>
      <c r="K604" s="8"/>
      <c r="L604" s="8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N604" s="9"/>
      <c r="AO604" s="9"/>
      <c r="AP604" s="9"/>
      <c r="AQ604" s="9"/>
      <c r="AR604" s="9"/>
      <c r="AS604" s="9"/>
      <c r="AT604" s="9"/>
    </row>
    <row r="605" ht="17.25" customHeight="1" spans="1:46">
      <c r="A605" s="8"/>
      <c r="B605" s="8"/>
      <c r="C605" s="8"/>
      <c r="D605" s="8"/>
      <c r="E605" s="8"/>
      <c r="F605" s="8"/>
      <c r="G605" s="9"/>
      <c r="H605" s="8"/>
      <c r="I605" s="8"/>
      <c r="J605" s="8"/>
      <c r="K605" s="8"/>
      <c r="L605" s="8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N605" s="9"/>
      <c r="AO605" s="9"/>
      <c r="AP605" s="9"/>
      <c r="AQ605" s="9"/>
      <c r="AR605" s="9"/>
      <c r="AS605" s="9"/>
      <c r="AT605" s="9"/>
    </row>
    <row r="606" ht="17.25" customHeight="1" spans="1:46">
      <c r="A606" s="8"/>
      <c r="B606" s="8"/>
      <c r="C606" s="8"/>
      <c r="D606" s="8"/>
      <c r="E606" s="8"/>
      <c r="F606" s="8"/>
      <c r="G606" s="9"/>
      <c r="H606" s="8"/>
      <c r="I606" s="8"/>
      <c r="J606" s="8"/>
      <c r="K606" s="8"/>
      <c r="L606" s="8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N606" s="9"/>
      <c r="AO606" s="9"/>
      <c r="AP606" s="9"/>
      <c r="AQ606" s="9"/>
      <c r="AR606" s="9"/>
      <c r="AS606" s="9"/>
      <c r="AT606" s="9"/>
    </row>
    <row r="607" ht="17.25" customHeight="1" spans="1:46">
      <c r="A607" s="8"/>
      <c r="B607" s="8"/>
      <c r="C607" s="8"/>
      <c r="D607" s="8"/>
      <c r="E607" s="8"/>
      <c r="F607" s="8"/>
      <c r="G607" s="9"/>
      <c r="H607" s="8"/>
      <c r="I607" s="8"/>
      <c r="J607" s="8"/>
      <c r="K607" s="8"/>
      <c r="L607" s="8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N607" s="9"/>
      <c r="AO607" s="9"/>
      <c r="AP607" s="9"/>
      <c r="AQ607" s="9"/>
      <c r="AR607" s="9"/>
      <c r="AS607" s="9"/>
      <c r="AT607" s="9"/>
    </row>
    <row r="608" ht="17.25" customHeight="1" spans="1:46">
      <c r="A608" s="8"/>
      <c r="B608" s="8"/>
      <c r="C608" s="8"/>
      <c r="D608" s="8"/>
      <c r="E608" s="8"/>
      <c r="F608" s="8"/>
      <c r="G608" s="9"/>
      <c r="H608" s="8"/>
      <c r="I608" s="8"/>
      <c r="J608" s="8"/>
      <c r="K608" s="8"/>
      <c r="L608" s="8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N608" s="9"/>
      <c r="AO608" s="9"/>
      <c r="AP608" s="9"/>
      <c r="AQ608" s="9"/>
      <c r="AR608" s="9"/>
      <c r="AS608" s="9"/>
      <c r="AT608" s="9"/>
    </row>
    <row r="609" ht="17.25" customHeight="1" spans="1:46">
      <c r="A609" s="8"/>
      <c r="B609" s="8"/>
      <c r="C609" s="8"/>
      <c r="D609" s="8"/>
      <c r="E609" s="8"/>
      <c r="F609" s="8"/>
      <c r="G609" s="9"/>
      <c r="H609" s="8"/>
      <c r="I609" s="8"/>
      <c r="J609" s="8"/>
      <c r="K609" s="8"/>
      <c r="L609" s="8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N609" s="9"/>
      <c r="AO609" s="9"/>
      <c r="AP609" s="9"/>
      <c r="AQ609" s="9"/>
      <c r="AR609" s="9"/>
      <c r="AS609" s="9"/>
      <c r="AT609" s="9"/>
    </row>
    <row r="610" ht="17.25" customHeight="1" spans="1:46">
      <c r="A610" s="8"/>
      <c r="B610" s="8"/>
      <c r="C610" s="8"/>
      <c r="D610" s="8"/>
      <c r="E610" s="8"/>
      <c r="F610" s="8"/>
      <c r="G610" s="9"/>
      <c r="H610" s="8"/>
      <c r="I610" s="8"/>
      <c r="J610" s="8"/>
      <c r="K610" s="8"/>
      <c r="L610" s="8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N610" s="9"/>
      <c r="AO610" s="9"/>
      <c r="AP610" s="9"/>
      <c r="AQ610" s="9"/>
      <c r="AR610" s="9"/>
      <c r="AS610" s="9"/>
      <c r="AT610" s="9"/>
    </row>
    <row r="611" ht="17.25" customHeight="1" spans="1:46">
      <c r="A611" s="8"/>
      <c r="B611" s="8"/>
      <c r="C611" s="8"/>
      <c r="D611" s="8"/>
      <c r="E611" s="8"/>
      <c r="F611" s="8"/>
      <c r="G611" s="9"/>
      <c r="H611" s="8"/>
      <c r="I611" s="8"/>
      <c r="J611" s="8"/>
      <c r="K611" s="8"/>
      <c r="L611" s="8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N611" s="9"/>
      <c r="AO611" s="9"/>
      <c r="AP611" s="9"/>
      <c r="AQ611" s="9"/>
      <c r="AR611" s="9"/>
      <c r="AS611" s="9"/>
      <c r="AT611" s="9"/>
    </row>
    <row r="612" ht="17.25" customHeight="1" spans="1:46">
      <c r="A612" s="8"/>
      <c r="B612" s="8"/>
      <c r="C612" s="8"/>
      <c r="D612" s="8"/>
      <c r="E612" s="8"/>
      <c r="F612" s="8"/>
      <c r="G612" s="9"/>
      <c r="H612" s="8"/>
      <c r="I612" s="8"/>
      <c r="J612" s="8"/>
      <c r="K612" s="8"/>
      <c r="L612" s="8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N612" s="9"/>
      <c r="AO612" s="9"/>
      <c r="AP612" s="9"/>
      <c r="AQ612" s="9"/>
      <c r="AR612" s="9"/>
      <c r="AS612" s="9"/>
      <c r="AT612" s="9"/>
    </row>
    <row r="613" ht="17.25" customHeight="1" spans="1:46">
      <c r="A613" s="8"/>
      <c r="B613" s="8"/>
      <c r="C613" s="8"/>
      <c r="D613" s="8"/>
      <c r="E613" s="8"/>
      <c r="F613" s="8"/>
      <c r="G613" s="9"/>
      <c r="H613" s="8"/>
      <c r="I613" s="8"/>
      <c r="J613" s="8"/>
      <c r="K613" s="8"/>
      <c r="L613" s="8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N613" s="9"/>
      <c r="AO613" s="9"/>
      <c r="AP613" s="9"/>
      <c r="AQ613" s="9"/>
      <c r="AR613" s="9"/>
      <c r="AS613" s="9"/>
      <c r="AT613" s="9"/>
    </row>
    <row r="614" ht="17.25" customHeight="1" spans="1:46">
      <c r="A614" s="8"/>
      <c r="B614" s="8"/>
      <c r="C614" s="8"/>
      <c r="D614" s="8"/>
      <c r="E614" s="8"/>
      <c r="F614" s="8"/>
      <c r="G614" s="9"/>
      <c r="H614" s="8"/>
      <c r="I614" s="8"/>
      <c r="J614" s="8"/>
      <c r="K614" s="8"/>
      <c r="L614" s="8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N614" s="9"/>
      <c r="AO614" s="9"/>
      <c r="AP614" s="9"/>
      <c r="AQ614" s="9"/>
      <c r="AR614" s="9"/>
      <c r="AS614" s="9"/>
      <c r="AT614" s="9"/>
    </row>
    <row r="615" ht="17.25" customHeight="1" spans="1:46">
      <c r="A615" s="8"/>
      <c r="B615" s="8"/>
      <c r="C615" s="8"/>
      <c r="D615" s="8"/>
      <c r="E615" s="8"/>
      <c r="F615" s="8"/>
      <c r="G615" s="9"/>
      <c r="H615" s="8"/>
      <c r="I615" s="8"/>
      <c r="J615" s="8"/>
      <c r="K615" s="8"/>
      <c r="L615" s="8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N615" s="9"/>
      <c r="AO615" s="9"/>
      <c r="AP615" s="9"/>
      <c r="AQ615" s="9"/>
      <c r="AR615" s="9"/>
      <c r="AS615" s="9"/>
      <c r="AT615" s="9"/>
    </row>
    <row r="616" ht="17.25" customHeight="1" spans="1:46">
      <c r="A616" s="8"/>
      <c r="B616" s="8"/>
      <c r="C616" s="8"/>
      <c r="D616" s="8"/>
      <c r="E616" s="8"/>
      <c r="F616" s="8"/>
      <c r="G616" s="9"/>
      <c r="H616" s="8"/>
      <c r="I616" s="8"/>
      <c r="J616" s="8"/>
      <c r="K616" s="8"/>
      <c r="L616" s="8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N616" s="9"/>
      <c r="AO616" s="9"/>
      <c r="AP616" s="9"/>
      <c r="AQ616" s="9"/>
      <c r="AR616" s="9"/>
      <c r="AS616" s="9"/>
      <c r="AT616" s="9"/>
    </row>
    <row r="617" ht="17.25" customHeight="1" spans="1:46">
      <c r="A617" s="8"/>
      <c r="B617" s="8"/>
      <c r="C617" s="8"/>
      <c r="D617" s="8"/>
      <c r="E617" s="8"/>
      <c r="F617" s="8"/>
      <c r="G617" s="9"/>
      <c r="H617" s="8"/>
      <c r="I617" s="8"/>
      <c r="J617" s="8"/>
      <c r="K617" s="8"/>
      <c r="L617" s="8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N617" s="9"/>
      <c r="AO617" s="9"/>
      <c r="AP617" s="9"/>
      <c r="AQ617" s="9"/>
      <c r="AR617" s="9"/>
      <c r="AS617" s="9"/>
      <c r="AT617" s="9"/>
    </row>
    <row r="618" ht="17.25" customHeight="1" spans="1:46">
      <c r="A618" s="8"/>
      <c r="B618" s="8"/>
      <c r="C618" s="8"/>
      <c r="D618" s="8"/>
      <c r="E618" s="8"/>
      <c r="F618" s="8"/>
      <c r="G618" s="9"/>
      <c r="H618" s="8"/>
      <c r="I618" s="8"/>
      <c r="J618" s="8"/>
      <c r="K618" s="8"/>
      <c r="L618" s="8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N618" s="9"/>
      <c r="AO618" s="9"/>
      <c r="AP618" s="9"/>
      <c r="AQ618" s="9"/>
      <c r="AR618" s="9"/>
      <c r="AS618" s="9"/>
      <c r="AT618" s="9"/>
    </row>
    <row r="619" ht="17.25" customHeight="1" spans="1:46">
      <c r="A619" s="8"/>
      <c r="B619" s="8"/>
      <c r="C619" s="8"/>
      <c r="D619" s="8"/>
      <c r="E619" s="8"/>
      <c r="F619" s="8"/>
      <c r="G619" s="9"/>
      <c r="H619" s="8"/>
      <c r="I619" s="8"/>
      <c r="J619" s="8"/>
      <c r="K619" s="8"/>
      <c r="L619" s="8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N619" s="9"/>
      <c r="AO619" s="9"/>
      <c r="AP619" s="9"/>
      <c r="AQ619" s="9"/>
      <c r="AR619" s="9"/>
      <c r="AS619" s="9"/>
      <c r="AT619" s="9"/>
    </row>
    <row r="620" ht="17.25" customHeight="1" spans="1:46">
      <c r="A620" s="8"/>
      <c r="B620" s="8"/>
      <c r="C620" s="8"/>
      <c r="D620" s="8"/>
      <c r="E620" s="8"/>
      <c r="F620" s="8"/>
      <c r="G620" s="9"/>
      <c r="H620" s="8"/>
      <c r="I620" s="8"/>
      <c r="J620" s="8"/>
      <c r="K620" s="8"/>
      <c r="L620" s="8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N620" s="9"/>
      <c r="AO620" s="9"/>
      <c r="AP620" s="9"/>
      <c r="AQ620" s="9"/>
      <c r="AR620" s="9"/>
      <c r="AS620" s="9"/>
      <c r="AT620" s="9"/>
    </row>
    <row r="621" ht="17.25" customHeight="1" spans="1:46">
      <c r="A621" s="8"/>
      <c r="B621" s="8"/>
      <c r="C621" s="8"/>
      <c r="D621" s="8"/>
      <c r="E621" s="8"/>
      <c r="F621" s="8"/>
      <c r="G621" s="9"/>
      <c r="H621" s="8"/>
      <c r="I621" s="8"/>
      <c r="J621" s="8"/>
      <c r="K621" s="8"/>
      <c r="L621" s="8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N621" s="9"/>
      <c r="AO621" s="9"/>
      <c r="AP621" s="9"/>
      <c r="AQ621" s="9"/>
      <c r="AR621" s="9"/>
      <c r="AS621" s="9"/>
      <c r="AT621" s="9"/>
    </row>
    <row r="622" ht="17.25" customHeight="1" spans="1:46">
      <c r="A622" s="8"/>
      <c r="B622" s="8"/>
      <c r="C622" s="8"/>
      <c r="D622" s="8"/>
      <c r="E622" s="8"/>
      <c r="F622" s="8"/>
      <c r="G622" s="9"/>
      <c r="H622" s="8"/>
      <c r="I622" s="8"/>
      <c r="J622" s="8"/>
      <c r="K622" s="8"/>
      <c r="L622" s="8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N622" s="9"/>
      <c r="AO622" s="9"/>
      <c r="AP622" s="9"/>
      <c r="AQ622" s="9"/>
      <c r="AR622" s="9"/>
      <c r="AS622" s="9"/>
      <c r="AT622" s="9"/>
    </row>
    <row r="623" ht="17.25" customHeight="1" spans="1:46">
      <c r="A623" s="8"/>
      <c r="B623" s="8"/>
      <c r="C623" s="8"/>
      <c r="D623" s="8"/>
      <c r="E623" s="8"/>
      <c r="F623" s="8"/>
      <c r="G623" s="9"/>
      <c r="H623" s="8"/>
      <c r="I623" s="8"/>
      <c r="J623" s="8"/>
      <c r="K623" s="8"/>
      <c r="L623" s="8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N623" s="9"/>
      <c r="AO623" s="9"/>
      <c r="AP623" s="9"/>
      <c r="AQ623" s="9"/>
      <c r="AR623" s="9"/>
      <c r="AS623" s="9"/>
      <c r="AT623" s="9"/>
    </row>
    <row r="624" ht="17.25" customHeight="1" spans="1:46">
      <c r="A624" s="8"/>
      <c r="B624" s="8"/>
      <c r="C624" s="8"/>
      <c r="D624" s="8"/>
      <c r="E624" s="8"/>
      <c r="F624" s="8"/>
      <c r="G624" s="9"/>
      <c r="H624" s="8"/>
      <c r="I624" s="8"/>
      <c r="J624" s="8"/>
      <c r="K624" s="8"/>
      <c r="L624" s="8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N624" s="9"/>
      <c r="AO624" s="9"/>
      <c r="AP624" s="9"/>
      <c r="AQ624" s="9"/>
      <c r="AR624" s="9"/>
      <c r="AS624" s="9"/>
      <c r="AT624" s="9"/>
    </row>
    <row r="625" ht="17.25" customHeight="1" spans="1:46">
      <c r="A625" s="8"/>
      <c r="B625" s="8"/>
      <c r="C625" s="8"/>
      <c r="D625" s="8"/>
      <c r="E625" s="8"/>
      <c r="F625" s="8"/>
      <c r="G625" s="9"/>
      <c r="H625" s="8"/>
      <c r="I625" s="8"/>
      <c r="J625" s="8"/>
      <c r="K625" s="8"/>
      <c r="L625" s="8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N625" s="9"/>
      <c r="AO625" s="9"/>
      <c r="AP625" s="9"/>
      <c r="AQ625" s="9"/>
      <c r="AR625" s="9"/>
      <c r="AS625" s="9"/>
      <c r="AT625" s="9"/>
    </row>
    <row r="626" ht="17.25" customHeight="1" spans="1:46">
      <c r="A626" s="8"/>
      <c r="B626" s="8"/>
      <c r="C626" s="8"/>
      <c r="D626" s="8"/>
      <c r="E626" s="8"/>
      <c r="F626" s="8"/>
      <c r="G626" s="9"/>
      <c r="H626" s="8"/>
      <c r="I626" s="8"/>
      <c r="J626" s="8"/>
      <c r="K626" s="8"/>
      <c r="L626" s="8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N626" s="9"/>
      <c r="AO626" s="9"/>
      <c r="AP626" s="9"/>
      <c r="AQ626" s="9"/>
      <c r="AR626" s="9"/>
      <c r="AS626" s="9"/>
      <c r="AT626" s="9"/>
    </row>
    <row r="627" ht="17.25" customHeight="1" spans="1:46">
      <c r="A627" s="8"/>
      <c r="B627" s="8"/>
      <c r="C627" s="8"/>
      <c r="D627" s="8"/>
      <c r="E627" s="8"/>
      <c r="F627" s="8"/>
      <c r="G627" s="9"/>
      <c r="H627" s="8"/>
      <c r="I627" s="8"/>
      <c r="J627" s="8"/>
      <c r="K627" s="8"/>
      <c r="L627" s="8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N627" s="9"/>
      <c r="AO627" s="9"/>
      <c r="AP627" s="9"/>
      <c r="AQ627" s="9"/>
      <c r="AR627" s="9"/>
      <c r="AS627" s="9"/>
      <c r="AT627" s="9"/>
    </row>
    <row r="628" ht="17.25" customHeight="1" spans="1:46">
      <c r="A628" s="8"/>
      <c r="B628" s="8"/>
      <c r="C628" s="8"/>
      <c r="D628" s="8"/>
      <c r="E628" s="8"/>
      <c r="F628" s="8"/>
      <c r="G628" s="9"/>
      <c r="H628" s="8"/>
      <c r="I628" s="8"/>
      <c r="J628" s="8"/>
      <c r="K628" s="8"/>
      <c r="L628" s="8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N628" s="9"/>
      <c r="AO628" s="9"/>
      <c r="AP628" s="9"/>
      <c r="AQ628" s="9"/>
      <c r="AR628" s="9"/>
      <c r="AS628" s="9"/>
      <c r="AT628" s="9"/>
    </row>
    <row r="629" ht="17.25" customHeight="1" spans="1:46">
      <c r="A629" s="8"/>
      <c r="B629" s="8"/>
      <c r="C629" s="8"/>
      <c r="D629" s="8"/>
      <c r="E629" s="8"/>
      <c r="F629" s="8"/>
      <c r="G629" s="9"/>
      <c r="H629" s="8"/>
      <c r="I629" s="8"/>
      <c r="J629" s="8"/>
      <c r="K629" s="8"/>
      <c r="L629" s="8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N629" s="9"/>
      <c r="AO629" s="9"/>
      <c r="AP629" s="9"/>
      <c r="AQ629" s="9"/>
      <c r="AR629" s="9"/>
      <c r="AS629" s="9"/>
      <c r="AT629" s="9"/>
    </row>
    <row r="630" ht="17.25" customHeight="1" spans="1:46">
      <c r="A630" s="8"/>
      <c r="B630" s="8"/>
      <c r="C630" s="8"/>
      <c r="D630" s="8"/>
      <c r="E630" s="8"/>
      <c r="F630" s="8"/>
      <c r="G630" s="9"/>
      <c r="H630" s="8"/>
      <c r="I630" s="8"/>
      <c r="J630" s="8"/>
      <c r="K630" s="8"/>
      <c r="L630" s="8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N630" s="9"/>
      <c r="AO630" s="9"/>
      <c r="AP630" s="9"/>
      <c r="AQ630" s="9"/>
      <c r="AR630" s="9"/>
      <c r="AS630" s="9"/>
      <c r="AT630" s="9"/>
    </row>
    <row r="631" ht="17.25" customHeight="1" spans="1:46">
      <c r="A631" s="8"/>
      <c r="B631" s="8"/>
      <c r="C631" s="8"/>
      <c r="D631" s="8"/>
      <c r="E631" s="8"/>
      <c r="F631" s="8"/>
      <c r="G631" s="9"/>
      <c r="H631" s="8"/>
      <c r="I631" s="8"/>
      <c r="J631" s="8"/>
      <c r="K631" s="8"/>
      <c r="L631" s="8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N631" s="9"/>
      <c r="AO631" s="9"/>
      <c r="AP631" s="9"/>
      <c r="AQ631" s="9"/>
      <c r="AR631" s="9"/>
      <c r="AS631" s="9"/>
      <c r="AT631" s="9"/>
    </row>
    <row r="632" ht="17.25" customHeight="1" spans="1:46">
      <c r="A632" s="8"/>
      <c r="B632" s="8"/>
      <c r="C632" s="8"/>
      <c r="D632" s="8"/>
      <c r="E632" s="8"/>
      <c r="F632" s="8"/>
      <c r="G632" s="9"/>
      <c r="H632" s="8"/>
      <c r="I632" s="8"/>
      <c r="J632" s="8"/>
      <c r="K632" s="8"/>
      <c r="L632" s="8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N632" s="9"/>
      <c r="AO632" s="9"/>
      <c r="AP632" s="9"/>
      <c r="AQ632" s="9"/>
      <c r="AR632" s="9"/>
      <c r="AS632" s="9"/>
      <c r="AT632" s="9"/>
    </row>
    <row r="633" ht="17.25" customHeight="1" spans="1:46">
      <c r="A633" s="8"/>
      <c r="B633" s="8"/>
      <c r="C633" s="8"/>
      <c r="D633" s="8"/>
      <c r="E633" s="8"/>
      <c r="F633" s="8"/>
      <c r="G633" s="9"/>
      <c r="H633" s="8"/>
      <c r="I633" s="8"/>
      <c r="J633" s="8"/>
      <c r="K633" s="8"/>
      <c r="L633" s="8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N633" s="9"/>
      <c r="AO633" s="9"/>
      <c r="AP633" s="9"/>
      <c r="AQ633" s="9"/>
      <c r="AR633" s="9"/>
      <c r="AS633" s="9"/>
      <c r="AT633" s="9"/>
    </row>
    <row r="634" ht="17.25" customHeight="1" spans="1:46">
      <c r="A634" s="8"/>
      <c r="B634" s="8"/>
      <c r="C634" s="8"/>
      <c r="D634" s="8"/>
      <c r="E634" s="8"/>
      <c r="F634" s="8"/>
      <c r="G634" s="9"/>
      <c r="H634" s="8"/>
      <c r="I634" s="8"/>
      <c r="J634" s="8"/>
      <c r="K634" s="8"/>
      <c r="L634" s="8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N634" s="9"/>
      <c r="AO634" s="9"/>
      <c r="AP634" s="9"/>
      <c r="AQ634" s="9"/>
      <c r="AR634" s="9"/>
      <c r="AS634" s="9"/>
      <c r="AT634" s="9"/>
    </row>
    <row r="635" ht="17.25" customHeight="1" spans="1:46">
      <c r="A635" s="8"/>
      <c r="B635" s="8"/>
      <c r="C635" s="8"/>
      <c r="D635" s="8"/>
      <c r="E635" s="8"/>
      <c r="F635" s="8"/>
      <c r="G635" s="9"/>
      <c r="H635" s="8"/>
      <c r="I635" s="8"/>
      <c r="J635" s="8"/>
      <c r="K635" s="8"/>
      <c r="L635" s="8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N635" s="9"/>
      <c r="AO635" s="9"/>
      <c r="AP635" s="9"/>
      <c r="AQ635" s="9"/>
      <c r="AR635" s="9"/>
      <c r="AS635" s="9"/>
      <c r="AT635" s="9"/>
    </row>
    <row r="636" ht="17.25" customHeight="1" spans="1:46">
      <c r="A636" s="8"/>
      <c r="B636" s="8"/>
      <c r="C636" s="8"/>
      <c r="D636" s="8"/>
      <c r="E636" s="8"/>
      <c r="F636" s="8"/>
      <c r="G636" s="9"/>
      <c r="H636" s="8"/>
      <c r="I636" s="8"/>
      <c r="J636" s="8"/>
      <c r="K636" s="8"/>
      <c r="L636" s="8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N636" s="9"/>
      <c r="AO636" s="9"/>
      <c r="AP636" s="9"/>
      <c r="AQ636" s="9"/>
      <c r="AR636" s="9"/>
      <c r="AS636" s="9"/>
      <c r="AT636" s="9"/>
    </row>
    <row r="637" ht="17.25" customHeight="1" spans="1:46">
      <c r="A637" s="8"/>
      <c r="B637" s="8"/>
      <c r="C637" s="8"/>
      <c r="D637" s="8"/>
      <c r="E637" s="8"/>
      <c r="F637" s="8"/>
      <c r="G637" s="9"/>
      <c r="H637" s="8"/>
      <c r="I637" s="8"/>
      <c r="J637" s="8"/>
      <c r="K637" s="8"/>
      <c r="L637" s="8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N637" s="9"/>
      <c r="AO637" s="9"/>
      <c r="AP637" s="9"/>
      <c r="AQ637" s="9"/>
      <c r="AR637" s="9"/>
      <c r="AS637" s="9"/>
      <c r="AT637" s="9"/>
    </row>
    <row r="638" ht="17.25" customHeight="1" spans="1:46">
      <c r="A638" s="8"/>
      <c r="B638" s="8"/>
      <c r="C638" s="8"/>
      <c r="D638" s="8"/>
      <c r="E638" s="8"/>
      <c r="F638" s="8"/>
      <c r="G638" s="9"/>
      <c r="H638" s="8"/>
      <c r="I638" s="8"/>
      <c r="J638" s="8"/>
      <c r="K638" s="8"/>
      <c r="L638" s="8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N638" s="9"/>
      <c r="AO638" s="9"/>
      <c r="AP638" s="9"/>
      <c r="AQ638" s="9"/>
      <c r="AR638" s="9"/>
      <c r="AS638" s="9"/>
      <c r="AT638" s="9"/>
    </row>
    <row r="639" ht="17.25" customHeight="1" spans="1:46">
      <c r="A639" s="8"/>
      <c r="B639" s="8"/>
      <c r="C639" s="8"/>
      <c r="D639" s="8"/>
      <c r="E639" s="8"/>
      <c r="F639" s="8"/>
      <c r="G639" s="9"/>
      <c r="H639" s="8"/>
      <c r="I639" s="8"/>
      <c r="J639" s="8"/>
      <c r="K639" s="8"/>
      <c r="L639" s="8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N639" s="9"/>
      <c r="AO639" s="9"/>
      <c r="AP639" s="9"/>
      <c r="AQ639" s="9"/>
      <c r="AR639" s="9"/>
      <c r="AS639" s="9"/>
      <c r="AT639" s="9"/>
    </row>
    <row r="640" ht="17.25" customHeight="1" spans="1:46">
      <c r="A640" s="8"/>
      <c r="B640" s="8"/>
      <c r="C640" s="8"/>
      <c r="D640" s="8"/>
      <c r="E640" s="8"/>
      <c r="F640" s="8"/>
      <c r="G640" s="9"/>
      <c r="H640" s="8"/>
      <c r="I640" s="8"/>
      <c r="J640" s="8"/>
      <c r="K640" s="8"/>
      <c r="L640" s="8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N640" s="9"/>
      <c r="AO640" s="9"/>
      <c r="AP640" s="9"/>
      <c r="AQ640" s="9"/>
      <c r="AR640" s="9"/>
      <c r="AS640" s="9"/>
      <c r="AT640" s="9"/>
    </row>
    <row r="641" ht="17.25" customHeight="1" spans="1:46">
      <c r="A641" s="8"/>
      <c r="B641" s="8"/>
      <c r="C641" s="8"/>
      <c r="D641" s="8"/>
      <c r="E641" s="8"/>
      <c r="F641" s="8"/>
      <c r="G641" s="9"/>
      <c r="H641" s="8"/>
      <c r="I641" s="8"/>
      <c r="J641" s="8"/>
      <c r="K641" s="8"/>
      <c r="L641" s="8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N641" s="9"/>
      <c r="AO641" s="9"/>
      <c r="AP641" s="9"/>
      <c r="AQ641" s="9"/>
      <c r="AR641" s="9"/>
      <c r="AS641" s="9"/>
      <c r="AT641" s="9"/>
    </row>
    <row r="642" ht="17.25" customHeight="1" spans="1:46">
      <c r="A642" s="8"/>
      <c r="B642" s="8"/>
      <c r="C642" s="8"/>
      <c r="D642" s="8"/>
      <c r="E642" s="8"/>
      <c r="F642" s="8"/>
      <c r="G642" s="9"/>
      <c r="H642" s="8"/>
      <c r="I642" s="8"/>
      <c r="J642" s="8"/>
      <c r="K642" s="8"/>
      <c r="L642" s="8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N642" s="9"/>
      <c r="AO642" s="9"/>
      <c r="AP642" s="9"/>
      <c r="AQ642" s="9"/>
      <c r="AR642" s="9"/>
      <c r="AS642" s="9"/>
      <c r="AT642" s="9"/>
    </row>
    <row r="643" ht="17.25" customHeight="1" spans="1:46">
      <c r="A643" s="8"/>
      <c r="B643" s="8"/>
      <c r="C643" s="8"/>
      <c r="D643" s="8"/>
      <c r="E643" s="8"/>
      <c r="F643" s="8"/>
      <c r="G643" s="9"/>
      <c r="H643" s="8"/>
      <c r="I643" s="8"/>
      <c r="J643" s="8"/>
      <c r="K643" s="8"/>
      <c r="L643" s="8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N643" s="9"/>
      <c r="AO643" s="9"/>
      <c r="AP643" s="9"/>
      <c r="AQ643" s="9"/>
      <c r="AR643" s="9"/>
      <c r="AS643" s="9"/>
      <c r="AT643" s="9"/>
    </row>
    <row r="644" ht="17.25" customHeight="1" spans="1:46">
      <c r="A644" s="8"/>
      <c r="B644" s="8"/>
      <c r="C644" s="8"/>
      <c r="D644" s="8"/>
      <c r="E644" s="8"/>
      <c r="F644" s="8"/>
      <c r="G644" s="9"/>
      <c r="H644" s="8"/>
      <c r="I644" s="8"/>
      <c r="J644" s="8"/>
      <c r="K644" s="8"/>
      <c r="L644" s="8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N644" s="9"/>
      <c r="AO644" s="9"/>
      <c r="AP644" s="9"/>
      <c r="AQ644" s="9"/>
      <c r="AR644" s="9"/>
      <c r="AS644" s="9"/>
      <c r="AT644" s="9"/>
    </row>
    <row r="645" ht="17.25" customHeight="1" spans="1:46">
      <c r="A645" s="8"/>
      <c r="B645" s="8"/>
      <c r="C645" s="8"/>
      <c r="D645" s="8"/>
      <c r="E645" s="8"/>
      <c r="F645" s="8"/>
      <c r="G645" s="9"/>
      <c r="H645" s="8"/>
      <c r="I645" s="8"/>
      <c r="J645" s="8"/>
      <c r="K645" s="8"/>
      <c r="L645" s="8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N645" s="9"/>
      <c r="AO645" s="9"/>
      <c r="AP645" s="9"/>
      <c r="AQ645" s="9"/>
      <c r="AR645" s="9"/>
      <c r="AS645" s="9"/>
      <c r="AT645" s="9"/>
    </row>
    <row r="646" ht="17.25" customHeight="1" spans="1:46">
      <c r="A646" s="8"/>
      <c r="B646" s="8"/>
      <c r="C646" s="8"/>
      <c r="D646" s="8"/>
      <c r="E646" s="8"/>
      <c r="F646" s="8"/>
      <c r="G646" s="9"/>
      <c r="H646" s="8"/>
      <c r="I646" s="8"/>
      <c r="J646" s="8"/>
      <c r="K646" s="8"/>
      <c r="L646" s="8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N646" s="9"/>
      <c r="AO646" s="9"/>
      <c r="AP646" s="9"/>
      <c r="AQ646" s="9"/>
      <c r="AR646" s="9"/>
      <c r="AS646" s="9"/>
      <c r="AT646" s="9"/>
    </row>
    <row r="647" ht="17.25" customHeight="1" spans="1:46">
      <c r="A647" s="8"/>
      <c r="B647" s="8"/>
      <c r="C647" s="8"/>
      <c r="D647" s="8"/>
      <c r="E647" s="8"/>
      <c r="F647" s="8"/>
      <c r="G647" s="9"/>
      <c r="H647" s="8"/>
      <c r="I647" s="8"/>
      <c r="J647" s="8"/>
      <c r="K647" s="8"/>
      <c r="L647" s="8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N647" s="9"/>
      <c r="AO647" s="9"/>
      <c r="AP647" s="9"/>
      <c r="AQ647" s="9"/>
      <c r="AR647" s="9"/>
      <c r="AS647" s="9"/>
      <c r="AT647" s="9"/>
    </row>
    <row r="648" ht="17.25" customHeight="1" spans="1:46">
      <c r="A648" s="8"/>
      <c r="B648" s="8"/>
      <c r="C648" s="8"/>
      <c r="D648" s="8"/>
      <c r="E648" s="8"/>
      <c r="F648" s="8"/>
      <c r="G648" s="9"/>
      <c r="H648" s="8"/>
      <c r="I648" s="8"/>
      <c r="J648" s="8"/>
      <c r="K648" s="8"/>
      <c r="L648" s="8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N648" s="9"/>
      <c r="AO648" s="9"/>
      <c r="AP648" s="9"/>
      <c r="AQ648" s="9"/>
      <c r="AR648" s="9"/>
      <c r="AS648" s="9"/>
      <c r="AT648" s="9"/>
    </row>
    <row r="649" ht="17.25" customHeight="1" spans="1:46">
      <c r="A649" s="8"/>
      <c r="B649" s="8"/>
      <c r="C649" s="8"/>
      <c r="D649" s="8"/>
      <c r="E649" s="8"/>
      <c r="F649" s="8"/>
      <c r="G649" s="9"/>
      <c r="H649" s="8"/>
      <c r="I649" s="8"/>
      <c r="J649" s="8"/>
      <c r="K649" s="8"/>
      <c r="L649" s="8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N649" s="9"/>
      <c r="AO649" s="9"/>
      <c r="AP649" s="9"/>
      <c r="AQ649" s="9"/>
      <c r="AR649" s="9"/>
      <c r="AS649" s="9"/>
      <c r="AT649" s="9"/>
    </row>
    <row r="650" ht="17.25" customHeight="1" spans="1:46">
      <c r="A650" s="8"/>
      <c r="B650" s="8"/>
      <c r="C650" s="8"/>
      <c r="D650" s="8"/>
      <c r="E650" s="8"/>
      <c r="F650" s="8"/>
      <c r="G650" s="9"/>
      <c r="H650" s="8"/>
      <c r="I650" s="8"/>
      <c r="J650" s="8"/>
      <c r="K650" s="8"/>
      <c r="L650" s="8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N650" s="9"/>
      <c r="AO650" s="9"/>
      <c r="AP650" s="9"/>
      <c r="AQ650" s="9"/>
      <c r="AR650" s="9"/>
      <c r="AS650" s="9"/>
      <c r="AT650" s="9"/>
    </row>
    <row r="651" ht="17.25" customHeight="1" spans="1:46">
      <c r="A651" s="8"/>
      <c r="B651" s="8"/>
      <c r="C651" s="8"/>
      <c r="D651" s="8"/>
      <c r="E651" s="8"/>
      <c r="F651" s="8"/>
      <c r="G651" s="9"/>
      <c r="H651" s="8"/>
      <c r="I651" s="8"/>
      <c r="J651" s="8"/>
      <c r="K651" s="8"/>
      <c r="L651" s="8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N651" s="9"/>
      <c r="AO651" s="9"/>
      <c r="AP651" s="9"/>
      <c r="AQ651" s="9"/>
      <c r="AR651" s="9"/>
      <c r="AS651" s="9"/>
      <c r="AT651" s="9"/>
    </row>
    <row r="652" ht="17.25" customHeight="1" spans="1:46">
      <c r="A652" s="8"/>
      <c r="B652" s="8"/>
      <c r="C652" s="8"/>
      <c r="D652" s="8"/>
      <c r="E652" s="8"/>
      <c r="F652" s="8"/>
      <c r="G652" s="9"/>
      <c r="H652" s="8"/>
      <c r="I652" s="8"/>
      <c r="J652" s="8"/>
      <c r="K652" s="8"/>
      <c r="L652" s="8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N652" s="9"/>
      <c r="AO652" s="9"/>
      <c r="AP652" s="9"/>
      <c r="AQ652" s="9"/>
      <c r="AR652" s="9"/>
      <c r="AS652" s="9"/>
      <c r="AT652" s="9"/>
    </row>
    <row r="653" ht="17.25" customHeight="1" spans="1:46">
      <c r="A653" s="8"/>
      <c r="B653" s="8"/>
      <c r="C653" s="8"/>
      <c r="D653" s="8"/>
      <c r="E653" s="8"/>
      <c r="F653" s="8"/>
      <c r="G653" s="9"/>
      <c r="H653" s="8"/>
      <c r="I653" s="8"/>
      <c r="J653" s="8"/>
      <c r="K653" s="8"/>
      <c r="L653" s="8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N653" s="9"/>
      <c r="AO653" s="9"/>
      <c r="AP653" s="9"/>
      <c r="AQ653" s="9"/>
      <c r="AR653" s="9"/>
      <c r="AS653" s="9"/>
      <c r="AT653" s="9"/>
    </row>
    <row r="654" ht="17.25" customHeight="1" spans="1:46">
      <c r="A654" s="8"/>
      <c r="B654" s="8"/>
      <c r="C654" s="8"/>
      <c r="D654" s="8"/>
      <c r="E654" s="8"/>
      <c r="F654" s="8"/>
      <c r="G654" s="9"/>
      <c r="H654" s="8"/>
      <c r="I654" s="8"/>
      <c r="J654" s="8"/>
      <c r="K654" s="8"/>
      <c r="L654" s="8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N654" s="9"/>
      <c r="AO654" s="9"/>
      <c r="AP654" s="9"/>
      <c r="AQ654" s="9"/>
      <c r="AR654" s="9"/>
      <c r="AS654" s="9"/>
      <c r="AT654" s="9"/>
    </row>
    <row r="655" ht="17.25" customHeight="1" spans="1:46">
      <c r="A655" s="8"/>
      <c r="B655" s="8"/>
      <c r="C655" s="8"/>
      <c r="D655" s="8"/>
      <c r="E655" s="8"/>
      <c r="F655" s="8"/>
      <c r="G655" s="9"/>
      <c r="H655" s="8"/>
      <c r="I655" s="8"/>
      <c r="J655" s="8"/>
      <c r="K655" s="8"/>
      <c r="L655" s="8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N655" s="9"/>
      <c r="AO655" s="9"/>
      <c r="AP655" s="9"/>
      <c r="AQ655" s="9"/>
      <c r="AR655" s="9"/>
      <c r="AS655" s="9"/>
      <c r="AT655" s="9"/>
    </row>
    <row r="656" ht="17.25" customHeight="1" spans="1:46">
      <c r="A656" s="8"/>
      <c r="B656" s="8"/>
      <c r="C656" s="8"/>
      <c r="D656" s="8"/>
      <c r="E656" s="8"/>
      <c r="F656" s="8"/>
      <c r="G656" s="9"/>
      <c r="H656" s="8"/>
      <c r="I656" s="8"/>
      <c r="J656" s="8"/>
      <c r="K656" s="8"/>
      <c r="L656" s="8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N656" s="9"/>
      <c r="AO656" s="9"/>
      <c r="AP656" s="9"/>
      <c r="AQ656" s="9"/>
      <c r="AR656" s="9"/>
      <c r="AS656" s="9"/>
      <c r="AT656" s="9"/>
    </row>
    <row r="657" ht="17.25" customHeight="1" spans="1:46">
      <c r="A657" s="8"/>
      <c r="B657" s="8"/>
      <c r="C657" s="8"/>
      <c r="D657" s="8"/>
      <c r="E657" s="8"/>
      <c r="F657" s="8"/>
      <c r="G657" s="9"/>
      <c r="H657" s="8"/>
      <c r="I657" s="8"/>
      <c r="J657" s="8"/>
      <c r="K657" s="8"/>
      <c r="L657" s="8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N657" s="9"/>
      <c r="AO657" s="9"/>
      <c r="AP657" s="9"/>
      <c r="AQ657" s="9"/>
      <c r="AR657" s="9"/>
      <c r="AS657" s="9"/>
      <c r="AT657" s="9"/>
    </row>
    <row r="658" ht="17.25" customHeight="1" spans="1:46">
      <c r="A658" s="8"/>
      <c r="B658" s="8"/>
      <c r="C658" s="8"/>
      <c r="D658" s="8"/>
      <c r="E658" s="8"/>
      <c r="F658" s="8"/>
      <c r="G658" s="9"/>
      <c r="H658" s="8"/>
      <c r="I658" s="8"/>
      <c r="J658" s="8"/>
      <c r="K658" s="8"/>
      <c r="L658" s="8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N658" s="9"/>
      <c r="AO658" s="9"/>
      <c r="AP658" s="9"/>
      <c r="AQ658" s="9"/>
      <c r="AR658" s="9"/>
      <c r="AS658" s="9"/>
      <c r="AT658" s="9"/>
    </row>
    <row r="659" ht="17.25" customHeight="1" spans="1:46">
      <c r="A659" s="8"/>
      <c r="B659" s="8"/>
      <c r="C659" s="8"/>
      <c r="D659" s="8"/>
      <c r="E659" s="8"/>
      <c r="F659" s="8"/>
      <c r="G659" s="9"/>
      <c r="H659" s="8"/>
      <c r="I659" s="8"/>
      <c r="J659" s="8"/>
      <c r="K659" s="8"/>
      <c r="L659" s="8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N659" s="9"/>
      <c r="AO659" s="9"/>
      <c r="AP659" s="9"/>
      <c r="AQ659" s="9"/>
      <c r="AR659" s="9"/>
      <c r="AS659" s="9"/>
      <c r="AT659" s="9"/>
    </row>
    <row r="660" ht="17.25" customHeight="1" spans="1:46">
      <c r="A660" s="8"/>
      <c r="B660" s="8"/>
      <c r="C660" s="8"/>
      <c r="D660" s="8"/>
      <c r="E660" s="8"/>
      <c r="F660" s="8"/>
      <c r="G660" s="9"/>
      <c r="H660" s="8"/>
      <c r="I660" s="8"/>
      <c r="J660" s="8"/>
      <c r="K660" s="8"/>
      <c r="L660" s="8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N660" s="9"/>
      <c r="AO660" s="9"/>
      <c r="AP660" s="9"/>
      <c r="AQ660" s="9"/>
      <c r="AR660" s="9"/>
      <c r="AS660" s="9"/>
      <c r="AT660" s="9"/>
    </row>
    <row r="661" ht="17.25" customHeight="1" spans="1:46">
      <c r="A661" s="8"/>
      <c r="B661" s="8"/>
      <c r="C661" s="8"/>
      <c r="D661" s="8"/>
      <c r="E661" s="8"/>
      <c r="F661" s="8"/>
      <c r="G661" s="9"/>
      <c r="H661" s="8"/>
      <c r="I661" s="8"/>
      <c r="J661" s="8"/>
      <c r="K661" s="8"/>
      <c r="L661" s="8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N661" s="9"/>
      <c r="AO661" s="9"/>
      <c r="AP661" s="9"/>
      <c r="AQ661" s="9"/>
      <c r="AR661" s="9"/>
      <c r="AS661" s="9"/>
      <c r="AT661" s="9"/>
    </row>
    <row r="662" ht="17.25" customHeight="1" spans="1:46">
      <c r="A662" s="8"/>
      <c r="B662" s="8"/>
      <c r="C662" s="8"/>
      <c r="D662" s="8"/>
      <c r="E662" s="8"/>
      <c r="F662" s="8"/>
      <c r="G662" s="9"/>
      <c r="H662" s="8"/>
      <c r="I662" s="8"/>
      <c r="J662" s="8"/>
      <c r="K662" s="8"/>
      <c r="L662" s="8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N662" s="9"/>
      <c r="AO662" s="9"/>
      <c r="AP662" s="9"/>
      <c r="AQ662" s="9"/>
      <c r="AR662" s="9"/>
      <c r="AS662" s="9"/>
      <c r="AT662" s="9"/>
    </row>
    <row r="663" ht="17.25" customHeight="1" spans="1:46">
      <c r="A663" s="8"/>
      <c r="B663" s="8"/>
      <c r="C663" s="8"/>
      <c r="D663" s="8"/>
      <c r="E663" s="8"/>
      <c r="F663" s="8"/>
      <c r="G663" s="9"/>
      <c r="H663" s="8"/>
      <c r="I663" s="8"/>
      <c r="J663" s="8"/>
      <c r="K663" s="8"/>
      <c r="L663" s="8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N663" s="9"/>
      <c r="AO663" s="9"/>
      <c r="AP663" s="9"/>
      <c r="AQ663" s="9"/>
      <c r="AR663" s="9"/>
      <c r="AS663" s="9"/>
      <c r="AT663" s="9"/>
    </row>
    <row r="664" ht="17.25" customHeight="1" spans="1:46">
      <c r="A664" s="8"/>
      <c r="B664" s="8"/>
      <c r="C664" s="8"/>
      <c r="D664" s="8"/>
      <c r="E664" s="8"/>
      <c r="F664" s="8"/>
      <c r="G664" s="9"/>
      <c r="H664" s="8"/>
      <c r="I664" s="8"/>
      <c r="J664" s="8"/>
      <c r="K664" s="8"/>
      <c r="L664" s="8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N664" s="9"/>
      <c r="AO664" s="9"/>
      <c r="AP664" s="9"/>
      <c r="AQ664" s="9"/>
      <c r="AR664" s="9"/>
      <c r="AS664" s="9"/>
      <c r="AT664" s="9"/>
    </row>
    <row r="665" ht="17.25" customHeight="1" spans="1:46">
      <c r="A665" s="8"/>
      <c r="B665" s="8"/>
      <c r="C665" s="8"/>
      <c r="D665" s="8"/>
      <c r="E665" s="8"/>
      <c r="F665" s="8"/>
      <c r="G665" s="9"/>
      <c r="H665" s="8"/>
      <c r="I665" s="8"/>
      <c r="J665" s="8"/>
      <c r="K665" s="8"/>
      <c r="L665" s="8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N665" s="9"/>
      <c r="AO665" s="9"/>
      <c r="AP665" s="9"/>
      <c r="AQ665" s="9"/>
      <c r="AR665" s="9"/>
      <c r="AS665" s="9"/>
      <c r="AT665" s="9"/>
    </row>
    <row r="666" ht="17.25" customHeight="1" spans="1:46">
      <c r="A666" s="8"/>
      <c r="B666" s="8"/>
      <c r="C666" s="8"/>
      <c r="D666" s="8"/>
      <c r="E666" s="8"/>
      <c r="F666" s="8"/>
      <c r="G666" s="9"/>
      <c r="H666" s="8"/>
      <c r="I666" s="8"/>
      <c r="J666" s="8"/>
      <c r="K666" s="8"/>
      <c r="L666" s="8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N666" s="9"/>
      <c r="AO666" s="9"/>
      <c r="AP666" s="9"/>
      <c r="AQ666" s="9"/>
      <c r="AR666" s="9"/>
      <c r="AS666" s="9"/>
      <c r="AT666" s="9"/>
    </row>
    <row r="667" ht="17.25" customHeight="1" spans="1:46">
      <c r="A667" s="8"/>
      <c r="B667" s="8"/>
      <c r="C667" s="8"/>
      <c r="D667" s="8"/>
      <c r="E667" s="8"/>
      <c r="F667" s="8"/>
      <c r="G667" s="9"/>
      <c r="H667" s="8"/>
      <c r="I667" s="8"/>
      <c r="J667" s="8"/>
      <c r="K667" s="8"/>
      <c r="L667" s="8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N667" s="9"/>
      <c r="AO667" s="9"/>
      <c r="AP667" s="9"/>
      <c r="AQ667" s="9"/>
      <c r="AR667" s="9"/>
      <c r="AS667" s="9"/>
      <c r="AT667" s="9"/>
    </row>
    <row r="668" ht="17.25" customHeight="1" spans="1:46">
      <c r="A668" s="8"/>
      <c r="B668" s="8"/>
      <c r="C668" s="8"/>
      <c r="D668" s="8"/>
      <c r="E668" s="8"/>
      <c r="F668" s="8"/>
      <c r="G668" s="9"/>
      <c r="H668" s="8"/>
      <c r="I668" s="8"/>
      <c r="J668" s="8"/>
      <c r="K668" s="8"/>
      <c r="L668" s="8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N668" s="9"/>
      <c r="AO668" s="9"/>
      <c r="AP668" s="9"/>
      <c r="AQ668" s="9"/>
      <c r="AR668" s="9"/>
      <c r="AS668" s="9"/>
      <c r="AT668" s="9"/>
    </row>
    <row r="669" ht="17.25" customHeight="1" spans="1:46">
      <c r="A669" s="8"/>
      <c r="B669" s="8"/>
      <c r="C669" s="8"/>
      <c r="D669" s="8"/>
      <c r="E669" s="8"/>
      <c r="F669" s="8"/>
      <c r="G669" s="9"/>
      <c r="H669" s="8"/>
      <c r="I669" s="8"/>
      <c r="J669" s="8"/>
      <c r="K669" s="8"/>
      <c r="L669" s="8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N669" s="9"/>
      <c r="AO669" s="9"/>
      <c r="AP669" s="9"/>
      <c r="AQ669" s="9"/>
      <c r="AR669" s="9"/>
      <c r="AS669" s="9"/>
      <c r="AT669" s="9"/>
    </row>
    <row r="670" ht="17.25" customHeight="1" spans="1:46">
      <c r="A670" s="8"/>
      <c r="B670" s="8"/>
      <c r="C670" s="8"/>
      <c r="D670" s="8"/>
      <c r="E670" s="8"/>
      <c r="F670" s="8"/>
      <c r="G670" s="9"/>
      <c r="H670" s="8"/>
      <c r="I670" s="8"/>
      <c r="J670" s="8"/>
      <c r="K670" s="8"/>
      <c r="L670" s="8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N670" s="9"/>
      <c r="AO670" s="9"/>
      <c r="AP670" s="9"/>
      <c r="AQ670" s="9"/>
      <c r="AR670" s="9"/>
      <c r="AS670" s="9"/>
      <c r="AT670" s="9"/>
    </row>
    <row r="671" ht="17.25" customHeight="1" spans="1:46">
      <c r="A671" s="8"/>
      <c r="B671" s="8"/>
      <c r="C671" s="8"/>
      <c r="D671" s="8"/>
      <c r="E671" s="8"/>
      <c r="F671" s="8"/>
      <c r="G671" s="9"/>
      <c r="H671" s="8"/>
      <c r="I671" s="8"/>
      <c r="J671" s="8"/>
      <c r="K671" s="8"/>
      <c r="L671" s="8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N671" s="9"/>
      <c r="AO671" s="9"/>
      <c r="AP671" s="9"/>
      <c r="AQ671" s="9"/>
      <c r="AR671" s="9"/>
      <c r="AS671" s="9"/>
      <c r="AT671" s="9"/>
    </row>
    <row r="672" ht="17.25" customHeight="1" spans="1:46">
      <c r="A672" s="8"/>
      <c r="B672" s="8"/>
      <c r="C672" s="8"/>
      <c r="D672" s="8"/>
      <c r="E672" s="8"/>
      <c r="F672" s="8"/>
      <c r="G672" s="9"/>
      <c r="H672" s="8"/>
      <c r="I672" s="8"/>
      <c r="J672" s="8"/>
      <c r="K672" s="8"/>
      <c r="L672" s="8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N672" s="9"/>
      <c r="AO672" s="9"/>
      <c r="AP672" s="9"/>
      <c r="AQ672" s="9"/>
      <c r="AR672" s="9"/>
      <c r="AS672" s="9"/>
      <c r="AT672" s="9"/>
    </row>
    <row r="673" ht="17.25" customHeight="1" spans="1:46">
      <c r="A673" s="8"/>
      <c r="B673" s="8"/>
      <c r="C673" s="8"/>
      <c r="D673" s="8"/>
      <c r="E673" s="8"/>
      <c r="F673" s="8"/>
      <c r="G673" s="9"/>
      <c r="H673" s="8"/>
      <c r="I673" s="8"/>
      <c r="J673" s="8"/>
      <c r="K673" s="8"/>
      <c r="L673" s="8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N673" s="9"/>
      <c r="AO673" s="9"/>
      <c r="AP673" s="9"/>
      <c r="AQ673" s="9"/>
      <c r="AR673" s="9"/>
      <c r="AS673" s="9"/>
      <c r="AT673" s="9"/>
    </row>
    <row r="674" ht="17.25" customHeight="1" spans="1:46">
      <c r="A674" s="8"/>
      <c r="B674" s="8"/>
      <c r="C674" s="8"/>
      <c r="D674" s="8"/>
      <c r="E674" s="8"/>
      <c r="F674" s="8"/>
      <c r="G674" s="9"/>
      <c r="H674" s="8"/>
      <c r="I674" s="8"/>
      <c r="J674" s="8"/>
      <c r="K674" s="8"/>
      <c r="L674" s="8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N674" s="9"/>
      <c r="AO674" s="9"/>
      <c r="AP674" s="9"/>
      <c r="AQ674" s="9"/>
      <c r="AR674" s="9"/>
      <c r="AS674" s="9"/>
      <c r="AT674" s="9"/>
    </row>
    <row r="675" ht="17.25" customHeight="1" spans="1:46">
      <c r="A675" s="8"/>
      <c r="B675" s="8"/>
      <c r="C675" s="8"/>
      <c r="D675" s="8"/>
      <c r="E675" s="8"/>
      <c r="F675" s="8"/>
      <c r="G675" s="9"/>
      <c r="H675" s="8"/>
      <c r="I675" s="8"/>
      <c r="J675" s="8"/>
      <c r="K675" s="8"/>
      <c r="L675" s="8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N675" s="9"/>
      <c r="AO675" s="9"/>
      <c r="AP675" s="9"/>
      <c r="AQ675" s="9"/>
      <c r="AR675" s="9"/>
      <c r="AS675" s="9"/>
      <c r="AT675" s="9"/>
    </row>
    <row r="676" ht="17.25" customHeight="1" spans="1:46">
      <c r="A676" s="8"/>
      <c r="B676" s="8"/>
      <c r="C676" s="8"/>
      <c r="D676" s="8"/>
      <c r="E676" s="8"/>
      <c r="F676" s="8"/>
      <c r="G676" s="9"/>
      <c r="H676" s="8"/>
      <c r="I676" s="8"/>
      <c r="J676" s="8"/>
      <c r="K676" s="8"/>
      <c r="L676" s="8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N676" s="9"/>
      <c r="AO676" s="9"/>
      <c r="AP676" s="9"/>
      <c r="AQ676" s="9"/>
      <c r="AR676" s="9"/>
      <c r="AS676" s="9"/>
      <c r="AT676" s="9"/>
    </row>
    <row r="677" ht="17.25" customHeight="1" spans="1:46">
      <c r="A677" s="8"/>
      <c r="B677" s="8"/>
      <c r="C677" s="8"/>
      <c r="D677" s="8"/>
      <c r="E677" s="8"/>
      <c r="F677" s="8"/>
      <c r="G677" s="9"/>
      <c r="H677" s="8"/>
      <c r="I677" s="8"/>
      <c r="J677" s="8"/>
      <c r="K677" s="8"/>
      <c r="L677" s="8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N677" s="9"/>
      <c r="AO677" s="9"/>
      <c r="AP677" s="9"/>
      <c r="AQ677" s="9"/>
      <c r="AR677" s="9"/>
      <c r="AS677" s="9"/>
      <c r="AT677" s="9"/>
    </row>
    <row r="678" ht="17.25" customHeight="1" spans="1:46">
      <c r="A678" s="8"/>
      <c r="B678" s="8"/>
      <c r="C678" s="8"/>
      <c r="D678" s="8"/>
      <c r="E678" s="8"/>
      <c r="F678" s="8"/>
      <c r="G678" s="9"/>
      <c r="H678" s="8"/>
      <c r="I678" s="8"/>
      <c r="J678" s="8"/>
      <c r="K678" s="8"/>
      <c r="L678" s="8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N678" s="9"/>
      <c r="AO678" s="9"/>
      <c r="AP678" s="9"/>
      <c r="AQ678" s="9"/>
      <c r="AR678" s="9"/>
      <c r="AS678" s="9"/>
      <c r="AT678" s="9"/>
    </row>
    <row r="679" ht="17.25" customHeight="1" spans="1:46">
      <c r="A679" s="8"/>
      <c r="B679" s="8"/>
      <c r="C679" s="8"/>
      <c r="D679" s="8"/>
      <c r="E679" s="8"/>
      <c r="F679" s="8"/>
      <c r="G679" s="9"/>
      <c r="H679" s="8"/>
      <c r="I679" s="8"/>
      <c r="J679" s="8"/>
      <c r="K679" s="8"/>
      <c r="L679" s="8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N679" s="9"/>
      <c r="AO679" s="9"/>
      <c r="AP679" s="9"/>
      <c r="AQ679" s="9"/>
      <c r="AR679" s="9"/>
      <c r="AS679" s="9"/>
      <c r="AT679" s="9"/>
    </row>
    <row r="680" ht="17.25" customHeight="1" spans="1:46">
      <c r="A680" s="8"/>
      <c r="B680" s="8"/>
      <c r="C680" s="8"/>
      <c r="D680" s="8"/>
      <c r="E680" s="8"/>
      <c r="F680" s="8"/>
      <c r="G680" s="9"/>
      <c r="H680" s="8"/>
      <c r="I680" s="8"/>
      <c r="J680" s="8"/>
      <c r="K680" s="8"/>
      <c r="L680" s="8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N680" s="9"/>
      <c r="AO680" s="9"/>
      <c r="AP680" s="9"/>
      <c r="AQ680" s="9"/>
      <c r="AR680" s="9"/>
      <c r="AS680" s="9"/>
      <c r="AT680" s="9"/>
    </row>
    <row r="681" ht="17.25" customHeight="1" spans="1:46">
      <c r="A681" s="8"/>
      <c r="B681" s="8"/>
      <c r="C681" s="8"/>
      <c r="D681" s="8"/>
      <c r="E681" s="8"/>
      <c r="F681" s="8"/>
      <c r="G681" s="9"/>
      <c r="H681" s="8"/>
      <c r="I681" s="8"/>
      <c r="J681" s="8"/>
      <c r="K681" s="8"/>
      <c r="L681" s="8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N681" s="9"/>
      <c r="AO681" s="9"/>
      <c r="AP681" s="9"/>
      <c r="AQ681" s="9"/>
      <c r="AR681" s="9"/>
      <c r="AS681" s="9"/>
      <c r="AT681" s="9"/>
    </row>
    <row r="682" ht="17.25" customHeight="1" spans="1:46">
      <c r="A682" s="8"/>
      <c r="B682" s="8"/>
      <c r="C682" s="8"/>
      <c r="D682" s="8"/>
      <c r="E682" s="8"/>
      <c r="F682" s="8"/>
      <c r="G682" s="9"/>
      <c r="H682" s="8"/>
      <c r="I682" s="8"/>
      <c r="J682" s="8"/>
      <c r="K682" s="8"/>
      <c r="L682" s="8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N682" s="9"/>
      <c r="AO682" s="9"/>
      <c r="AP682" s="9"/>
      <c r="AQ682" s="9"/>
      <c r="AR682" s="9"/>
      <c r="AS682" s="9"/>
      <c r="AT682" s="9"/>
    </row>
    <row r="683" ht="17.25" customHeight="1" spans="1:46">
      <c r="A683" s="8"/>
      <c r="B683" s="8"/>
      <c r="C683" s="8"/>
      <c r="D683" s="8"/>
      <c r="E683" s="8"/>
      <c r="F683" s="8"/>
      <c r="G683" s="9"/>
      <c r="H683" s="8"/>
      <c r="I683" s="8"/>
      <c r="J683" s="8"/>
      <c r="K683" s="8"/>
      <c r="L683" s="8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N683" s="9"/>
      <c r="AO683" s="9"/>
      <c r="AP683" s="9"/>
      <c r="AQ683" s="9"/>
      <c r="AR683" s="9"/>
      <c r="AS683" s="9"/>
      <c r="AT683" s="9"/>
    </row>
    <row r="684" ht="17.25" customHeight="1" spans="1:46">
      <c r="A684" s="8"/>
      <c r="B684" s="8"/>
      <c r="C684" s="8"/>
      <c r="D684" s="8"/>
      <c r="E684" s="8"/>
      <c r="F684" s="8"/>
      <c r="G684" s="9"/>
      <c r="H684" s="8"/>
      <c r="I684" s="8"/>
      <c r="J684" s="8"/>
      <c r="K684" s="8"/>
      <c r="L684" s="8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N684" s="9"/>
      <c r="AO684" s="9"/>
      <c r="AP684" s="9"/>
      <c r="AQ684" s="9"/>
      <c r="AR684" s="9"/>
      <c r="AS684" s="9"/>
      <c r="AT684" s="9"/>
    </row>
    <row r="685" ht="17.25" customHeight="1" spans="1:46">
      <c r="A685" s="8"/>
      <c r="B685" s="8"/>
      <c r="C685" s="8"/>
      <c r="D685" s="8"/>
      <c r="E685" s="8"/>
      <c r="F685" s="8"/>
      <c r="G685" s="9"/>
      <c r="H685" s="8"/>
      <c r="I685" s="8"/>
      <c r="J685" s="8"/>
      <c r="K685" s="8"/>
      <c r="L685" s="8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N685" s="9"/>
      <c r="AO685" s="9"/>
      <c r="AP685" s="9"/>
      <c r="AQ685" s="9"/>
      <c r="AR685" s="9"/>
      <c r="AS685" s="9"/>
      <c r="AT685" s="9"/>
    </row>
    <row r="686" ht="17.25" customHeight="1" spans="1:46">
      <c r="A686" s="8"/>
      <c r="B686" s="8"/>
      <c r="C686" s="8"/>
      <c r="D686" s="8"/>
      <c r="E686" s="8"/>
      <c r="F686" s="8"/>
      <c r="G686" s="9"/>
      <c r="H686" s="8"/>
      <c r="I686" s="8"/>
      <c r="J686" s="8"/>
      <c r="K686" s="8"/>
      <c r="L686" s="8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N686" s="9"/>
      <c r="AO686" s="9"/>
      <c r="AP686" s="9"/>
      <c r="AQ686" s="9"/>
      <c r="AR686" s="9"/>
      <c r="AS686" s="9"/>
      <c r="AT686" s="9"/>
    </row>
    <row r="687" ht="17.25" customHeight="1" spans="1:46">
      <c r="A687" s="8"/>
      <c r="B687" s="8"/>
      <c r="C687" s="8"/>
      <c r="D687" s="8"/>
      <c r="E687" s="8"/>
      <c r="F687" s="8"/>
      <c r="G687" s="9"/>
      <c r="H687" s="8"/>
      <c r="I687" s="8"/>
      <c r="J687" s="8"/>
      <c r="K687" s="8"/>
      <c r="L687" s="8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N687" s="9"/>
      <c r="AO687" s="9"/>
      <c r="AP687" s="9"/>
      <c r="AQ687" s="9"/>
      <c r="AR687" s="9"/>
      <c r="AS687" s="9"/>
      <c r="AT687" s="9"/>
    </row>
    <row r="688" ht="17.25" customHeight="1" spans="1:46">
      <c r="A688" s="8"/>
      <c r="B688" s="8"/>
      <c r="C688" s="8"/>
      <c r="D688" s="8"/>
      <c r="E688" s="8"/>
      <c r="F688" s="8"/>
      <c r="G688" s="9"/>
      <c r="H688" s="8"/>
      <c r="I688" s="8"/>
      <c r="J688" s="8"/>
      <c r="K688" s="8"/>
      <c r="L688" s="8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N688" s="9"/>
      <c r="AO688" s="9"/>
      <c r="AP688" s="9"/>
      <c r="AQ688" s="9"/>
      <c r="AR688" s="9"/>
      <c r="AS688" s="9"/>
      <c r="AT688" s="9"/>
    </row>
    <row r="689" ht="17.25" customHeight="1" spans="1:46">
      <c r="A689" s="8"/>
      <c r="B689" s="8"/>
      <c r="C689" s="8"/>
      <c r="D689" s="8"/>
      <c r="E689" s="8"/>
      <c r="F689" s="8"/>
      <c r="G689" s="9"/>
      <c r="H689" s="8"/>
      <c r="I689" s="8"/>
      <c r="J689" s="8"/>
      <c r="K689" s="8"/>
      <c r="L689" s="8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N689" s="9"/>
      <c r="AO689" s="9"/>
      <c r="AP689" s="9"/>
      <c r="AQ689" s="9"/>
      <c r="AR689" s="9"/>
      <c r="AS689" s="9"/>
      <c r="AT689" s="9"/>
    </row>
    <row r="690" ht="17.25" customHeight="1" spans="1:46">
      <c r="A690" s="8"/>
      <c r="B690" s="8"/>
      <c r="C690" s="8"/>
      <c r="D690" s="8"/>
      <c r="E690" s="8"/>
      <c r="F690" s="8"/>
      <c r="G690" s="9"/>
      <c r="H690" s="8"/>
      <c r="I690" s="8"/>
      <c r="J690" s="8"/>
      <c r="K690" s="8"/>
      <c r="L690" s="8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N690" s="9"/>
      <c r="AO690" s="9"/>
      <c r="AP690" s="9"/>
      <c r="AQ690" s="9"/>
      <c r="AR690" s="9"/>
      <c r="AS690" s="9"/>
      <c r="AT690" s="9"/>
    </row>
    <row r="691" ht="17.25" customHeight="1" spans="1:46">
      <c r="A691" s="8"/>
      <c r="B691" s="8"/>
      <c r="C691" s="8"/>
      <c r="D691" s="8"/>
      <c r="E691" s="8"/>
      <c r="F691" s="8"/>
      <c r="G691" s="9"/>
      <c r="H691" s="8"/>
      <c r="I691" s="8"/>
      <c r="J691" s="8"/>
      <c r="K691" s="8"/>
      <c r="L691" s="8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N691" s="9"/>
      <c r="AO691" s="9"/>
      <c r="AP691" s="9"/>
      <c r="AQ691" s="9"/>
      <c r="AR691" s="9"/>
      <c r="AS691" s="9"/>
      <c r="AT691" s="9"/>
    </row>
    <row r="692" ht="17.25" customHeight="1" spans="1:46">
      <c r="A692" s="8"/>
      <c r="B692" s="8"/>
      <c r="C692" s="8"/>
      <c r="D692" s="8"/>
      <c r="E692" s="8"/>
      <c r="F692" s="8"/>
      <c r="G692" s="9"/>
      <c r="H692" s="8"/>
      <c r="I692" s="8"/>
      <c r="J692" s="8"/>
      <c r="K692" s="8"/>
      <c r="L692" s="8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N692" s="9"/>
      <c r="AO692" s="9"/>
      <c r="AP692" s="9"/>
      <c r="AQ692" s="9"/>
      <c r="AR692" s="9"/>
      <c r="AS692" s="9"/>
      <c r="AT692" s="9"/>
    </row>
    <row r="693" ht="17.25" customHeight="1" spans="1:46">
      <c r="A693" s="8"/>
      <c r="B693" s="8"/>
      <c r="C693" s="8"/>
      <c r="D693" s="8"/>
      <c r="E693" s="8"/>
      <c r="F693" s="8"/>
      <c r="G693" s="9"/>
      <c r="H693" s="8"/>
      <c r="I693" s="8"/>
      <c r="J693" s="8"/>
      <c r="K693" s="8"/>
      <c r="L693" s="8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N693" s="9"/>
      <c r="AO693" s="9"/>
      <c r="AP693" s="9"/>
      <c r="AQ693" s="9"/>
      <c r="AR693" s="9"/>
      <c r="AS693" s="9"/>
      <c r="AT693" s="9"/>
    </row>
    <row r="694" ht="17.25" customHeight="1" spans="1:46">
      <c r="A694" s="8"/>
      <c r="B694" s="8"/>
      <c r="C694" s="8"/>
      <c r="D694" s="8"/>
      <c r="E694" s="8"/>
      <c r="F694" s="8"/>
      <c r="G694" s="9"/>
      <c r="H694" s="8"/>
      <c r="I694" s="8"/>
      <c r="J694" s="8"/>
      <c r="K694" s="8"/>
      <c r="L694" s="8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N694" s="9"/>
      <c r="AO694" s="9"/>
      <c r="AP694" s="9"/>
      <c r="AQ694" s="9"/>
      <c r="AR694" s="9"/>
      <c r="AS694" s="9"/>
      <c r="AT694" s="9"/>
    </row>
    <row r="695" ht="17.25" customHeight="1" spans="1:46">
      <c r="A695" s="8"/>
      <c r="B695" s="8"/>
      <c r="C695" s="8"/>
      <c r="D695" s="8"/>
      <c r="E695" s="8"/>
      <c r="F695" s="8"/>
      <c r="G695" s="9"/>
      <c r="H695" s="8"/>
      <c r="I695" s="8"/>
      <c r="J695" s="8"/>
      <c r="K695" s="8"/>
      <c r="L695" s="8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N695" s="9"/>
      <c r="AO695" s="9"/>
      <c r="AP695" s="9"/>
      <c r="AQ695" s="9"/>
      <c r="AR695" s="9"/>
      <c r="AS695" s="9"/>
      <c r="AT695" s="9"/>
    </row>
    <row r="696" ht="17.25" customHeight="1" spans="1:46">
      <c r="A696" s="8"/>
      <c r="B696" s="8"/>
      <c r="C696" s="8"/>
      <c r="D696" s="8"/>
      <c r="E696" s="8"/>
      <c r="F696" s="8"/>
      <c r="G696" s="9"/>
      <c r="H696" s="8"/>
      <c r="I696" s="8"/>
      <c r="J696" s="8"/>
      <c r="K696" s="8"/>
      <c r="L696" s="8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N696" s="9"/>
      <c r="AO696" s="9"/>
      <c r="AP696" s="9"/>
      <c r="AQ696" s="9"/>
      <c r="AR696" s="9"/>
      <c r="AS696" s="9"/>
      <c r="AT696" s="9"/>
    </row>
    <row r="697" ht="17.25" customHeight="1" spans="1:46">
      <c r="A697" s="8"/>
      <c r="B697" s="8"/>
      <c r="C697" s="8"/>
      <c r="D697" s="8"/>
      <c r="E697" s="8"/>
      <c r="F697" s="8"/>
      <c r="G697" s="9"/>
      <c r="H697" s="8"/>
      <c r="I697" s="8"/>
      <c r="J697" s="8"/>
      <c r="K697" s="8"/>
      <c r="L697" s="8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N697" s="9"/>
      <c r="AO697" s="9"/>
      <c r="AP697" s="9"/>
      <c r="AQ697" s="9"/>
      <c r="AR697" s="9"/>
      <c r="AS697" s="9"/>
      <c r="AT697" s="9"/>
    </row>
    <row r="698" ht="17.25" customHeight="1" spans="1:46">
      <c r="A698" s="8"/>
      <c r="B698" s="8"/>
      <c r="C698" s="8"/>
      <c r="D698" s="8"/>
      <c r="E698" s="8"/>
      <c r="F698" s="8"/>
      <c r="G698" s="9"/>
      <c r="H698" s="8"/>
      <c r="I698" s="8"/>
      <c r="J698" s="8"/>
      <c r="K698" s="8"/>
      <c r="L698" s="8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N698" s="9"/>
      <c r="AO698" s="9"/>
      <c r="AP698" s="9"/>
      <c r="AQ698" s="9"/>
      <c r="AR698" s="9"/>
      <c r="AS698" s="9"/>
      <c r="AT698" s="9"/>
    </row>
    <row r="699" ht="17.25" customHeight="1" spans="1:46">
      <c r="A699" s="8"/>
      <c r="B699" s="8"/>
      <c r="C699" s="8"/>
      <c r="D699" s="8"/>
      <c r="E699" s="8"/>
      <c r="F699" s="8"/>
      <c r="G699" s="9"/>
      <c r="H699" s="8"/>
      <c r="I699" s="8"/>
      <c r="J699" s="8"/>
      <c r="K699" s="8"/>
      <c r="L699" s="8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N699" s="9"/>
      <c r="AO699" s="9"/>
      <c r="AP699" s="9"/>
      <c r="AQ699" s="9"/>
      <c r="AR699" s="9"/>
      <c r="AS699" s="9"/>
      <c r="AT699" s="9"/>
    </row>
    <row r="700" ht="17.25" customHeight="1" spans="1:46">
      <c r="A700" s="8"/>
      <c r="B700" s="8"/>
      <c r="C700" s="8"/>
      <c r="D700" s="8"/>
      <c r="E700" s="8"/>
      <c r="F700" s="8"/>
      <c r="G700" s="9"/>
      <c r="H700" s="8"/>
      <c r="I700" s="8"/>
      <c r="J700" s="8"/>
      <c r="K700" s="8"/>
      <c r="L700" s="8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N700" s="9"/>
      <c r="AO700" s="9"/>
      <c r="AP700" s="9"/>
      <c r="AQ700" s="9"/>
      <c r="AR700" s="9"/>
      <c r="AS700" s="9"/>
      <c r="AT700" s="9"/>
    </row>
    <row r="701" ht="17.25" customHeight="1" spans="1:46">
      <c r="A701" s="8"/>
      <c r="B701" s="8"/>
      <c r="C701" s="8"/>
      <c r="D701" s="8"/>
      <c r="E701" s="8"/>
      <c r="F701" s="8"/>
      <c r="G701" s="9"/>
      <c r="H701" s="8"/>
      <c r="I701" s="8"/>
      <c r="J701" s="8"/>
      <c r="K701" s="8"/>
      <c r="L701" s="8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N701" s="9"/>
      <c r="AO701" s="9"/>
      <c r="AP701" s="9"/>
      <c r="AQ701" s="9"/>
      <c r="AR701" s="9"/>
      <c r="AS701" s="9"/>
      <c r="AT701" s="9"/>
    </row>
    <row r="702" ht="17.25" customHeight="1" spans="1:46">
      <c r="A702" s="8"/>
      <c r="B702" s="8"/>
      <c r="C702" s="8"/>
      <c r="D702" s="8"/>
      <c r="E702" s="8"/>
      <c r="F702" s="8"/>
      <c r="G702" s="9"/>
      <c r="H702" s="8"/>
      <c r="I702" s="8"/>
      <c r="J702" s="8"/>
      <c r="K702" s="8"/>
      <c r="L702" s="8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N702" s="9"/>
      <c r="AO702" s="9"/>
      <c r="AP702" s="9"/>
      <c r="AQ702" s="9"/>
      <c r="AR702" s="9"/>
      <c r="AS702" s="9"/>
      <c r="AT702" s="9"/>
    </row>
    <row r="703" ht="17.25" customHeight="1" spans="1:46">
      <c r="A703" s="8"/>
      <c r="B703" s="8"/>
      <c r="C703" s="8"/>
      <c r="D703" s="8"/>
      <c r="E703" s="8"/>
      <c r="F703" s="8"/>
      <c r="G703" s="9"/>
      <c r="H703" s="8"/>
      <c r="I703" s="8"/>
      <c r="J703" s="8"/>
      <c r="K703" s="8"/>
      <c r="L703" s="8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N703" s="9"/>
      <c r="AO703" s="9"/>
      <c r="AP703" s="9"/>
      <c r="AQ703" s="9"/>
      <c r="AR703" s="9"/>
      <c r="AS703" s="9"/>
      <c r="AT703" s="9"/>
    </row>
    <row r="704" ht="17.25" customHeight="1" spans="1:46">
      <c r="A704" s="8"/>
      <c r="B704" s="8"/>
      <c r="C704" s="8"/>
      <c r="D704" s="8"/>
      <c r="E704" s="8"/>
      <c r="F704" s="8"/>
      <c r="G704" s="9"/>
      <c r="H704" s="8"/>
      <c r="I704" s="8"/>
      <c r="J704" s="8"/>
      <c r="K704" s="8"/>
      <c r="L704" s="8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N704" s="9"/>
      <c r="AO704" s="9"/>
      <c r="AP704" s="9"/>
      <c r="AQ704" s="9"/>
      <c r="AR704" s="9"/>
      <c r="AS704" s="9"/>
      <c r="AT704" s="9"/>
    </row>
    <row r="705" ht="17.25" customHeight="1" spans="1:46">
      <c r="A705" s="8"/>
      <c r="B705" s="8"/>
      <c r="C705" s="8"/>
      <c r="D705" s="8"/>
      <c r="E705" s="8"/>
      <c r="F705" s="8"/>
      <c r="G705" s="9"/>
      <c r="H705" s="8"/>
      <c r="I705" s="8"/>
      <c r="J705" s="8"/>
      <c r="K705" s="8"/>
      <c r="L705" s="8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N705" s="9"/>
      <c r="AO705" s="9"/>
      <c r="AP705" s="9"/>
      <c r="AQ705" s="9"/>
      <c r="AR705" s="9"/>
      <c r="AS705" s="9"/>
      <c r="AT705" s="9"/>
    </row>
    <row r="706" ht="17.25" customHeight="1" spans="1:46">
      <c r="A706" s="8"/>
      <c r="B706" s="8"/>
      <c r="C706" s="8"/>
      <c r="D706" s="8"/>
      <c r="E706" s="8"/>
      <c r="F706" s="8"/>
      <c r="G706" s="9"/>
      <c r="H706" s="8"/>
      <c r="I706" s="8"/>
      <c r="J706" s="8"/>
      <c r="K706" s="8"/>
      <c r="L706" s="8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N706" s="9"/>
      <c r="AO706" s="9"/>
      <c r="AP706" s="9"/>
      <c r="AQ706" s="9"/>
      <c r="AR706" s="9"/>
      <c r="AS706" s="9"/>
      <c r="AT706" s="9"/>
    </row>
    <row r="707" ht="17.25" customHeight="1" spans="1:46">
      <c r="A707" s="8"/>
      <c r="B707" s="8"/>
      <c r="C707" s="8"/>
      <c r="D707" s="8"/>
      <c r="E707" s="8"/>
      <c r="F707" s="8"/>
      <c r="G707" s="9"/>
      <c r="H707" s="8"/>
      <c r="I707" s="8"/>
      <c r="J707" s="8"/>
      <c r="K707" s="8"/>
      <c r="L707" s="8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N707" s="9"/>
      <c r="AO707" s="9"/>
      <c r="AP707" s="9"/>
      <c r="AQ707" s="9"/>
      <c r="AR707" s="9"/>
      <c r="AS707" s="9"/>
      <c r="AT707" s="9"/>
    </row>
    <row r="708" ht="17.25" customHeight="1" spans="1:46">
      <c r="A708" s="8"/>
      <c r="B708" s="8"/>
      <c r="C708" s="8"/>
      <c r="D708" s="8"/>
      <c r="E708" s="8"/>
      <c r="F708" s="8"/>
      <c r="G708" s="9"/>
      <c r="H708" s="8"/>
      <c r="I708" s="8"/>
      <c r="J708" s="8"/>
      <c r="K708" s="8"/>
      <c r="L708" s="8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N708" s="9"/>
      <c r="AO708" s="9"/>
      <c r="AP708" s="9"/>
      <c r="AQ708" s="9"/>
      <c r="AR708" s="9"/>
      <c r="AS708" s="9"/>
      <c r="AT708" s="9"/>
    </row>
    <row r="709" ht="17.25" customHeight="1" spans="1:46">
      <c r="A709" s="8"/>
      <c r="B709" s="8"/>
      <c r="C709" s="8"/>
      <c r="D709" s="8"/>
      <c r="E709" s="8"/>
      <c r="F709" s="8"/>
      <c r="G709" s="9"/>
      <c r="H709" s="8"/>
      <c r="I709" s="8"/>
      <c r="J709" s="8"/>
      <c r="K709" s="8"/>
      <c r="L709" s="8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N709" s="9"/>
      <c r="AO709" s="9"/>
      <c r="AP709" s="9"/>
      <c r="AQ709" s="9"/>
      <c r="AR709" s="9"/>
      <c r="AS709" s="9"/>
      <c r="AT709" s="9"/>
    </row>
    <row r="710" ht="17.25" customHeight="1" spans="1:46">
      <c r="A710" s="8"/>
      <c r="B710" s="8"/>
      <c r="C710" s="8"/>
      <c r="D710" s="8"/>
      <c r="E710" s="8"/>
      <c r="F710" s="8"/>
      <c r="G710" s="9"/>
      <c r="H710" s="8"/>
      <c r="I710" s="8"/>
      <c r="J710" s="8"/>
      <c r="K710" s="8"/>
      <c r="L710" s="8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N710" s="9"/>
      <c r="AO710" s="9"/>
      <c r="AP710" s="9"/>
      <c r="AQ710" s="9"/>
      <c r="AR710" s="9"/>
      <c r="AS710" s="9"/>
      <c r="AT710" s="9"/>
    </row>
    <row r="711" ht="17.25" customHeight="1" spans="1:46">
      <c r="A711" s="8"/>
      <c r="B711" s="8"/>
      <c r="C711" s="8"/>
      <c r="D711" s="8"/>
      <c r="E711" s="8"/>
      <c r="F711" s="8"/>
      <c r="G711" s="9"/>
      <c r="H711" s="8"/>
      <c r="I711" s="8"/>
      <c r="J711" s="8"/>
      <c r="K711" s="8"/>
      <c r="L711" s="8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N711" s="9"/>
      <c r="AO711" s="9"/>
      <c r="AP711" s="9"/>
      <c r="AQ711" s="9"/>
      <c r="AR711" s="9"/>
      <c r="AS711" s="9"/>
      <c r="AT711" s="9"/>
    </row>
    <row r="712" ht="17.25" customHeight="1" spans="1:46">
      <c r="A712" s="8"/>
      <c r="B712" s="8"/>
      <c r="C712" s="8"/>
      <c r="D712" s="8"/>
      <c r="E712" s="8"/>
      <c r="F712" s="8"/>
      <c r="G712" s="9"/>
      <c r="H712" s="8"/>
      <c r="I712" s="8"/>
      <c r="J712" s="8"/>
      <c r="K712" s="8"/>
      <c r="L712" s="8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N712" s="9"/>
      <c r="AO712" s="9"/>
      <c r="AP712" s="9"/>
      <c r="AQ712" s="9"/>
      <c r="AR712" s="9"/>
      <c r="AS712" s="9"/>
      <c r="AT712" s="9"/>
    </row>
    <row r="713" ht="17.25" customHeight="1" spans="1:46">
      <c r="A713" s="8"/>
      <c r="B713" s="8"/>
      <c r="C713" s="8"/>
      <c r="D713" s="8"/>
      <c r="E713" s="8"/>
      <c r="F713" s="8"/>
      <c r="G713" s="9"/>
      <c r="H713" s="8"/>
      <c r="I713" s="8"/>
      <c r="J713" s="8"/>
      <c r="K713" s="8"/>
      <c r="L713" s="8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N713" s="9"/>
      <c r="AO713" s="9"/>
      <c r="AP713" s="9"/>
      <c r="AQ713" s="9"/>
      <c r="AR713" s="9"/>
      <c r="AS713" s="9"/>
      <c r="AT713" s="9"/>
    </row>
    <row r="714" ht="17.25" customHeight="1" spans="1:46">
      <c r="A714" s="8"/>
      <c r="B714" s="8"/>
      <c r="C714" s="8"/>
      <c r="D714" s="8"/>
      <c r="E714" s="8"/>
      <c r="F714" s="8"/>
      <c r="G714" s="9"/>
      <c r="H714" s="8"/>
      <c r="I714" s="8"/>
      <c r="J714" s="8"/>
      <c r="K714" s="8"/>
      <c r="L714" s="8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N714" s="9"/>
      <c r="AO714" s="9"/>
      <c r="AP714" s="9"/>
      <c r="AQ714" s="9"/>
      <c r="AR714" s="9"/>
      <c r="AS714" s="9"/>
      <c r="AT714" s="9"/>
    </row>
    <row r="715" ht="17.25" customHeight="1" spans="1:46">
      <c r="A715" s="8"/>
      <c r="B715" s="8"/>
      <c r="C715" s="8"/>
      <c r="D715" s="8"/>
      <c r="E715" s="8"/>
      <c r="F715" s="8"/>
      <c r="G715" s="9"/>
      <c r="H715" s="8"/>
      <c r="I715" s="8"/>
      <c r="J715" s="8"/>
      <c r="K715" s="8"/>
      <c r="L715" s="8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N715" s="9"/>
      <c r="AO715" s="9"/>
      <c r="AP715" s="9"/>
      <c r="AQ715" s="9"/>
      <c r="AR715" s="9"/>
      <c r="AS715" s="9"/>
      <c r="AT715" s="9"/>
    </row>
    <row r="716" ht="17.25" customHeight="1" spans="1:46">
      <c r="A716" s="8"/>
      <c r="B716" s="8"/>
      <c r="C716" s="8"/>
      <c r="D716" s="8"/>
      <c r="E716" s="8"/>
      <c r="F716" s="8"/>
      <c r="G716" s="9"/>
      <c r="H716" s="8"/>
      <c r="I716" s="8"/>
      <c r="J716" s="8"/>
      <c r="K716" s="8"/>
      <c r="L716" s="8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N716" s="9"/>
      <c r="AO716" s="9"/>
      <c r="AP716" s="9"/>
      <c r="AQ716" s="9"/>
      <c r="AR716" s="9"/>
      <c r="AS716" s="9"/>
      <c r="AT716" s="9"/>
    </row>
    <row r="717" ht="17.25" customHeight="1" spans="1:46">
      <c r="A717" s="8"/>
      <c r="B717" s="8"/>
      <c r="C717" s="8"/>
      <c r="D717" s="8"/>
      <c r="E717" s="8"/>
      <c r="F717" s="8"/>
      <c r="G717" s="9"/>
      <c r="H717" s="8"/>
      <c r="I717" s="8"/>
      <c r="J717" s="8"/>
      <c r="K717" s="8"/>
      <c r="L717" s="8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N717" s="9"/>
      <c r="AO717" s="9"/>
      <c r="AP717" s="9"/>
      <c r="AQ717" s="9"/>
      <c r="AR717" s="9"/>
      <c r="AS717" s="9"/>
      <c r="AT717" s="9"/>
    </row>
    <row r="718" ht="17.25" customHeight="1" spans="1:46">
      <c r="A718" s="8"/>
      <c r="B718" s="8"/>
      <c r="C718" s="8"/>
      <c r="D718" s="8"/>
      <c r="E718" s="8"/>
      <c r="F718" s="8"/>
      <c r="G718" s="9"/>
      <c r="H718" s="8"/>
      <c r="I718" s="8"/>
      <c r="J718" s="8"/>
      <c r="K718" s="8"/>
      <c r="L718" s="8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N718" s="9"/>
      <c r="AO718" s="9"/>
      <c r="AP718" s="9"/>
      <c r="AQ718" s="9"/>
      <c r="AR718" s="9"/>
      <c r="AS718" s="9"/>
      <c r="AT718" s="9"/>
    </row>
    <row r="719" ht="17.25" customHeight="1" spans="1:46">
      <c r="A719" s="8"/>
      <c r="B719" s="8"/>
      <c r="C719" s="8"/>
      <c r="D719" s="8"/>
      <c r="E719" s="8"/>
      <c r="F719" s="8"/>
      <c r="G719" s="9"/>
      <c r="H719" s="8"/>
      <c r="I719" s="8"/>
      <c r="J719" s="8"/>
      <c r="K719" s="8"/>
      <c r="L719" s="8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N719" s="9"/>
      <c r="AO719" s="9"/>
      <c r="AP719" s="9"/>
      <c r="AQ719" s="9"/>
      <c r="AR719" s="9"/>
      <c r="AS719" s="9"/>
      <c r="AT719" s="9"/>
    </row>
    <row r="720" ht="17.25" customHeight="1" spans="1:46">
      <c r="A720" s="8"/>
      <c r="B720" s="8"/>
      <c r="C720" s="8"/>
      <c r="D720" s="8"/>
      <c r="E720" s="8"/>
      <c r="F720" s="8"/>
      <c r="G720" s="9"/>
      <c r="H720" s="8"/>
      <c r="I720" s="8"/>
      <c r="J720" s="8"/>
      <c r="K720" s="8"/>
      <c r="L720" s="8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N720" s="9"/>
      <c r="AO720" s="9"/>
      <c r="AP720" s="9"/>
      <c r="AQ720" s="9"/>
      <c r="AR720" s="9"/>
      <c r="AS720" s="9"/>
      <c r="AT720" s="9"/>
    </row>
    <row r="721" ht="17.25" customHeight="1" spans="1:46">
      <c r="A721" s="8"/>
      <c r="B721" s="8"/>
      <c r="C721" s="8"/>
      <c r="D721" s="8"/>
      <c r="E721" s="8"/>
      <c r="F721" s="8"/>
      <c r="G721" s="9"/>
      <c r="H721" s="8"/>
      <c r="I721" s="8"/>
      <c r="J721" s="8"/>
      <c r="K721" s="8"/>
      <c r="L721" s="8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N721" s="9"/>
      <c r="AO721" s="9"/>
      <c r="AP721" s="9"/>
      <c r="AQ721" s="9"/>
      <c r="AR721" s="9"/>
      <c r="AS721" s="9"/>
      <c r="AT721" s="9"/>
    </row>
    <row r="722" ht="17.25" customHeight="1" spans="1:46">
      <c r="A722" s="8"/>
      <c r="B722" s="8"/>
      <c r="C722" s="8"/>
      <c r="D722" s="8"/>
      <c r="E722" s="8"/>
      <c r="F722" s="8"/>
      <c r="G722" s="9"/>
      <c r="H722" s="8"/>
      <c r="I722" s="8"/>
      <c r="J722" s="8"/>
      <c r="K722" s="8"/>
      <c r="L722" s="8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N722" s="9"/>
      <c r="AO722" s="9"/>
      <c r="AP722" s="9"/>
      <c r="AQ722" s="9"/>
      <c r="AR722" s="9"/>
      <c r="AS722" s="9"/>
      <c r="AT722" s="9"/>
    </row>
    <row r="723" ht="17.25" customHeight="1" spans="1:46">
      <c r="A723" s="8"/>
      <c r="B723" s="8"/>
      <c r="C723" s="8"/>
      <c r="D723" s="8"/>
      <c r="E723" s="8"/>
      <c r="F723" s="8"/>
      <c r="G723" s="9"/>
      <c r="H723" s="8"/>
      <c r="I723" s="8"/>
      <c r="J723" s="8"/>
      <c r="K723" s="8"/>
      <c r="L723" s="8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N723" s="9"/>
      <c r="AO723" s="9"/>
      <c r="AP723" s="9"/>
      <c r="AQ723" s="9"/>
      <c r="AR723" s="9"/>
      <c r="AS723" s="9"/>
      <c r="AT723" s="9"/>
    </row>
    <row r="724" ht="17.25" customHeight="1" spans="1:46">
      <c r="A724" s="8"/>
      <c r="B724" s="8"/>
      <c r="C724" s="8"/>
      <c r="D724" s="8"/>
      <c r="E724" s="8"/>
      <c r="F724" s="8"/>
      <c r="G724" s="9"/>
      <c r="H724" s="8"/>
      <c r="I724" s="8"/>
      <c r="J724" s="8"/>
      <c r="K724" s="8"/>
      <c r="L724" s="8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N724" s="9"/>
      <c r="AO724" s="9"/>
      <c r="AP724" s="9"/>
      <c r="AQ724" s="9"/>
      <c r="AR724" s="9"/>
      <c r="AS724" s="9"/>
      <c r="AT724" s="9"/>
    </row>
    <row r="725" ht="17.25" customHeight="1" spans="1:46">
      <c r="A725" s="8"/>
      <c r="B725" s="8"/>
      <c r="C725" s="8"/>
      <c r="D725" s="8"/>
      <c r="E725" s="8"/>
      <c r="F725" s="8"/>
      <c r="G725" s="9"/>
      <c r="H725" s="8"/>
      <c r="I725" s="8"/>
      <c r="J725" s="8"/>
      <c r="K725" s="8"/>
      <c r="L725" s="8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N725" s="9"/>
      <c r="AO725" s="9"/>
      <c r="AP725" s="9"/>
      <c r="AQ725" s="9"/>
      <c r="AR725" s="9"/>
      <c r="AS725" s="9"/>
      <c r="AT725" s="9"/>
    </row>
    <row r="726" ht="17.25" customHeight="1" spans="1:46">
      <c r="A726" s="8"/>
      <c r="B726" s="8"/>
      <c r="C726" s="8"/>
      <c r="D726" s="8"/>
      <c r="E726" s="8"/>
      <c r="F726" s="8"/>
      <c r="G726" s="9"/>
      <c r="H726" s="8"/>
      <c r="I726" s="8"/>
      <c r="J726" s="8"/>
      <c r="K726" s="8"/>
      <c r="L726" s="8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N726" s="9"/>
      <c r="AO726" s="9"/>
      <c r="AP726" s="9"/>
      <c r="AQ726" s="9"/>
      <c r="AR726" s="9"/>
      <c r="AS726" s="9"/>
      <c r="AT726" s="9"/>
    </row>
    <row r="727" ht="17.25" customHeight="1" spans="1:46">
      <c r="A727" s="8"/>
      <c r="B727" s="8"/>
      <c r="C727" s="8"/>
      <c r="D727" s="8"/>
      <c r="E727" s="8"/>
      <c r="F727" s="8"/>
      <c r="G727" s="9"/>
      <c r="H727" s="8"/>
      <c r="I727" s="8"/>
      <c r="J727" s="8"/>
      <c r="K727" s="8"/>
      <c r="L727" s="8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N727" s="9"/>
      <c r="AO727" s="9"/>
      <c r="AP727" s="9"/>
      <c r="AQ727" s="9"/>
      <c r="AR727" s="9"/>
      <c r="AS727" s="9"/>
      <c r="AT727" s="9"/>
    </row>
    <row r="728" ht="17.25" customHeight="1" spans="1:46">
      <c r="A728" s="8"/>
      <c r="B728" s="8"/>
      <c r="C728" s="8"/>
      <c r="D728" s="8"/>
      <c r="E728" s="8"/>
      <c r="F728" s="8"/>
      <c r="G728" s="9"/>
      <c r="H728" s="8"/>
      <c r="I728" s="8"/>
      <c r="J728" s="8"/>
      <c r="K728" s="8"/>
      <c r="L728" s="8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N728" s="9"/>
      <c r="AO728" s="9"/>
      <c r="AP728" s="9"/>
      <c r="AQ728" s="9"/>
      <c r="AR728" s="9"/>
      <c r="AS728" s="9"/>
      <c r="AT728" s="9"/>
    </row>
    <row r="729" ht="17.25" customHeight="1" spans="1:46">
      <c r="A729" s="8"/>
      <c r="B729" s="8"/>
      <c r="C729" s="8"/>
      <c r="D729" s="8"/>
      <c r="E729" s="8"/>
      <c r="F729" s="8"/>
      <c r="G729" s="9"/>
      <c r="H729" s="8"/>
      <c r="I729" s="8"/>
      <c r="J729" s="8"/>
      <c r="K729" s="8"/>
      <c r="L729" s="8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N729" s="9"/>
      <c r="AO729" s="9"/>
      <c r="AP729" s="9"/>
      <c r="AQ729" s="9"/>
      <c r="AR729" s="9"/>
      <c r="AS729" s="9"/>
      <c r="AT729" s="9"/>
    </row>
    <row r="730" ht="17.25" customHeight="1" spans="1:46">
      <c r="A730" s="8"/>
      <c r="B730" s="8"/>
      <c r="C730" s="8"/>
      <c r="D730" s="8"/>
      <c r="E730" s="8"/>
      <c r="F730" s="8"/>
      <c r="G730" s="9"/>
      <c r="H730" s="8"/>
      <c r="I730" s="8"/>
      <c r="J730" s="8"/>
      <c r="K730" s="8"/>
      <c r="L730" s="8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N730" s="9"/>
      <c r="AO730" s="9"/>
      <c r="AP730" s="9"/>
      <c r="AQ730" s="9"/>
      <c r="AR730" s="9"/>
      <c r="AS730" s="9"/>
      <c r="AT730" s="9"/>
    </row>
    <row r="731" ht="17.25" customHeight="1" spans="1:46">
      <c r="A731" s="8"/>
      <c r="B731" s="8"/>
      <c r="C731" s="8"/>
      <c r="D731" s="8"/>
      <c r="E731" s="8"/>
      <c r="F731" s="8"/>
      <c r="G731" s="9"/>
      <c r="H731" s="8"/>
      <c r="I731" s="8"/>
      <c r="J731" s="8"/>
      <c r="K731" s="8"/>
      <c r="L731" s="8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N731" s="9"/>
      <c r="AO731" s="9"/>
      <c r="AP731" s="9"/>
      <c r="AQ731" s="9"/>
      <c r="AR731" s="9"/>
      <c r="AS731" s="9"/>
      <c r="AT731" s="9"/>
    </row>
    <row r="732" ht="17.25" customHeight="1" spans="1:46">
      <c r="A732" s="8"/>
      <c r="B732" s="8"/>
      <c r="C732" s="8"/>
      <c r="D732" s="8"/>
      <c r="E732" s="8"/>
      <c r="F732" s="8"/>
      <c r="G732" s="9"/>
      <c r="H732" s="8"/>
      <c r="I732" s="8"/>
      <c r="J732" s="8"/>
      <c r="K732" s="8"/>
      <c r="L732" s="8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N732" s="9"/>
      <c r="AO732" s="9"/>
      <c r="AP732" s="9"/>
      <c r="AQ732" s="9"/>
      <c r="AR732" s="9"/>
      <c r="AS732" s="9"/>
      <c r="AT732" s="9"/>
    </row>
    <row r="733" ht="17.25" customHeight="1" spans="1:46">
      <c r="A733" s="8"/>
      <c r="B733" s="8"/>
      <c r="C733" s="8"/>
      <c r="D733" s="8"/>
      <c r="E733" s="8"/>
      <c r="F733" s="8"/>
      <c r="G733" s="9"/>
      <c r="H733" s="8"/>
      <c r="I733" s="8"/>
      <c r="J733" s="8"/>
      <c r="K733" s="8"/>
      <c r="L733" s="8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N733" s="9"/>
      <c r="AO733" s="9"/>
      <c r="AP733" s="9"/>
      <c r="AQ733" s="9"/>
      <c r="AR733" s="9"/>
      <c r="AS733" s="9"/>
      <c r="AT733" s="9"/>
    </row>
    <row r="734" ht="17.25" customHeight="1" spans="1:46">
      <c r="A734" s="8"/>
      <c r="B734" s="8"/>
      <c r="C734" s="8"/>
      <c r="D734" s="8"/>
      <c r="E734" s="8"/>
      <c r="F734" s="8"/>
      <c r="G734" s="9"/>
      <c r="H734" s="8"/>
      <c r="I734" s="8"/>
      <c r="J734" s="8"/>
      <c r="K734" s="8"/>
      <c r="L734" s="8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N734" s="9"/>
      <c r="AO734" s="9"/>
      <c r="AP734" s="9"/>
      <c r="AQ734" s="9"/>
      <c r="AR734" s="9"/>
      <c r="AS734" s="9"/>
      <c r="AT734" s="9"/>
    </row>
    <row r="735" ht="17.25" customHeight="1" spans="1:46">
      <c r="A735" s="8"/>
      <c r="B735" s="8"/>
      <c r="C735" s="8"/>
      <c r="D735" s="8"/>
      <c r="E735" s="8"/>
      <c r="F735" s="8"/>
      <c r="G735" s="9"/>
      <c r="H735" s="8"/>
      <c r="I735" s="8"/>
      <c r="J735" s="8"/>
      <c r="K735" s="8"/>
      <c r="L735" s="8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N735" s="9"/>
      <c r="AO735" s="9"/>
      <c r="AP735" s="9"/>
      <c r="AQ735" s="9"/>
      <c r="AR735" s="9"/>
      <c r="AS735" s="9"/>
      <c r="AT735" s="9"/>
    </row>
    <row r="736" ht="17.25" customHeight="1" spans="1:46">
      <c r="A736" s="8"/>
      <c r="B736" s="8"/>
      <c r="C736" s="8"/>
      <c r="D736" s="8"/>
      <c r="E736" s="8"/>
      <c r="F736" s="8"/>
      <c r="G736" s="9"/>
      <c r="H736" s="8"/>
      <c r="I736" s="8"/>
      <c r="J736" s="8"/>
      <c r="K736" s="8"/>
      <c r="L736" s="8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N736" s="9"/>
      <c r="AO736" s="9"/>
      <c r="AP736" s="9"/>
      <c r="AQ736" s="9"/>
      <c r="AR736" s="9"/>
      <c r="AS736" s="9"/>
      <c r="AT736" s="9"/>
    </row>
    <row r="737" ht="17.25" customHeight="1" spans="1:46">
      <c r="A737" s="8"/>
      <c r="B737" s="8"/>
      <c r="C737" s="8"/>
      <c r="D737" s="8"/>
      <c r="E737" s="8"/>
      <c r="F737" s="8"/>
      <c r="G737" s="9"/>
      <c r="H737" s="8"/>
      <c r="I737" s="8"/>
      <c r="J737" s="8"/>
      <c r="K737" s="8"/>
      <c r="L737" s="8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N737" s="9"/>
      <c r="AO737" s="9"/>
      <c r="AP737" s="9"/>
      <c r="AQ737" s="9"/>
      <c r="AR737" s="9"/>
      <c r="AS737" s="9"/>
      <c r="AT737" s="9"/>
    </row>
    <row r="738" ht="17.25" customHeight="1" spans="1:46">
      <c r="A738" s="8"/>
      <c r="B738" s="8"/>
      <c r="C738" s="8"/>
      <c r="D738" s="8"/>
      <c r="E738" s="8"/>
      <c r="F738" s="8"/>
      <c r="G738" s="9"/>
      <c r="H738" s="8"/>
      <c r="I738" s="8"/>
      <c r="J738" s="8"/>
      <c r="K738" s="8"/>
      <c r="L738" s="8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N738" s="9"/>
      <c r="AO738" s="9"/>
      <c r="AP738" s="9"/>
      <c r="AQ738" s="9"/>
      <c r="AR738" s="9"/>
      <c r="AS738" s="9"/>
      <c r="AT738" s="9"/>
    </row>
    <row r="739" ht="17.25" customHeight="1" spans="1:46">
      <c r="A739" s="8"/>
      <c r="B739" s="8"/>
      <c r="C739" s="8"/>
      <c r="D739" s="8"/>
      <c r="E739" s="8"/>
      <c r="F739" s="8"/>
      <c r="G739" s="9"/>
      <c r="H739" s="8"/>
      <c r="I739" s="8"/>
      <c r="J739" s="8"/>
      <c r="K739" s="8"/>
      <c r="L739" s="8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N739" s="9"/>
      <c r="AO739" s="9"/>
      <c r="AP739" s="9"/>
      <c r="AQ739" s="9"/>
      <c r="AR739" s="9"/>
      <c r="AS739" s="9"/>
      <c r="AT739" s="9"/>
    </row>
    <row r="740" ht="17.25" customHeight="1" spans="1:46">
      <c r="A740" s="8"/>
      <c r="B740" s="8"/>
      <c r="C740" s="8"/>
      <c r="D740" s="8"/>
      <c r="E740" s="8"/>
      <c r="F740" s="8"/>
      <c r="G740" s="9"/>
      <c r="H740" s="8"/>
      <c r="I740" s="8"/>
      <c r="J740" s="8"/>
      <c r="K740" s="8"/>
      <c r="L740" s="8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N740" s="9"/>
      <c r="AO740" s="9"/>
      <c r="AP740" s="9"/>
      <c r="AQ740" s="9"/>
      <c r="AR740" s="9"/>
      <c r="AS740" s="9"/>
      <c r="AT740" s="9"/>
    </row>
    <row r="741" ht="17.25" customHeight="1" spans="1:46">
      <c r="A741" s="8"/>
      <c r="B741" s="8"/>
      <c r="C741" s="8"/>
      <c r="D741" s="8"/>
      <c r="E741" s="8"/>
      <c r="F741" s="8"/>
      <c r="G741" s="9"/>
      <c r="H741" s="8"/>
      <c r="I741" s="8"/>
      <c r="J741" s="8"/>
      <c r="K741" s="8"/>
      <c r="L741" s="8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N741" s="9"/>
      <c r="AO741" s="9"/>
      <c r="AP741" s="9"/>
      <c r="AQ741" s="9"/>
      <c r="AR741" s="9"/>
      <c r="AS741" s="9"/>
      <c r="AT741" s="9"/>
    </row>
    <row r="742" ht="17.25" customHeight="1" spans="1:46">
      <c r="A742" s="8"/>
      <c r="B742" s="8"/>
      <c r="C742" s="8"/>
      <c r="D742" s="8"/>
      <c r="E742" s="8"/>
      <c r="F742" s="8"/>
      <c r="G742" s="9"/>
      <c r="H742" s="8"/>
      <c r="I742" s="8"/>
      <c r="J742" s="8"/>
      <c r="K742" s="8"/>
      <c r="L742" s="8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N742" s="9"/>
      <c r="AO742" s="9"/>
      <c r="AP742" s="9"/>
      <c r="AQ742" s="9"/>
      <c r="AR742" s="9"/>
      <c r="AS742" s="9"/>
      <c r="AT742" s="9"/>
    </row>
    <row r="743" ht="17.25" customHeight="1" spans="1:46">
      <c r="A743" s="8"/>
      <c r="B743" s="8"/>
      <c r="C743" s="8"/>
      <c r="D743" s="8"/>
      <c r="E743" s="8"/>
      <c r="F743" s="8"/>
      <c r="G743" s="9"/>
      <c r="H743" s="8"/>
      <c r="I743" s="8"/>
      <c r="J743" s="8"/>
      <c r="K743" s="8"/>
      <c r="L743" s="8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N743" s="9"/>
      <c r="AO743" s="9"/>
      <c r="AP743" s="9"/>
      <c r="AQ743" s="9"/>
      <c r="AR743" s="9"/>
      <c r="AS743" s="9"/>
      <c r="AT743" s="9"/>
    </row>
    <row r="744" ht="17.25" customHeight="1" spans="1:46">
      <c r="A744" s="8"/>
      <c r="B744" s="8"/>
      <c r="C744" s="8"/>
      <c r="D744" s="8"/>
      <c r="E744" s="8"/>
      <c r="F744" s="8"/>
      <c r="G744" s="9"/>
      <c r="H744" s="8"/>
      <c r="I744" s="8"/>
      <c r="J744" s="8"/>
      <c r="K744" s="8"/>
      <c r="L744" s="8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N744" s="9"/>
      <c r="AO744" s="9"/>
      <c r="AP744" s="9"/>
      <c r="AQ744" s="9"/>
      <c r="AR744" s="9"/>
      <c r="AS744" s="9"/>
      <c r="AT744" s="9"/>
    </row>
    <row r="745" ht="17.25" customHeight="1" spans="1:46">
      <c r="A745" s="8"/>
      <c r="B745" s="8"/>
      <c r="C745" s="8"/>
      <c r="D745" s="8"/>
      <c r="E745" s="8"/>
      <c r="F745" s="8"/>
      <c r="G745" s="9"/>
      <c r="H745" s="8"/>
      <c r="I745" s="8"/>
      <c r="J745" s="8"/>
      <c r="K745" s="8"/>
      <c r="L745" s="8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N745" s="9"/>
      <c r="AO745" s="9"/>
      <c r="AP745" s="9"/>
      <c r="AQ745" s="9"/>
      <c r="AR745" s="9"/>
      <c r="AS745" s="9"/>
      <c r="AT745" s="9"/>
    </row>
    <row r="746" ht="17.25" customHeight="1" spans="1:46">
      <c r="A746" s="8"/>
      <c r="B746" s="8"/>
      <c r="C746" s="8"/>
      <c r="D746" s="8"/>
      <c r="E746" s="8"/>
      <c r="F746" s="8"/>
      <c r="G746" s="9"/>
      <c r="H746" s="8"/>
      <c r="I746" s="8"/>
      <c r="J746" s="8"/>
      <c r="K746" s="8"/>
      <c r="L746" s="8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N746" s="9"/>
      <c r="AO746" s="9"/>
      <c r="AP746" s="9"/>
      <c r="AQ746" s="9"/>
      <c r="AR746" s="9"/>
      <c r="AS746" s="9"/>
      <c r="AT746" s="9"/>
    </row>
    <row r="747" ht="17.25" customHeight="1" spans="1:46">
      <c r="A747" s="8"/>
      <c r="B747" s="8"/>
      <c r="C747" s="8"/>
      <c r="D747" s="8"/>
      <c r="E747" s="8"/>
      <c r="F747" s="8"/>
      <c r="G747" s="9"/>
      <c r="H747" s="8"/>
      <c r="I747" s="8"/>
      <c r="J747" s="8"/>
      <c r="K747" s="8"/>
      <c r="L747" s="8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N747" s="9"/>
      <c r="AO747" s="9"/>
      <c r="AP747" s="9"/>
      <c r="AQ747" s="9"/>
      <c r="AR747" s="9"/>
      <c r="AS747" s="9"/>
      <c r="AT747" s="9"/>
    </row>
    <row r="748" ht="17.25" customHeight="1" spans="1:46">
      <c r="A748" s="8"/>
      <c r="B748" s="8"/>
      <c r="C748" s="8"/>
      <c r="D748" s="8"/>
      <c r="E748" s="8"/>
      <c r="F748" s="8"/>
      <c r="G748" s="9"/>
      <c r="H748" s="8"/>
      <c r="I748" s="8"/>
      <c r="J748" s="8"/>
      <c r="K748" s="8"/>
      <c r="L748" s="8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N748" s="9"/>
      <c r="AO748" s="9"/>
      <c r="AP748" s="9"/>
      <c r="AQ748" s="9"/>
      <c r="AR748" s="9"/>
      <c r="AS748" s="9"/>
      <c r="AT748" s="9"/>
    </row>
    <row r="749" ht="17.25" customHeight="1" spans="1:46">
      <c r="A749" s="8"/>
      <c r="B749" s="8"/>
      <c r="C749" s="8"/>
      <c r="D749" s="8"/>
      <c r="E749" s="8"/>
      <c r="F749" s="8"/>
      <c r="G749" s="9"/>
      <c r="H749" s="8"/>
      <c r="I749" s="8"/>
      <c r="J749" s="8"/>
      <c r="K749" s="8"/>
      <c r="L749" s="8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N749" s="9"/>
      <c r="AO749" s="9"/>
      <c r="AP749" s="9"/>
      <c r="AQ749" s="9"/>
      <c r="AR749" s="9"/>
      <c r="AS749" s="9"/>
      <c r="AT749" s="9"/>
    </row>
    <row r="750" ht="17.25" customHeight="1" spans="1:46">
      <c r="A750" s="8"/>
      <c r="B750" s="8"/>
      <c r="C750" s="8"/>
      <c r="D750" s="8"/>
      <c r="E750" s="8"/>
      <c r="F750" s="8"/>
      <c r="G750" s="9"/>
      <c r="H750" s="8"/>
      <c r="I750" s="8"/>
      <c r="J750" s="8"/>
      <c r="K750" s="8"/>
      <c r="L750" s="8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N750" s="9"/>
      <c r="AO750" s="9"/>
      <c r="AP750" s="9"/>
      <c r="AQ750" s="9"/>
      <c r="AR750" s="9"/>
      <c r="AS750" s="9"/>
      <c r="AT750" s="9"/>
    </row>
    <row r="751" ht="17.25" customHeight="1" spans="1:46">
      <c r="A751" s="8"/>
      <c r="B751" s="8"/>
      <c r="C751" s="8"/>
      <c r="D751" s="8"/>
      <c r="E751" s="8"/>
      <c r="F751" s="8"/>
      <c r="G751" s="9"/>
      <c r="H751" s="8"/>
      <c r="I751" s="8"/>
      <c r="J751" s="8"/>
      <c r="K751" s="8"/>
      <c r="L751" s="8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N751" s="9"/>
      <c r="AO751" s="9"/>
      <c r="AP751" s="9"/>
      <c r="AQ751" s="9"/>
      <c r="AR751" s="9"/>
      <c r="AS751" s="9"/>
      <c r="AT751" s="9"/>
    </row>
    <row r="752" ht="17.25" customHeight="1" spans="1:46">
      <c r="A752" s="8"/>
      <c r="B752" s="8"/>
      <c r="C752" s="8"/>
      <c r="D752" s="8"/>
      <c r="E752" s="8"/>
      <c r="F752" s="8"/>
      <c r="G752" s="9"/>
      <c r="H752" s="8"/>
      <c r="I752" s="8"/>
      <c r="J752" s="8"/>
      <c r="K752" s="8"/>
      <c r="L752" s="8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N752" s="9"/>
      <c r="AO752" s="9"/>
      <c r="AP752" s="9"/>
      <c r="AQ752" s="9"/>
      <c r="AR752" s="9"/>
      <c r="AS752" s="9"/>
      <c r="AT752" s="9"/>
    </row>
    <row r="753" ht="17.25" customHeight="1" spans="1:46">
      <c r="A753" s="8"/>
      <c r="B753" s="8"/>
      <c r="C753" s="8"/>
      <c r="D753" s="8"/>
      <c r="E753" s="8"/>
      <c r="F753" s="8"/>
      <c r="G753" s="9"/>
      <c r="H753" s="8"/>
      <c r="I753" s="8"/>
      <c r="J753" s="8"/>
      <c r="K753" s="8"/>
      <c r="L753" s="8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N753" s="9"/>
      <c r="AO753" s="9"/>
      <c r="AP753" s="9"/>
      <c r="AQ753" s="9"/>
      <c r="AR753" s="9"/>
      <c r="AS753" s="9"/>
      <c r="AT753" s="9"/>
    </row>
    <row r="754" ht="17.25" customHeight="1" spans="1:46">
      <c r="A754" s="8"/>
      <c r="B754" s="8"/>
      <c r="C754" s="8"/>
      <c r="D754" s="8"/>
      <c r="E754" s="8"/>
      <c r="F754" s="8"/>
      <c r="G754" s="9"/>
      <c r="H754" s="8"/>
      <c r="I754" s="8"/>
      <c r="J754" s="8"/>
      <c r="K754" s="8"/>
      <c r="L754" s="8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N754" s="9"/>
      <c r="AO754" s="9"/>
      <c r="AP754" s="9"/>
      <c r="AQ754" s="9"/>
      <c r="AR754" s="9"/>
      <c r="AS754" s="9"/>
      <c r="AT754" s="9"/>
    </row>
    <row r="755" ht="17.25" customHeight="1" spans="1:46">
      <c r="A755" s="8"/>
      <c r="B755" s="8"/>
      <c r="C755" s="8"/>
      <c r="D755" s="8"/>
      <c r="E755" s="8"/>
      <c r="F755" s="8"/>
      <c r="G755" s="9"/>
      <c r="H755" s="8"/>
      <c r="I755" s="8"/>
      <c r="J755" s="8"/>
      <c r="K755" s="8"/>
      <c r="L755" s="8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N755" s="9"/>
      <c r="AO755" s="9"/>
      <c r="AP755" s="9"/>
      <c r="AQ755" s="9"/>
      <c r="AR755" s="9"/>
      <c r="AS755" s="9"/>
      <c r="AT755" s="9"/>
    </row>
    <row r="756" ht="17.25" customHeight="1" spans="1:46">
      <c r="A756" s="8"/>
      <c r="B756" s="8"/>
      <c r="C756" s="8"/>
      <c r="D756" s="8"/>
      <c r="E756" s="8"/>
      <c r="F756" s="8"/>
      <c r="G756" s="9"/>
      <c r="H756" s="8"/>
      <c r="I756" s="8"/>
      <c r="J756" s="8"/>
      <c r="K756" s="8"/>
      <c r="L756" s="8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N756" s="9"/>
      <c r="AO756" s="9"/>
      <c r="AP756" s="9"/>
      <c r="AQ756" s="9"/>
      <c r="AR756" s="9"/>
      <c r="AS756" s="9"/>
      <c r="AT756" s="9"/>
    </row>
    <row r="757" ht="17.25" customHeight="1" spans="1:46">
      <c r="A757" s="8"/>
      <c r="B757" s="8"/>
      <c r="C757" s="8"/>
      <c r="D757" s="8"/>
      <c r="E757" s="8"/>
      <c r="F757" s="8"/>
      <c r="G757" s="9"/>
      <c r="H757" s="8"/>
      <c r="I757" s="8"/>
      <c r="J757" s="8"/>
      <c r="K757" s="8"/>
      <c r="L757" s="8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N757" s="9"/>
      <c r="AO757" s="9"/>
      <c r="AP757" s="9"/>
      <c r="AQ757" s="9"/>
      <c r="AR757" s="9"/>
      <c r="AS757" s="9"/>
      <c r="AT757" s="9"/>
    </row>
    <row r="758" ht="17.25" customHeight="1" spans="1:46">
      <c r="A758" s="8"/>
      <c r="B758" s="8"/>
      <c r="C758" s="8"/>
      <c r="D758" s="8"/>
      <c r="E758" s="8"/>
      <c r="F758" s="8"/>
      <c r="G758" s="9"/>
      <c r="H758" s="8"/>
      <c r="I758" s="8"/>
      <c r="J758" s="8"/>
      <c r="K758" s="8"/>
      <c r="L758" s="8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N758" s="9"/>
      <c r="AO758" s="9"/>
      <c r="AP758" s="9"/>
      <c r="AQ758" s="9"/>
      <c r="AR758" s="9"/>
      <c r="AS758" s="9"/>
      <c r="AT758" s="9"/>
    </row>
    <row r="759" ht="17.25" customHeight="1" spans="1:46">
      <c r="A759" s="8"/>
      <c r="B759" s="8"/>
      <c r="C759" s="8"/>
      <c r="D759" s="8"/>
      <c r="E759" s="8"/>
      <c r="F759" s="8"/>
      <c r="G759" s="9"/>
      <c r="H759" s="8"/>
      <c r="I759" s="8"/>
      <c r="J759" s="8"/>
      <c r="K759" s="8"/>
      <c r="L759" s="8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N759" s="9"/>
      <c r="AO759" s="9"/>
      <c r="AP759" s="9"/>
      <c r="AQ759" s="9"/>
      <c r="AR759" s="9"/>
      <c r="AS759" s="9"/>
      <c r="AT759" s="9"/>
    </row>
    <row r="760" ht="17.25" customHeight="1" spans="1:46">
      <c r="A760" s="8"/>
      <c r="B760" s="8"/>
      <c r="C760" s="8"/>
      <c r="D760" s="8"/>
      <c r="E760" s="8"/>
      <c r="F760" s="8"/>
      <c r="G760" s="9"/>
      <c r="H760" s="8"/>
      <c r="I760" s="8"/>
      <c r="J760" s="8"/>
      <c r="K760" s="8"/>
      <c r="L760" s="8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N760" s="9"/>
      <c r="AO760" s="9"/>
      <c r="AP760" s="9"/>
      <c r="AQ760" s="9"/>
      <c r="AR760" s="9"/>
      <c r="AS760" s="9"/>
      <c r="AT760" s="9"/>
    </row>
    <row r="761" ht="17.25" customHeight="1" spans="1:46">
      <c r="A761" s="8"/>
      <c r="B761" s="8"/>
      <c r="C761" s="8"/>
      <c r="D761" s="8"/>
      <c r="E761" s="8"/>
      <c r="F761" s="8"/>
      <c r="G761" s="9"/>
      <c r="H761" s="8"/>
      <c r="I761" s="8"/>
      <c r="J761" s="8"/>
      <c r="K761" s="8"/>
      <c r="L761" s="8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N761" s="9"/>
      <c r="AO761" s="9"/>
      <c r="AP761" s="9"/>
      <c r="AQ761" s="9"/>
      <c r="AR761" s="9"/>
      <c r="AS761" s="9"/>
      <c r="AT761" s="9"/>
    </row>
    <row r="762" ht="17.25" customHeight="1" spans="1:46">
      <c r="A762" s="8"/>
      <c r="B762" s="8"/>
      <c r="C762" s="8"/>
      <c r="D762" s="8"/>
      <c r="E762" s="8"/>
      <c r="F762" s="8"/>
      <c r="G762" s="9"/>
      <c r="H762" s="8"/>
      <c r="I762" s="8"/>
      <c r="J762" s="8"/>
      <c r="K762" s="8"/>
      <c r="L762" s="8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N762" s="9"/>
      <c r="AO762" s="9"/>
      <c r="AP762" s="9"/>
      <c r="AQ762" s="9"/>
      <c r="AR762" s="9"/>
      <c r="AS762" s="9"/>
      <c r="AT762" s="9"/>
    </row>
    <row r="763" ht="17.25" customHeight="1" spans="1:46">
      <c r="A763" s="8"/>
      <c r="B763" s="8"/>
      <c r="C763" s="8"/>
      <c r="D763" s="8"/>
      <c r="E763" s="8"/>
      <c r="F763" s="8"/>
      <c r="G763" s="9"/>
      <c r="H763" s="8"/>
      <c r="I763" s="8"/>
      <c r="J763" s="8"/>
      <c r="K763" s="8"/>
      <c r="L763" s="8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N763" s="9"/>
      <c r="AO763" s="9"/>
      <c r="AP763" s="9"/>
      <c r="AQ763" s="9"/>
      <c r="AR763" s="9"/>
      <c r="AS763" s="9"/>
      <c r="AT763" s="9"/>
    </row>
    <row r="764" ht="17.25" customHeight="1" spans="1:46">
      <c r="A764" s="8"/>
      <c r="B764" s="8"/>
      <c r="C764" s="8"/>
      <c r="D764" s="8"/>
      <c r="E764" s="8"/>
      <c r="F764" s="8"/>
      <c r="G764" s="9"/>
      <c r="H764" s="8"/>
      <c r="I764" s="8"/>
      <c r="J764" s="8"/>
      <c r="K764" s="8"/>
      <c r="L764" s="8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N764" s="9"/>
      <c r="AO764" s="9"/>
      <c r="AP764" s="9"/>
      <c r="AQ764" s="9"/>
      <c r="AR764" s="9"/>
      <c r="AS764" s="9"/>
      <c r="AT764" s="9"/>
    </row>
    <row r="765" ht="17.25" customHeight="1" spans="1:46">
      <c r="A765" s="8"/>
      <c r="B765" s="8"/>
      <c r="C765" s="8"/>
      <c r="D765" s="8"/>
      <c r="E765" s="8"/>
      <c r="F765" s="8"/>
      <c r="G765" s="9"/>
      <c r="H765" s="8"/>
      <c r="I765" s="8"/>
      <c r="J765" s="8"/>
      <c r="K765" s="8"/>
      <c r="L765" s="8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N765" s="9"/>
      <c r="AO765" s="9"/>
      <c r="AP765" s="9"/>
      <c r="AQ765" s="9"/>
      <c r="AR765" s="9"/>
      <c r="AS765" s="9"/>
      <c r="AT765" s="9"/>
    </row>
    <row r="766" ht="17.25" customHeight="1" spans="1:46">
      <c r="A766" s="8"/>
      <c r="B766" s="8"/>
      <c r="C766" s="8"/>
      <c r="D766" s="8"/>
      <c r="E766" s="8"/>
      <c r="F766" s="8"/>
      <c r="G766" s="9"/>
      <c r="H766" s="8"/>
      <c r="I766" s="8"/>
      <c r="J766" s="8"/>
      <c r="K766" s="8"/>
      <c r="L766" s="8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N766" s="9"/>
      <c r="AO766" s="9"/>
      <c r="AP766" s="9"/>
      <c r="AQ766" s="9"/>
      <c r="AR766" s="9"/>
      <c r="AS766" s="9"/>
      <c r="AT766" s="9"/>
    </row>
    <row r="767" ht="17.25" customHeight="1" spans="1:46">
      <c r="A767" s="8"/>
      <c r="B767" s="8"/>
      <c r="C767" s="8"/>
      <c r="D767" s="8"/>
      <c r="E767" s="8"/>
      <c r="F767" s="8"/>
      <c r="G767" s="9"/>
      <c r="H767" s="8"/>
      <c r="I767" s="8"/>
      <c r="J767" s="8"/>
      <c r="K767" s="8"/>
      <c r="L767" s="8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N767" s="9"/>
      <c r="AO767" s="9"/>
      <c r="AP767" s="9"/>
      <c r="AQ767" s="9"/>
      <c r="AR767" s="9"/>
      <c r="AS767" s="9"/>
      <c r="AT767" s="9"/>
    </row>
    <row r="768" ht="17.25" customHeight="1" spans="1:46">
      <c r="A768" s="8"/>
      <c r="B768" s="8"/>
      <c r="C768" s="8"/>
      <c r="D768" s="8"/>
      <c r="E768" s="8"/>
      <c r="F768" s="8"/>
      <c r="G768" s="9"/>
      <c r="H768" s="8"/>
      <c r="I768" s="8"/>
      <c r="J768" s="8"/>
      <c r="K768" s="8"/>
      <c r="L768" s="8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N768" s="9"/>
      <c r="AO768" s="9"/>
      <c r="AP768" s="9"/>
      <c r="AQ768" s="9"/>
      <c r="AR768" s="9"/>
      <c r="AS768" s="9"/>
      <c r="AT768" s="9"/>
    </row>
    <row r="769" ht="17.25" customHeight="1" spans="1:46">
      <c r="A769" s="8"/>
      <c r="B769" s="8"/>
      <c r="C769" s="8"/>
      <c r="D769" s="8"/>
      <c r="E769" s="8"/>
      <c r="F769" s="8"/>
      <c r="G769" s="9"/>
      <c r="H769" s="8"/>
      <c r="I769" s="8"/>
      <c r="J769" s="8"/>
      <c r="K769" s="8"/>
      <c r="L769" s="8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N769" s="9"/>
      <c r="AO769" s="9"/>
      <c r="AP769" s="9"/>
      <c r="AQ769" s="9"/>
      <c r="AR769" s="9"/>
      <c r="AS769" s="9"/>
      <c r="AT769" s="9"/>
    </row>
    <row r="770" ht="17.25" customHeight="1" spans="1:46">
      <c r="A770" s="8"/>
      <c r="B770" s="8"/>
      <c r="C770" s="8"/>
      <c r="D770" s="8"/>
      <c r="E770" s="8"/>
      <c r="F770" s="8"/>
      <c r="G770" s="9"/>
      <c r="H770" s="8"/>
      <c r="I770" s="8"/>
      <c r="J770" s="8"/>
      <c r="K770" s="8"/>
      <c r="L770" s="8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N770" s="9"/>
      <c r="AO770" s="9"/>
      <c r="AP770" s="9"/>
      <c r="AQ770" s="9"/>
      <c r="AR770" s="9"/>
      <c r="AS770" s="9"/>
      <c r="AT770" s="9"/>
    </row>
    <row r="771" ht="17.25" customHeight="1" spans="1:46">
      <c r="A771" s="8"/>
      <c r="B771" s="8"/>
      <c r="C771" s="8"/>
      <c r="D771" s="8"/>
      <c r="E771" s="8"/>
      <c r="F771" s="8"/>
      <c r="G771" s="9"/>
      <c r="H771" s="8"/>
      <c r="I771" s="8"/>
      <c r="J771" s="8"/>
      <c r="K771" s="8"/>
      <c r="L771" s="8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N771" s="9"/>
      <c r="AO771" s="9"/>
      <c r="AP771" s="9"/>
      <c r="AQ771" s="9"/>
      <c r="AR771" s="9"/>
      <c r="AS771" s="9"/>
      <c r="AT771" s="9"/>
    </row>
    <row r="772" ht="17.25" customHeight="1" spans="1:46">
      <c r="A772" s="8"/>
      <c r="B772" s="8"/>
      <c r="C772" s="8"/>
      <c r="D772" s="8"/>
      <c r="E772" s="8"/>
      <c r="F772" s="8"/>
      <c r="G772" s="9"/>
      <c r="H772" s="8"/>
      <c r="I772" s="8"/>
      <c r="J772" s="8"/>
      <c r="K772" s="8"/>
      <c r="L772" s="8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N772" s="9"/>
      <c r="AO772" s="9"/>
      <c r="AP772" s="9"/>
      <c r="AQ772" s="9"/>
      <c r="AR772" s="9"/>
      <c r="AS772" s="9"/>
      <c r="AT772" s="9"/>
    </row>
    <row r="773" ht="17.25" customHeight="1" spans="1:46">
      <c r="A773" s="8"/>
      <c r="B773" s="8"/>
      <c r="C773" s="8"/>
      <c r="D773" s="8"/>
      <c r="E773" s="8"/>
      <c r="F773" s="8"/>
      <c r="G773" s="9"/>
      <c r="H773" s="8"/>
      <c r="I773" s="8"/>
      <c r="J773" s="8"/>
      <c r="K773" s="8"/>
      <c r="L773" s="8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N773" s="9"/>
      <c r="AO773" s="9"/>
      <c r="AP773" s="9"/>
      <c r="AQ773" s="9"/>
      <c r="AR773" s="9"/>
      <c r="AS773" s="9"/>
      <c r="AT773" s="9"/>
    </row>
    <row r="774" ht="17.25" customHeight="1" spans="1:46">
      <c r="A774" s="8"/>
      <c r="B774" s="8"/>
      <c r="C774" s="8"/>
      <c r="D774" s="8"/>
      <c r="E774" s="8"/>
      <c r="F774" s="8"/>
      <c r="G774" s="9"/>
      <c r="H774" s="8"/>
      <c r="I774" s="8"/>
      <c r="J774" s="8"/>
      <c r="K774" s="8"/>
      <c r="L774" s="8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N774" s="9"/>
      <c r="AO774" s="9"/>
      <c r="AP774" s="9"/>
      <c r="AQ774" s="9"/>
      <c r="AR774" s="9"/>
      <c r="AS774" s="9"/>
      <c r="AT774" s="9"/>
    </row>
    <row r="775" ht="17.25" customHeight="1" spans="1:46">
      <c r="A775" s="8"/>
      <c r="B775" s="8"/>
      <c r="C775" s="8"/>
      <c r="D775" s="8"/>
      <c r="E775" s="8"/>
      <c r="F775" s="8"/>
      <c r="G775" s="9"/>
      <c r="H775" s="8"/>
      <c r="I775" s="8"/>
      <c r="J775" s="8"/>
      <c r="K775" s="8"/>
      <c r="L775" s="8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N775" s="9"/>
      <c r="AO775" s="9"/>
      <c r="AP775" s="9"/>
      <c r="AQ775" s="9"/>
      <c r="AR775" s="9"/>
      <c r="AS775" s="9"/>
      <c r="AT775" s="9"/>
    </row>
    <row r="776" ht="17.25" customHeight="1" spans="1:46">
      <c r="A776" s="8"/>
      <c r="B776" s="8"/>
      <c r="C776" s="8"/>
      <c r="D776" s="8"/>
      <c r="E776" s="8"/>
      <c r="F776" s="8"/>
      <c r="G776" s="9"/>
      <c r="H776" s="8"/>
      <c r="I776" s="8"/>
      <c r="J776" s="8"/>
      <c r="K776" s="8"/>
      <c r="L776" s="8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N776" s="9"/>
      <c r="AO776" s="9"/>
      <c r="AP776" s="9"/>
      <c r="AQ776" s="9"/>
      <c r="AR776" s="9"/>
      <c r="AS776" s="9"/>
      <c r="AT776" s="9"/>
    </row>
    <row r="777" ht="17.25" customHeight="1" spans="1:46">
      <c r="A777" s="8"/>
      <c r="B777" s="8"/>
      <c r="C777" s="8"/>
      <c r="D777" s="8"/>
      <c r="E777" s="8"/>
      <c r="F777" s="8"/>
      <c r="G777" s="9"/>
      <c r="H777" s="8"/>
      <c r="I777" s="8"/>
      <c r="J777" s="8"/>
      <c r="K777" s="8"/>
      <c r="L777" s="8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N777" s="9"/>
      <c r="AO777" s="9"/>
      <c r="AP777" s="9"/>
      <c r="AQ777" s="9"/>
      <c r="AR777" s="9"/>
      <c r="AS777" s="9"/>
      <c r="AT777" s="9"/>
    </row>
    <row r="778" ht="17.25" customHeight="1" spans="1:46">
      <c r="A778" s="8"/>
      <c r="B778" s="8"/>
      <c r="C778" s="8"/>
      <c r="D778" s="8"/>
      <c r="E778" s="8"/>
      <c r="F778" s="8"/>
      <c r="G778" s="9"/>
      <c r="H778" s="8"/>
      <c r="I778" s="8"/>
      <c r="J778" s="8"/>
      <c r="K778" s="8"/>
      <c r="L778" s="8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N778" s="9"/>
      <c r="AO778" s="9"/>
      <c r="AP778" s="9"/>
      <c r="AQ778" s="9"/>
      <c r="AR778" s="9"/>
      <c r="AS778" s="9"/>
      <c r="AT778" s="9"/>
    </row>
    <row r="779" ht="17.25" customHeight="1" spans="1:46">
      <c r="A779" s="8"/>
      <c r="B779" s="8"/>
      <c r="C779" s="8"/>
      <c r="D779" s="8"/>
      <c r="E779" s="8"/>
      <c r="F779" s="8"/>
      <c r="G779" s="9"/>
      <c r="H779" s="8"/>
      <c r="I779" s="8"/>
      <c r="J779" s="8"/>
      <c r="K779" s="8"/>
      <c r="L779" s="8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N779" s="9"/>
      <c r="AO779" s="9"/>
      <c r="AP779" s="9"/>
      <c r="AQ779" s="9"/>
      <c r="AR779" s="9"/>
      <c r="AS779" s="9"/>
      <c r="AT779" s="9"/>
    </row>
    <row r="780" ht="17.25" customHeight="1" spans="1:46">
      <c r="A780" s="8"/>
      <c r="B780" s="8"/>
      <c r="C780" s="8"/>
      <c r="D780" s="8"/>
      <c r="E780" s="8"/>
      <c r="F780" s="8"/>
      <c r="G780" s="9"/>
      <c r="H780" s="8"/>
      <c r="I780" s="8"/>
      <c r="J780" s="8"/>
      <c r="K780" s="8"/>
      <c r="L780" s="8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N780" s="9"/>
      <c r="AO780" s="9"/>
      <c r="AP780" s="9"/>
      <c r="AQ780" s="9"/>
      <c r="AR780" s="9"/>
      <c r="AS780" s="9"/>
      <c r="AT780" s="9"/>
    </row>
    <row r="781" ht="17.25" customHeight="1" spans="1:46">
      <c r="A781" s="8"/>
      <c r="B781" s="8"/>
      <c r="C781" s="8"/>
      <c r="D781" s="8"/>
      <c r="E781" s="8"/>
      <c r="F781" s="8"/>
      <c r="G781" s="9"/>
      <c r="H781" s="8"/>
      <c r="I781" s="8"/>
      <c r="J781" s="8"/>
      <c r="K781" s="8"/>
      <c r="L781" s="8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N781" s="9"/>
      <c r="AO781" s="9"/>
      <c r="AP781" s="9"/>
      <c r="AQ781" s="9"/>
      <c r="AR781" s="9"/>
      <c r="AS781" s="9"/>
      <c r="AT781" s="9"/>
    </row>
    <row r="782" ht="17.25" customHeight="1" spans="1:46">
      <c r="A782" s="8"/>
      <c r="B782" s="8"/>
      <c r="C782" s="8"/>
      <c r="D782" s="8"/>
      <c r="E782" s="8"/>
      <c r="F782" s="8"/>
      <c r="G782" s="9"/>
      <c r="H782" s="8"/>
      <c r="I782" s="8"/>
      <c r="J782" s="8"/>
      <c r="K782" s="8"/>
      <c r="L782" s="8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N782" s="9"/>
      <c r="AO782" s="9"/>
      <c r="AP782" s="9"/>
      <c r="AQ782" s="9"/>
      <c r="AR782" s="9"/>
      <c r="AS782" s="9"/>
      <c r="AT782" s="9"/>
    </row>
    <row r="783" ht="17.25" customHeight="1" spans="1:46">
      <c r="A783" s="8"/>
      <c r="B783" s="8"/>
      <c r="C783" s="8"/>
      <c r="D783" s="8"/>
      <c r="E783" s="8"/>
      <c r="F783" s="8"/>
      <c r="G783" s="9"/>
      <c r="H783" s="8"/>
      <c r="I783" s="8"/>
      <c r="J783" s="8"/>
      <c r="K783" s="8"/>
      <c r="L783" s="8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N783" s="9"/>
      <c r="AO783" s="9"/>
      <c r="AP783" s="9"/>
      <c r="AQ783" s="9"/>
      <c r="AR783" s="9"/>
      <c r="AS783" s="9"/>
      <c r="AT783" s="9"/>
    </row>
    <row r="784" ht="17.25" customHeight="1" spans="1:46">
      <c r="A784" s="8"/>
      <c r="B784" s="8"/>
      <c r="C784" s="8"/>
      <c r="D784" s="8"/>
      <c r="E784" s="8"/>
      <c r="F784" s="8"/>
      <c r="G784" s="9"/>
      <c r="H784" s="8"/>
      <c r="I784" s="8"/>
      <c r="J784" s="8"/>
      <c r="K784" s="8"/>
      <c r="L784" s="8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N784" s="9"/>
      <c r="AO784" s="9"/>
      <c r="AP784" s="9"/>
      <c r="AQ784" s="9"/>
      <c r="AR784" s="9"/>
      <c r="AS784" s="9"/>
      <c r="AT784" s="9"/>
    </row>
    <row r="785" ht="17.25" customHeight="1" spans="1:46">
      <c r="A785" s="8"/>
      <c r="B785" s="8"/>
      <c r="C785" s="8"/>
      <c r="D785" s="8"/>
      <c r="E785" s="8"/>
      <c r="F785" s="8"/>
      <c r="G785" s="9"/>
      <c r="H785" s="8"/>
      <c r="I785" s="8"/>
      <c r="J785" s="8"/>
      <c r="K785" s="8"/>
      <c r="L785" s="8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N785" s="9"/>
      <c r="AO785" s="9"/>
      <c r="AP785" s="9"/>
      <c r="AQ785" s="9"/>
      <c r="AR785" s="9"/>
      <c r="AS785" s="9"/>
      <c r="AT785" s="9"/>
    </row>
    <row r="786" ht="17.25" customHeight="1" spans="1:46">
      <c r="A786" s="8"/>
      <c r="B786" s="8"/>
      <c r="C786" s="8"/>
      <c r="D786" s="8"/>
      <c r="E786" s="8"/>
      <c r="F786" s="8"/>
      <c r="G786" s="9"/>
      <c r="H786" s="8"/>
      <c r="I786" s="8"/>
      <c r="J786" s="8"/>
      <c r="K786" s="8"/>
      <c r="L786" s="8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N786" s="9"/>
      <c r="AO786" s="9"/>
      <c r="AP786" s="9"/>
      <c r="AQ786" s="9"/>
      <c r="AR786" s="9"/>
      <c r="AS786" s="9"/>
      <c r="AT786" s="9"/>
    </row>
    <row r="787" ht="17.25" customHeight="1" spans="1:46">
      <c r="A787" s="8"/>
      <c r="B787" s="8"/>
      <c r="C787" s="8"/>
      <c r="D787" s="8"/>
      <c r="E787" s="8"/>
      <c r="F787" s="8"/>
      <c r="G787" s="9"/>
      <c r="H787" s="8"/>
      <c r="I787" s="8"/>
      <c r="J787" s="8"/>
      <c r="K787" s="8"/>
      <c r="L787" s="8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N787" s="9"/>
      <c r="AO787" s="9"/>
      <c r="AP787" s="9"/>
      <c r="AQ787" s="9"/>
      <c r="AR787" s="9"/>
      <c r="AS787" s="9"/>
      <c r="AT787" s="9"/>
    </row>
    <row r="788" ht="17.25" customHeight="1" spans="1:46">
      <c r="A788" s="8"/>
      <c r="B788" s="8"/>
      <c r="C788" s="8"/>
      <c r="D788" s="8"/>
      <c r="E788" s="8"/>
      <c r="F788" s="8"/>
      <c r="G788" s="9"/>
      <c r="H788" s="8"/>
      <c r="I788" s="8"/>
      <c r="J788" s="8"/>
      <c r="K788" s="8"/>
      <c r="L788" s="8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N788" s="9"/>
      <c r="AO788" s="9"/>
      <c r="AP788" s="9"/>
      <c r="AQ788" s="9"/>
      <c r="AR788" s="9"/>
      <c r="AS788" s="9"/>
      <c r="AT788" s="9"/>
    </row>
    <row r="789" ht="17.25" customHeight="1" spans="1:46">
      <c r="A789" s="8"/>
      <c r="B789" s="8"/>
      <c r="C789" s="8"/>
      <c r="D789" s="8"/>
      <c r="E789" s="8"/>
      <c r="F789" s="8"/>
      <c r="G789" s="9"/>
      <c r="H789" s="8"/>
      <c r="I789" s="8"/>
      <c r="J789" s="8"/>
      <c r="K789" s="8"/>
      <c r="L789" s="8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N789" s="9"/>
      <c r="AO789" s="9"/>
      <c r="AP789" s="9"/>
      <c r="AQ789" s="9"/>
      <c r="AR789" s="9"/>
      <c r="AS789" s="9"/>
      <c r="AT789" s="9"/>
    </row>
    <row r="790" ht="17.25" customHeight="1" spans="1:46">
      <c r="A790" s="8"/>
      <c r="B790" s="8"/>
      <c r="C790" s="8"/>
      <c r="D790" s="8"/>
      <c r="E790" s="8"/>
      <c r="F790" s="8"/>
      <c r="G790" s="9"/>
      <c r="H790" s="8"/>
      <c r="I790" s="8"/>
      <c r="J790" s="8"/>
      <c r="K790" s="8"/>
      <c r="L790" s="8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N790" s="9"/>
      <c r="AO790" s="9"/>
      <c r="AP790" s="9"/>
      <c r="AQ790" s="9"/>
      <c r="AR790" s="9"/>
      <c r="AS790" s="9"/>
      <c r="AT790" s="9"/>
    </row>
    <row r="791" ht="17.25" customHeight="1" spans="1:46">
      <c r="A791" s="8"/>
      <c r="B791" s="8"/>
      <c r="C791" s="8"/>
      <c r="D791" s="8"/>
      <c r="E791" s="8"/>
      <c r="F791" s="8"/>
      <c r="G791" s="9"/>
      <c r="H791" s="8"/>
      <c r="I791" s="8"/>
      <c r="J791" s="8"/>
      <c r="K791" s="8"/>
      <c r="L791" s="8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N791" s="9"/>
      <c r="AO791" s="9"/>
      <c r="AP791" s="9"/>
      <c r="AQ791" s="9"/>
      <c r="AR791" s="9"/>
      <c r="AS791" s="9"/>
      <c r="AT791" s="9"/>
    </row>
    <row r="792" ht="17.25" customHeight="1" spans="1:46">
      <c r="A792" s="8"/>
      <c r="B792" s="8"/>
      <c r="C792" s="8"/>
      <c r="D792" s="8"/>
      <c r="E792" s="8"/>
      <c r="F792" s="8"/>
      <c r="G792" s="9"/>
      <c r="H792" s="8"/>
      <c r="I792" s="8"/>
      <c r="J792" s="8"/>
      <c r="K792" s="8"/>
      <c r="L792" s="8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N792" s="9"/>
      <c r="AO792" s="9"/>
      <c r="AP792" s="9"/>
      <c r="AQ792" s="9"/>
      <c r="AR792" s="9"/>
      <c r="AS792" s="9"/>
      <c r="AT792" s="9"/>
    </row>
    <row r="793" ht="17.25" customHeight="1" spans="1:46">
      <c r="A793" s="8"/>
      <c r="B793" s="8"/>
      <c r="C793" s="8"/>
      <c r="D793" s="8"/>
      <c r="E793" s="8"/>
      <c r="F793" s="8"/>
      <c r="G793" s="9"/>
      <c r="H793" s="8"/>
      <c r="I793" s="8"/>
      <c r="J793" s="8"/>
      <c r="K793" s="8"/>
      <c r="L793" s="8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N793" s="9"/>
      <c r="AO793" s="9"/>
      <c r="AP793" s="9"/>
      <c r="AQ793" s="9"/>
      <c r="AR793" s="9"/>
      <c r="AS793" s="9"/>
      <c r="AT793" s="9"/>
    </row>
    <row r="794" ht="17.25" customHeight="1" spans="1:46">
      <c r="A794" s="8"/>
      <c r="B794" s="8"/>
      <c r="C794" s="8"/>
      <c r="D794" s="8"/>
      <c r="E794" s="8"/>
      <c r="F794" s="8"/>
      <c r="G794" s="9"/>
      <c r="H794" s="8"/>
      <c r="I794" s="8"/>
      <c r="J794" s="8"/>
      <c r="K794" s="8"/>
      <c r="L794" s="8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N794" s="9"/>
      <c r="AO794" s="9"/>
      <c r="AP794" s="9"/>
      <c r="AQ794" s="9"/>
      <c r="AR794" s="9"/>
      <c r="AS794" s="9"/>
      <c r="AT794" s="9"/>
    </row>
    <row r="795" ht="17.25" customHeight="1" spans="1:46">
      <c r="A795" s="8"/>
      <c r="B795" s="8"/>
      <c r="C795" s="8"/>
      <c r="D795" s="8"/>
      <c r="E795" s="8"/>
      <c r="F795" s="8"/>
      <c r="G795" s="9"/>
      <c r="H795" s="8"/>
      <c r="I795" s="8"/>
      <c r="J795" s="8"/>
      <c r="K795" s="8"/>
      <c r="L795" s="8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N795" s="9"/>
      <c r="AO795" s="9"/>
      <c r="AP795" s="9"/>
      <c r="AQ795" s="9"/>
      <c r="AR795" s="9"/>
      <c r="AS795" s="9"/>
      <c r="AT795" s="9"/>
    </row>
    <row r="796" ht="17.25" customHeight="1" spans="1:46">
      <c r="A796" s="8"/>
      <c r="B796" s="8"/>
      <c r="C796" s="8"/>
      <c r="D796" s="8"/>
      <c r="E796" s="8"/>
      <c r="F796" s="8"/>
      <c r="G796" s="9"/>
      <c r="H796" s="8"/>
      <c r="I796" s="8"/>
      <c r="J796" s="8"/>
      <c r="K796" s="8"/>
      <c r="L796" s="8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N796" s="9"/>
      <c r="AO796" s="9"/>
      <c r="AP796" s="9"/>
      <c r="AQ796" s="9"/>
      <c r="AR796" s="9"/>
      <c r="AS796" s="9"/>
      <c r="AT796" s="9"/>
    </row>
    <row r="797" ht="17.25" customHeight="1" spans="1:46">
      <c r="A797" s="8"/>
      <c r="B797" s="8"/>
      <c r="C797" s="8"/>
      <c r="D797" s="8"/>
      <c r="E797" s="8"/>
      <c r="F797" s="8"/>
      <c r="G797" s="9"/>
      <c r="H797" s="8"/>
      <c r="I797" s="8"/>
      <c r="J797" s="8"/>
      <c r="K797" s="8"/>
      <c r="L797" s="8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N797" s="9"/>
      <c r="AO797" s="9"/>
      <c r="AP797" s="9"/>
      <c r="AQ797" s="9"/>
      <c r="AR797" s="9"/>
      <c r="AS797" s="9"/>
      <c r="AT797" s="9"/>
    </row>
    <row r="798" ht="17.25" customHeight="1" spans="1:46">
      <c r="A798" s="8"/>
      <c r="B798" s="8"/>
      <c r="C798" s="8"/>
      <c r="D798" s="8"/>
      <c r="E798" s="8"/>
      <c r="F798" s="8"/>
      <c r="G798" s="9"/>
      <c r="H798" s="8"/>
      <c r="I798" s="8"/>
      <c r="J798" s="8"/>
      <c r="K798" s="8"/>
      <c r="L798" s="8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N798" s="9"/>
      <c r="AO798" s="9"/>
      <c r="AP798" s="9"/>
      <c r="AQ798" s="9"/>
      <c r="AR798" s="9"/>
      <c r="AS798" s="9"/>
      <c r="AT798" s="9"/>
    </row>
    <row r="799" ht="17.25" customHeight="1" spans="1:46">
      <c r="A799" s="8"/>
      <c r="B799" s="8"/>
      <c r="C799" s="8"/>
      <c r="D799" s="8"/>
      <c r="E799" s="8"/>
      <c r="F799" s="8"/>
      <c r="G799" s="9"/>
      <c r="H799" s="8"/>
      <c r="I799" s="8"/>
      <c r="J799" s="8"/>
      <c r="K799" s="8"/>
      <c r="L799" s="8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N799" s="9"/>
      <c r="AO799" s="9"/>
      <c r="AP799" s="9"/>
      <c r="AQ799" s="9"/>
      <c r="AR799" s="9"/>
      <c r="AS799" s="9"/>
      <c r="AT799" s="9"/>
    </row>
    <row r="800" ht="17.25" customHeight="1" spans="1:46">
      <c r="A800" s="8"/>
      <c r="B800" s="8"/>
      <c r="C800" s="8"/>
      <c r="D800" s="8"/>
      <c r="E800" s="8"/>
      <c r="F800" s="8"/>
      <c r="G800" s="9"/>
      <c r="H800" s="8"/>
      <c r="I800" s="8"/>
      <c r="J800" s="8"/>
      <c r="K800" s="8"/>
      <c r="L800" s="8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N800" s="9"/>
      <c r="AO800" s="9"/>
      <c r="AP800" s="9"/>
      <c r="AQ800" s="9"/>
      <c r="AR800" s="9"/>
      <c r="AS800" s="9"/>
      <c r="AT800" s="9"/>
    </row>
    <row r="801" ht="17.25" customHeight="1" spans="1:46">
      <c r="A801" s="8"/>
      <c r="B801" s="8"/>
      <c r="C801" s="8"/>
      <c r="D801" s="8"/>
      <c r="E801" s="8"/>
      <c r="F801" s="8"/>
      <c r="G801" s="9"/>
      <c r="H801" s="8"/>
      <c r="I801" s="8"/>
      <c r="J801" s="8"/>
      <c r="K801" s="8"/>
      <c r="L801" s="8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N801" s="9"/>
      <c r="AO801" s="9"/>
      <c r="AP801" s="9"/>
      <c r="AQ801" s="9"/>
      <c r="AR801" s="9"/>
      <c r="AS801" s="9"/>
      <c r="AT801" s="9"/>
    </row>
    <row r="802" ht="17.25" customHeight="1" spans="1:46">
      <c r="A802" s="8"/>
      <c r="B802" s="8"/>
      <c r="C802" s="8"/>
      <c r="D802" s="8"/>
      <c r="E802" s="8"/>
      <c r="F802" s="8"/>
      <c r="G802" s="9"/>
      <c r="H802" s="8"/>
      <c r="I802" s="8"/>
      <c r="J802" s="8"/>
      <c r="K802" s="8"/>
      <c r="L802" s="8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N802" s="9"/>
      <c r="AO802" s="9"/>
      <c r="AP802" s="9"/>
      <c r="AQ802" s="9"/>
      <c r="AR802" s="9"/>
      <c r="AS802" s="9"/>
      <c r="AT802" s="9"/>
    </row>
    <row r="803" ht="17.25" customHeight="1" spans="1:46">
      <c r="A803" s="8"/>
      <c r="B803" s="8"/>
      <c r="C803" s="8"/>
      <c r="D803" s="8"/>
      <c r="E803" s="8"/>
      <c r="F803" s="8"/>
      <c r="G803" s="9"/>
      <c r="H803" s="8"/>
      <c r="I803" s="8"/>
      <c r="J803" s="8"/>
      <c r="K803" s="8"/>
      <c r="L803" s="8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N803" s="9"/>
      <c r="AO803" s="9"/>
      <c r="AP803" s="9"/>
      <c r="AQ803" s="9"/>
      <c r="AR803" s="9"/>
      <c r="AS803" s="9"/>
      <c r="AT803" s="9"/>
    </row>
    <row r="804" ht="17.25" customHeight="1" spans="1:46">
      <c r="A804" s="8"/>
      <c r="B804" s="8"/>
      <c r="C804" s="8"/>
      <c r="D804" s="8"/>
      <c r="E804" s="8"/>
      <c r="F804" s="8"/>
      <c r="G804" s="9"/>
      <c r="H804" s="8"/>
      <c r="I804" s="8"/>
      <c r="J804" s="8"/>
      <c r="K804" s="8"/>
      <c r="L804" s="8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N804" s="9"/>
      <c r="AO804" s="9"/>
      <c r="AP804" s="9"/>
      <c r="AQ804" s="9"/>
      <c r="AR804" s="9"/>
      <c r="AS804" s="9"/>
      <c r="AT804" s="9"/>
    </row>
    <row r="805" ht="17.25" customHeight="1" spans="1:46">
      <c r="A805" s="8"/>
      <c r="B805" s="8"/>
      <c r="C805" s="8"/>
      <c r="D805" s="8"/>
      <c r="E805" s="8"/>
      <c r="F805" s="8"/>
      <c r="G805" s="9"/>
      <c r="H805" s="8"/>
      <c r="I805" s="8"/>
      <c r="J805" s="8"/>
      <c r="K805" s="8"/>
      <c r="L805" s="8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N805" s="9"/>
      <c r="AO805" s="9"/>
      <c r="AP805" s="9"/>
      <c r="AQ805" s="9"/>
      <c r="AR805" s="9"/>
      <c r="AS805" s="9"/>
      <c r="AT805" s="9"/>
    </row>
    <row r="806" ht="17.25" customHeight="1" spans="1:46">
      <c r="A806" s="8"/>
      <c r="B806" s="8"/>
      <c r="C806" s="8"/>
      <c r="D806" s="8"/>
      <c r="E806" s="8"/>
      <c r="F806" s="8"/>
      <c r="G806" s="9"/>
      <c r="H806" s="8"/>
      <c r="I806" s="8"/>
      <c r="J806" s="8"/>
      <c r="K806" s="8"/>
      <c r="L806" s="8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N806" s="9"/>
      <c r="AO806" s="9"/>
      <c r="AP806" s="9"/>
      <c r="AQ806" s="9"/>
      <c r="AR806" s="9"/>
      <c r="AS806" s="9"/>
      <c r="AT806" s="9"/>
    </row>
    <row r="807" ht="17.25" customHeight="1" spans="1:46">
      <c r="A807" s="8"/>
      <c r="B807" s="8"/>
      <c r="C807" s="8"/>
      <c r="D807" s="8"/>
      <c r="E807" s="8"/>
      <c r="F807" s="8"/>
      <c r="G807" s="9"/>
      <c r="H807" s="8"/>
      <c r="I807" s="8"/>
      <c r="J807" s="8"/>
      <c r="K807" s="8"/>
      <c r="L807" s="8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N807" s="9"/>
      <c r="AO807" s="9"/>
      <c r="AP807" s="9"/>
      <c r="AQ807" s="9"/>
      <c r="AR807" s="9"/>
      <c r="AS807" s="9"/>
      <c r="AT807" s="9"/>
    </row>
    <row r="808" ht="17.25" customHeight="1" spans="1:46">
      <c r="A808" s="8"/>
      <c r="B808" s="8"/>
      <c r="C808" s="8"/>
      <c r="D808" s="8"/>
      <c r="E808" s="8"/>
      <c r="F808" s="8"/>
      <c r="G808" s="9"/>
      <c r="H808" s="8"/>
      <c r="I808" s="8"/>
      <c r="J808" s="8"/>
      <c r="K808" s="8"/>
      <c r="L808" s="8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N808" s="9"/>
      <c r="AO808" s="9"/>
      <c r="AP808" s="9"/>
      <c r="AQ808" s="9"/>
      <c r="AR808" s="9"/>
      <c r="AS808" s="9"/>
      <c r="AT808" s="9"/>
    </row>
    <row r="809" ht="17.25" customHeight="1" spans="1:46">
      <c r="A809" s="8"/>
      <c r="B809" s="8"/>
      <c r="C809" s="8"/>
      <c r="D809" s="8"/>
      <c r="E809" s="8"/>
      <c r="F809" s="8"/>
      <c r="G809" s="9"/>
      <c r="H809" s="8"/>
      <c r="I809" s="8"/>
      <c r="J809" s="8"/>
      <c r="K809" s="8"/>
      <c r="L809" s="8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N809" s="9"/>
      <c r="AO809" s="9"/>
      <c r="AP809" s="9"/>
      <c r="AQ809" s="9"/>
      <c r="AR809" s="9"/>
      <c r="AS809" s="9"/>
      <c r="AT809" s="9"/>
    </row>
    <row r="810" ht="17.25" customHeight="1" spans="1:46">
      <c r="A810" s="8"/>
      <c r="B810" s="8"/>
      <c r="C810" s="8"/>
      <c r="D810" s="8"/>
      <c r="E810" s="8"/>
      <c r="F810" s="8"/>
      <c r="G810" s="9"/>
      <c r="H810" s="8"/>
      <c r="I810" s="8"/>
      <c r="J810" s="8"/>
      <c r="K810" s="8"/>
      <c r="L810" s="8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N810" s="9"/>
      <c r="AO810" s="9"/>
      <c r="AP810" s="9"/>
      <c r="AQ810" s="9"/>
      <c r="AR810" s="9"/>
      <c r="AS810" s="9"/>
      <c r="AT810" s="9"/>
    </row>
    <row r="811" ht="17.25" customHeight="1" spans="1:46">
      <c r="A811" s="8"/>
      <c r="B811" s="8"/>
      <c r="C811" s="8"/>
      <c r="D811" s="8"/>
      <c r="E811" s="8"/>
      <c r="F811" s="8"/>
      <c r="G811" s="9"/>
      <c r="H811" s="8"/>
      <c r="I811" s="8"/>
      <c r="J811" s="8"/>
      <c r="K811" s="8"/>
      <c r="L811" s="8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N811" s="9"/>
      <c r="AO811" s="9"/>
      <c r="AP811" s="9"/>
      <c r="AQ811" s="9"/>
      <c r="AR811" s="9"/>
      <c r="AS811" s="9"/>
      <c r="AT811" s="9"/>
    </row>
    <row r="812" ht="17.25" customHeight="1" spans="1:46">
      <c r="A812" s="8"/>
      <c r="B812" s="8"/>
      <c r="C812" s="8"/>
      <c r="D812" s="8"/>
      <c r="E812" s="8"/>
      <c r="F812" s="8"/>
      <c r="G812" s="9"/>
      <c r="H812" s="8"/>
      <c r="I812" s="8"/>
      <c r="J812" s="8"/>
      <c r="K812" s="8"/>
      <c r="L812" s="8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N812" s="9"/>
      <c r="AO812" s="9"/>
      <c r="AP812" s="9"/>
      <c r="AQ812" s="9"/>
      <c r="AR812" s="9"/>
      <c r="AS812" s="9"/>
      <c r="AT812" s="9"/>
    </row>
    <row r="813" ht="17.25" customHeight="1" spans="1:46">
      <c r="A813" s="8"/>
      <c r="B813" s="8"/>
      <c r="C813" s="8"/>
      <c r="D813" s="8"/>
      <c r="E813" s="8"/>
      <c r="F813" s="8"/>
      <c r="G813" s="9"/>
      <c r="H813" s="8"/>
      <c r="I813" s="8"/>
      <c r="J813" s="8"/>
      <c r="K813" s="8"/>
      <c r="L813" s="8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N813" s="9"/>
      <c r="AO813" s="9"/>
      <c r="AP813" s="9"/>
      <c r="AQ813" s="9"/>
      <c r="AR813" s="9"/>
      <c r="AS813" s="9"/>
      <c r="AT813" s="9"/>
    </row>
    <row r="814" ht="17.25" customHeight="1" spans="1:46">
      <c r="A814" s="8"/>
      <c r="B814" s="8"/>
      <c r="C814" s="8"/>
      <c r="D814" s="8"/>
      <c r="E814" s="8"/>
      <c r="F814" s="8"/>
      <c r="G814" s="9"/>
      <c r="H814" s="8"/>
      <c r="I814" s="8"/>
      <c r="J814" s="8"/>
      <c r="K814" s="8"/>
      <c r="L814" s="8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N814" s="9"/>
      <c r="AO814" s="9"/>
      <c r="AP814" s="9"/>
      <c r="AQ814" s="9"/>
      <c r="AR814" s="9"/>
      <c r="AS814" s="9"/>
      <c r="AT814" s="9"/>
    </row>
    <row r="815" ht="17.25" customHeight="1" spans="1:46">
      <c r="A815" s="8"/>
      <c r="B815" s="8"/>
      <c r="C815" s="8"/>
      <c r="D815" s="8"/>
      <c r="E815" s="8"/>
      <c r="F815" s="8"/>
      <c r="G815" s="9"/>
      <c r="H815" s="8"/>
      <c r="I815" s="8"/>
      <c r="J815" s="8"/>
      <c r="K815" s="8"/>
      <c r="L815" s="8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N815" s="9"/>
      <c r="AO815" s="9"/>
      <c r="AP815" s="9"/>
      <c r="AQ815" s="9"/>
      <c r="AR815" s="9"/>
      <c r="AS815" s="9"/>
      <c r="AT815" s="9"/>
    </row>
    <row r="816" ht="17.25" customHeight="1" spans="1:46">
      <c r="A816" s="8"/>
      <c r="B816" s="8"/>
      <c r="C816" s="8"/>
      <c r="D816" s="8"/>
      <c r="E816" s="8"/>
      <c r="F816" s="8"/>
      <c r="G816" s="9"/>
      <c r="H816" s="8"/>
      <c r="I816" s="8"/>
      <c r="J816" s="8"/>
      <c r="K816" s="8"/>
      <c r="L816" s="8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N816" s="9"/>
      <c r="AO816" s="9"/>
      <c r="AP816" s="9"/>
      <c r="AQ816" s="9"/>
      <c r="AR816" s="9"/>
      <c r="AS816" s="9"/>
      <c r="AT816" s="9"/>
    </row>
    <row r="817" ht="17.25" customHeight="1" spans="1:46">
      <c r="A817" s="8"/>
      <c r="B817" s="8"/>
      <c r="C817" s="8"/>
      <c r="D817" s="8"/>
      <c r="E817" s="8"/>
      <c r="F817" s="8"/>
      <c r="G817" s="9"/>
      <c r="H817" s="8"/>
      <c r="I817" s="8"/>
      <c r="J817" s="8"/>
      <c r="K817" s="8"/>
      <c r="L817" s="8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N817" s="9"/>
      <c r="AO817" s="9"/>
      <c r="AP817" s="9"/>
      <c r="AQ817" s="9"/>
      <c r="AR817" s="9"/>
      <c r="AS817" s="9"/>
      <c r="AT817" s="9"/>
    </row>
    <row r="818" ht="17.25" customHeight="1" spans="1:46">
      <c r="A818" s="8"/>
      <c r="B818" s="8"/>
      <c r="C818" s="8"/>
      <c r="D818" s="8"/>
      <c r="E818" s="8"/>
      <c r="F818" s="8"/>
      <c r="G818" s="9"/>
      <c r="H818" s="8"/>
      <c r="I818" s="8"/>
      <c r="J818" s="8"/>
      <c r="K818" s="8"/>
      <c r="L818" s="8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N818" s="9"/>
      <c r="AO818" s="9"/>
      <c r="AP818" s="9"/>
      <c r="AQ818" s="9"/>
      <c r="AR818" s="9"/>
      <c r="AS818" s="9"/>
      <c r="AT818" s="9"/>
    </row>
    <row r="819" ht="17.25" customHeight="1" spans="1:46">
      <c r="A819" s="8"/>
      <c r="B819" s="8"/>
      <c r="C819" s="8"/>
      <c r="D819" s="8"/>
      <c r="E819" s="8"/>
      <c r="F819" s="8"/>
      <c r="G819" s="9"/>
      <c r="H819" s="8"/>
      <c r="I819" s="8"/>
      <c r="J819" s="8"/>
      <c r="K819" s="8"/>
      <c r="L819" s="8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N819" s="9"/>
      <c r="AO819" s="9"/>
      <c r="AP819" s="9"/>
      <c r="AQ819" s="9"/>
      <c r="AR819" s="9"/>
      <c r="AS819" s="9"/>
      <c r="AT819" s="9"/>
    </row>
    <row r="820" ht="17.25" customHeight="1" spans="1:46">
      <c r="A820" s="8"/>
      <c r="B820" s="8"/>
      <c r="C820" s="8"/>
      <c r="D820" s="8"/>
      <c r="E820" s="8"/>
      <c r="F820" s="8"/>
      <c r="G820" s="9"/>
      <c r="H820" s="8"/>
      <c r="I820" s="8"/>
      <c r="J820" s="8"/>
      <c r="K820" s="8"/>
      <c r="L820" s="8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N820" s="9"/>
      <c r="AO820" s="9"/>
      <c r="AP820" s="9"/>
      <c r="AQ820" s="9"/>
      <c r="AR820" s="9"/>
      <c r="AS820" s="9"/>
      <c r="AT820" s="9"/>
    </row>
    <row r="821" ht="17.25" customHeight="1" spans="1:46">
      <c r="A821" s="8"/>
      <c r="B821" s="8"/>
      <c r="C821" s="8"/>
      <c r="D821" s="8"/>
      <c r="E821" s="8"/>
      <c r="F821" s="8"/>
      <c r="G821" s="9"/>
      <c r="H821" s="8"/>
      <c r="I821" s="8"/>
      <c r="J821" s="8"/>
      <c r="K821" s="8"/>
      <c r="L821" s="8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N821" s="9"/>
      <c r="AO821" s="9"/>
      <c r="AP821" s="9"/>
      <c r="AQ821" s="9"/>
      <c r="AR821" s="9"/>
      <c r="AS821" s="9"/>
      <c r="AT821" s="9"/>
    </row>
    <row r="822" ht="17.25" customHeight="1" spans="1:46">
      <c r="A822" s="8"/>
      <c r="B822" s="8"/>
      <c r="C822" s="8"/>
      <c r="D822" s="8"/>
      <c r="E822" s="8"/>
      <c r="F822" s="8"/>
      <c r="G822" s="9"/>
      <c r="H822" s="8"/>
      <c r="I822" s="8"/>
      <c r="J822" s="8"/>
      <c r="K822" s="8"/>
      <c r="L822" s="8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N822" s="9"/>
      <c r="AO822" s="9"/>
      <c r="AP822" s="9"/>
      <c r="AQ822" s="9"/>
      <c r="AR822" s="9"/>
      <c r="AS822" s="9"/>
      <c r="AT822" s="9"/>
    </row>
    <row r="823" ht="17.25" customHeight="1" spans="1:46">
      <c r="A823" s="8"/>
      <c r="B823" s="8"/>
      <c r="C823" s="8"/>
      <c r="D823" s="8"/>
      <c r="E823" s="8"/>
      <c r="F823" s="8"/>
      <c r="G823" s="9"/>
      <c r="H823" s="8"/>
      <c r="I823" s="8"/>
      <c r="J823" s="8"/>
      <c r="K823" s="8"/>
      <c r="L823" s="8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N823" s="9"/>
      <c r="AO823" s="9"/>
      <c r="AP823" s="9"/>
      <c r="AQ823" s="9"/>
      <c r="AR823" s="9"/>
      <c r="AS823" s="9"/>
      <c r="AT823" s="9"/>
    </row>
    <row r="824" ht="17.25" customHeight="1" spans="1:46">
      <c r="A824" s="8"/>
      <c r="B824" s="8"/>
      <c r="C824" s="8"/>
      <c r="D824" s="8"/>
      <c r="E824" s="8"/>
      <c r="F824" s="8"/>
      <c r="G824" s="9"/>
      <c r="H824" s="8"/>
      <c r="I824" s="8"/>
      <c r="J824" s="8"/>
      <c r="K824" s="8"/>
      <c r="L824" s="8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N824" s="9"/>
      <c r="AO824" s="9"/>
      <c r="AP824" s="9"/>
      <c r="AQ824" s="9"/>
      <c r="AR824" s="9"/>
      <c r="AS824" s="9"/>
      <c r="AT824" s="9"/>
    </row>
    <row r="825" ht="17.25" customHeight="1" spans="1:46">
      <c r="A825" s="8"/>
      <c r="B825" s="8"/>
      <c r="C825" s="8"/>
      <c r="D825" s="8"/>
      <c r="E825" s="8"/>
      <c r="F825" s="8"/>
      <c r="G825" s="9"/>
      <c r="H825" s="8"/>
      <c r="I825" s="8"/>
      <c r="J825" s="8"/>
      <c r="K825" s="8"/>
      <c r="L825" s="8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N825" s="9"/>
      <c r="AO825" s="9"/>
      <c r="AP825" s="9"/>
      <c r="AQ825" s="9"/>
      <c r="AR825" s="9"/>
      <c r="AS825" s="9"/>
      <c r="AT825" s="9"/>
    </row>
    <row r="826" ht="17.25" customHeight="1" spans="1:46">
      <c r="A826" s="8"/>
      <c r="B826" s="8"/>
      <c r="C826" s="8"/>
      <c r="D826" s="8"/>
      <c r="E826" s="8"/>
      <c r="F826" s="8"/>
      <c r="G826" s="9"/>
      <c r="H826" s="8"/>
      <c r="I826" s="8"/>
      <c r="J826" s="8"/>
      <c r="K826" s="8"/>
      <c r="L826" s="8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N826" s="9"/>
      <c r="AO826" s="9"/>
      <c r="AP826" s="9"/>
      <c r="AQ826" s="9"/>
      <c r="AR826" s="9"/>
      <c r="AS826" s="9"/>
      <c r="AT826" s="9"/>
    </row>
    <row r="827" ht="17.25" customHeight="1" spans="1:46">
      <c r="A827" s="8"/>
      <c r="B827" s="8"/>
      <c r="C827" s="8"/>
      <c r="D827" s="8"/>
      <c r="E827" s="8"/>
      <c r="F827" s="8"/>
      <c r="G827" s="9"/>
      <c r="H827" s="8"/>
      <c r="I827" s="8"/>
      <c r="J827" s="8"/>
      <c r="K827" s="8"/>
      <c r="L827" s="8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N827" s="9"/>
      <c r="AO827" s="9"/>
      <c r="AP827" s="9"/>
      <c r="AQ827" s="9"/>
      <c r="AR827" s="9"/>
      <c r="AS827" s="9"/>
      <c r="AT827" s="9"/>
    </row>
    <row r="828" ht="17.25" customHeight="1" spans="1:46">
      <c r="A828" s="8"/>
      <c r="B828" s="8"/>
      <c r="C828" s="8"/>
      <c r="D828" s="8"/>
      <c r="E828" s="8"/>
      <c r="F828" s="8"/>
      <c r="G828" s="9"/>
      <c r="H828" s="8"/>
      <c r="I828" s="8"/>
      <c r="J828" s="8"/>
      <c r="K828" s="8"/>
      <c r="L828" s="8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N828" s="9"/>
      <c r="AO828" s="9"/>
      <c r="AP828" s="9"/>
      <c r="AQ828" s="9"/>
      <c r="AR828" s="9"/>
      <c r="AS828" s="9"/>
      <c r="AT828" s="9"/>
    </row>
    <row r="829" ht="17.25" customHeight="1" spans="1:46">
      <c r="A829" s="8"/>
      <c r="B829" s="8"/>
      <c r="C829" s="8"/>
      <c r="D829" s="8"/>
      <c r="E829" s="8"/>
      <c r="F829" s="8"/>
      <c r="G829" s="9"/>
      <c r="H829" s="8"/>
      <c r="I829" s="8"/>
      <c r="J829" s="8"/>
      <c r="K829" s="8"/>
      <c r="L829" s="8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N829" s="9"/>
      <c r="AO829" s="9"/>
      <c r="AP829" s="9"/>
      <c r="AQ829" s="9"/>
      <c r="AR829" s="9"/>
      <c r="AS829" s="9"/>
      <c r="AT829" s="9"/>
    </row>
    <row r="830" ht="17.25" customHeight="1" spans="1:46">
      <c r="A830" s="8"/>
      <c r="B830" s="8"/>
      <c r="C830" s="8"/>
      <c r="D830" s="8"/>
      <c r="E830" s="8"/>
      <c r="F830" s="8"/>
      <c r="G830" s="9"/>
      <c r="H830" s="8"/>
      <c r="I830" s="8"/>
      <c r="J830" s="8"/>
      <c r="K830" s="8"/>
      <c r="L830" s="8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N830" s="9"/>
      <c r="AO830" s="9"/>
      <c r="AP830" s="9"/>
      <c r="AQ830" s="9"/>
      <c r="AR830" s="9"/>
      <c r="AS830" s="9"/>
      <c r="AT830" s="9"/>
    </row>
    <row r="831" ht="17.25" customHeight="1" spans="1:46">
      <c r="A831" s="8"/>
      <c r="B831" s="8"/>
      <c r="C831" s="8"/>
      <c r="D831" s="8"/>
      <c r="E831" s="8"/>
      <c r="F831" s="8"/>
      <c r="G831" s="9"/>
      <c r="H831" s="8"/>
      <c r="I831" s="8"/>
      <c r="J831" s="8"/>
      <c r="K831" s="8"/>
      <c r="L831" s="8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N831" s="9"/>
      <c r="AO831" s="9"/>
      <c r="AP831" s="9"/>
      <c r="AQ831" s="9"/>
      <c r="AR831" s="9"/>
      <c r="AS831" s="9"/>
      <c r="AT831" s="9"/>
    </row>
    <row r="832" ht="17.25" customHeight="1" spans="1:46">
      <c r="A832" s="8"/>
      <c r="B832" s="8"/>
      <c r="C832" s="8"/>
      <c r="D832" s="8"/>
      <c r="E832" s="8"/>
      <c r="F832" s="8"/>
      <c r="G832" s="9"/>
      <c r="H832" s="8"/>
      <c r="I832" s="8"/>
      <c r="J832" s="8"/>
      <c r="K832" s="8"/>
      <c r="L832" s="8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N832" s="9"/>
      <c r="AO832" s="9"/>
      <c r="AP832" s="9"/>
      <c r="AQ832" s="9"/>
      <c r="AR832" s="9"/>
      <c r="AS832" s="9"/>
      <c r="AT832" s="9"/>
    </row>
    <row r="833" ht="17.25" customHeight="1" spans="1:46">
      <c r="A833" s="8"/>
      <c r="B833" s="8"/>
      <c r="C833" s="8"/>
      <c r="D833" s="8"/>
      <c r="E833" s="8"/>
      <c r="F833" s="8"/>
      <c r="G833" s="9"/>
      <c r="H833" s="8"/>
      <c r="I833" s="8"/>
      <c r="J833" s="8"/>
      <c r="K833" s="8"/>
      <c r="L833" s="8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N833" s="9"/>
      <c r="AO833" s="9"/>
      <c r="AP833" s="9"/>
      <c r="AQ833" s="9"/>
      <c r="AR833" s="9"/>
      <c r="AS833" s="9"/>
      <c r="AT833" s="9"/>
    </row>
    <row r="834" ht="17.25" customHeight="1" spans="1:46">
      <c r="A834" s="8"/>
      <c r="B834" s="8"/>
      <c r="C834" s="8"/>
      <c r="D834" s="8"/>
      <c r="E834" s="8"/>
      <c r="F834" s="8"/>
      <c r="G834" s="9"/>
      <c r="H834" s="8"/>
      <c r="I834" s="8"/>
      <c r="J834" s="8"/>
      <c r="K834" s="8"/>
      <c r="L834" s="8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N834" s="9"/>
      <c r="AO834" s="9"/>
      <c r="AP834" s="9"/>
      <c r="AQ834" s="9"/>
      <c r="AR834" s="9"/>
      <c r="AS834" s="9"/>
      <c r="AT834" s="9"/>
    </row>
    <row r="835" ht="17.25" customHeight="1" spans="1:46">
      <c r="A835" s="8"/>
      <c r="B835" s="8"/>
      <c r="C835" s="8"/>
      <c r="D835" s="8"/>
      <c r="E835" s="8"/>
      <c r="F835" s="8"/>
      <c r="G835" s="9"/>
      <c r="H835" s="8"/>
      <c r="I835" s="8"/>
      <c r="J835" s="8"/>
      <c r="K835" s="8"/>
      <c r="L835" s="8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N835" s="9"/>
      <c r="AO835" s="9"/>
      <c r="AP835" s="9"/>
      <c r="AQ835" s="9"/>
      <c r="AR835" s="9"/>
      <c r="AS835" s="9"/>
      <c r="AT835" s="9"/>
    </row>
    <row r="836" ht="17.25" customHeight="1" spans="1:46">
      <c r="A836" s="8"/>
      <c r="B836" s="8"/>
      <c r="C836" s="8"/>
      <c r="D836" s="8"/>
      <c r="E836" s="8"/>
      <c r="F836" s="8"/>
      <c r="G836" s="9"/>
      <c r="H836" s="8"/>
      <c r="I836" s="8"/>
      <c r="J836" s="8"/>
      <c r="K836" s="8"/>
      <c r="L836" s="8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N836" s="9"/>
      <c r="AO836" s="9"/>
      <c r="AP836" s="9"/>
      <c r="AQ836" s="9"/>
      <c r="AR836" s="9"/>
      <c r="AS836" s="9"/>
      <c r="AT836" s="9"/>
    </row>
    <row r="837" ht="17.25" customHeight="1" spans="1:46">
      <c r="A837" s="8"/>
      <c r="B837" s="8"/>
      <c r="C837" s="8"/>
      <c r="D837" s="8"/>
      <c r="E837" s="8"/>
      <c r="F837" s="8"/>
      <c r="G837" s="9"/>
      <c r="H837" s="8"/>
      <c r="I837" s="8"/>
      <c r="J837" s="8"/>
      <c r="K837" s="8"/>
      <c r="L837" s="8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N837" s="9"/>
      <c r="AO837" s="9"/>
      <c r="AP837" s="9"/>
      <c r="AQ837" s="9"/>
      <c r="AR837" s="9"/>
      <c r="AS837" s="9"/>
      <c r="AT837" s="9"/>
    </row>
    <row r="838" ht="17.25" customHeight="1" spans="1:46">
      <c r="A838" s="8"/>
      <c r="B838" s="8"/>
      <c r="C838" s="8"/>
      <c r="D838" s="8"/>
      <c r="E838" s="8"/>
      <c r="F838" s="8"/>
      <c r="G838" s="9"/>
      <c r="H838" s="8"/>
      <c r="I838" s="8"/>
      <c r="J838" s="8"/>
      <c r="K838" s="8"/>
      <c r="L838" s="8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N838" s="9"/>
      <c r="AO838" s="9"/>
      <c r="AP838" s="9"/>
      <c r="AQ838" s="9"/>
      <c r="AR838" s="9"/>
      <c r="AS838" s="9"/>
      <c r="AT838" s="9"/>
    </row>
    <row r="839" ht="17.25" customHeight="1" spans="1:46">
      <c r="A839" s="8"/>
      <c r="B839" s="8"/>
      <c r="C839" s="8"/>
      <c r="D839" s="8"/>
      <c r="E839" s="8"/>
      <c r="F839" s="8"/>
      <c r="G839" s="9"/>
      <c r="H839" s="8"/>
      <c r="I839" s="8"/>
      <c r="J839" s="8"/>
      <c r="K839" s="8"/>
      <c r="L839" s="8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N839" s="9"/>
      <c r="AO839" s="9"/>
      <c r="AP839" s="9"/>
      <c r="AQ839" s="9"/>
      <c r="AR839" s="9"/>
      <c r="AS839" s="9"/>
      <c r="AT839" s="9"/>
    </row>
    <row r="840" ht="17.25" customHeight="1" spans="1:46">
      <c r="A840" s="8"/>
      <c r="B840" s="8"/>
      <c r="C840" s="8"/>
      <c r="D840" s="8"/>
      <c r="E840" s="8"/>
      <c r="F840" s="8"/>
      <c r="G840" s="9"/>
      <c r="H840" s="8"/>
      <c r="I840" s="8"/>
      <c r="J840" s="8"/>
      <c r="K840" s="8"/>
      <c r="L840" s="8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N840" s="9"/>
      <c r="AO840" s="9"/>
      <c r="AP840" s="9"/>
      <c r="AQ840" s="9"/>
      <c r="AR840" s="9"/>
      <c r="AS840" s="9"/>
      <c r="AT840" s="9"/>
    </row>
    <row r="841" ht="17.25" customHeight="1" spans="1:46">
      <c r="A841" s="8"/>
      <c r="B841" s="8"/>
      <c r="C841" s="8"/>
      <c r="D841" s="8"/>
      <c r="E841" s="8"/>
      <c r="F841" s="8"/>
      <c r="G841" s="9"/>
      <c r="H841" s="8"/>
      <c r="I841" s="8"/>
      <c r="J841" s="8"/>
      <c r="K841" s="8"/>
      <c r="L841" s="8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N841" s="9"/>
      <c r="AO841" s="9"/>
      <c r="AP841" s="9"/>
      <c r="AQ841" s="9"/>
      <c r="AR841" s="9"/>
      <c r="AS841" s="9"/>
      <c r="AT841" s="9"/>
    </row>
    <row r="842" ht="17.25" customHeight="1" spans="1:46">
      <c r="A842" s="8"/>
      <c r="B842" s="8"/>
      <c r="C842" s="8"/>
      <c r="D842" s="8"/>
      <c r="E842" s="8"/>
      <c r="F842" s="8"/>
      <c r="G842" s="9"/>
      <c r="H842" s="8"/>
      <c r="I842" s="8"/>
      <c r="J842" s="8"/>
      <c r="K842" s="8"/>
      <c r="L842" s="8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N842" s="9"/>
      <c r="AO842" s="9"/>
      <c r="AP842" s="9"/>
      <c r="AQ842" s="9"/>
      <c r="AR842" s="9"/>
      <c r="AS842" s="9"/>
      <c r="AT842" s="9"/>
    </row>
    <row r="843" ht="17.25" customHeight="1" spans="1:46">
      <c r="A843" s="8"/>
      <c r="B843" s="8"/>
      <c r="C843" s="8"/>
      <c r="D843" s="8"/>
      <c r="E843" s="8"/>
      <c r="F843" s="8"/>
      <c r="G843" s="9"/>
      <c r="H843" s="8"/>
      <c r="I843" s="8"/>
      <c r="J843" s="8"/>
      <c r="K843" s="8"/>
      <c r="L843" s="8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N843" s="9"/>
      <c r="AO843" s="9"/>
      <c r="AP843" s="9"/>
      <c r="AQ843" s="9"/>
      <c r="AR843" s="9"/>
      <c r="AS843" s="9"/>
      <c r="AT843" s="9"/>
    </row>
    <row r="844" ht="17.25" customHeight="1" spans="1:46">
      <c r="A844" s="8"/>
      <c r="B844" s="8"/>
      <c r="C844" s="8"/>
      <c r="D844" s="8"/>
      <c r="E844" s="8"/>
      <c r="F844" s="8"/>
      <c r="G844" s="9"/>
      <c r="H844" s="8"/>
      <c r="I844" s="8"/>
      <c r="J844" s="8"/>
      <c r="K844" s="8"/>
      <c r="L844" s="8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N844" s="9"/>
      <c r="AO844" s="9"/>
      <c r="AP844" s="9"/>
      <c r="AQ844" s="9"/>
      <c r="AR844" s="9"/>
      <c r="AS844" s="9"/>
      <c r="AT844" s="9"/>
    </row>
    <row r="845" ht="17.25" customHeight="1" spans="1:46">
      <c r="A845" s="8"/>
      <c r="B845" s="8"/>
      <c r="C845" s="8"/>
      <c r="D845" s="8"/>
      <c r="E845" s="8"/>
      <c r="F845" s="8"/>
      <c r="G845" s="9"/>
      <c r="H845" s="8"/>
      <c r="I845" s="8"/>
      <c r="J845" s="8"/>
      <c r="K845" s="8"/>
      <c r="L845" s="8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N845" s="9"/>
      <c r="AO845" s="9"/>
      <c r="AP845" s="9"/>
      <c r="AQ845" s="9"/>
      <c r="AR845" s="9"/>
      <c r="AS845" s="9"/>
      <c r="AT845" s="9"/>
    </row>
    <row r="846" ht="17.25" customHeight="1" spans="1:46">
      <c r="A846" s="8"/>
      <c r="B846" s="8"/>
      <c r="C846" s="8"/>
      <c r="D846" s="8"/>
      <c r="E846" s="8"/>
      <c r="F846" s="8"/>
      <c r="G846" s="9"/>
      <c r="H846" s="8"/>
      <c r="I846" s="8"/>
      <c r="J846" s="8"/>
      <c r="K846" s="8"/>
      <c r="L846" s="8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N846" s="9"/>
      <c r="AO846" s="9"/>
      <c r="AP846" s="9"/>
      <c r="AQ846" s="9"/>
      <c r="AR846" s="9"/>
      <c r="AS846" s="9"/>
      <c r="AT846" s="9"/>
    </row>
    <row r="847" ht="17.25" customHeight="1" spans="1:46">
      <c r="A847" s="8"/>
      <c r="B847" s="8"/>
      <c r="C847" s="8"/>
      <c r="D847" s="8"/>
      <c r="E847" s="8"/>
      <c r="F847" s="8"/>
      <c r="G847" s="9"/>
      <c r="H847" s="8"/>
      <c r="I847" s="8"/>
      <c r="J847" s="8"/>
      <c r="K847" s="8"/>
      <c r="L847" s="8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N847" s="9"/>
      <c r="AO847" s="9"/>
      <c r="AP847" s="9"/>
      <c r="AQ847" s="9"/>
      <c r="AR847" s="9"/>
      <c r="AS847" s="9"/>
      <c r="AT847" s="9"/>
    </row>
    <row r="848" ht="17.25" customHeight="1" spans="1:46">
      <c r="A848" s="8"/>
      <c r="B848" s="8"/>
      <c r="C848" s="8"/>
      <c r="D848" s="8"/>
      <c r="E848" s="8"/>
      <c r="F848" s="8"/>
      <c r="G848" s="9"/>
      <c r="H848" s="8"/>
      <c r="I848" s="8"/>
      <c r="J848" s="8"/>
      <c r="K848" s="8"/>
      <c r="L848" s="8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N848" s="9"/>
      <c r="AO848" s="9"/>
      <c r="AP848" s="9"/>
      <c r="AQ848" s="9"/>
      <c r="AR848" s="9"/>
      <c r="AS848" s="9"/>
      <c r="AT848" s="9"/>
    </row>
    <row r="849" ht="17.25" customHeight="1" spans="1:46">
      <c r="A849" s="8"/>
      <c r="B849" s="8"/>
      <c r="C849" s="8"/>
      <c r="D849" s="8"/>
      <c r="E849" s="8"/>
      <c r="F849" s="8"/>
      <c r="G849" s="9"/>
      <c r="H849" s="8"/>
      <c r="I849" s="8"/>
      <c r="J849" s="8"/>
      <c r="K849" s="8"/>
      <c r="L849" s="8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N849" s="9"/>
      <c r="AO849" s="9"/>
      <c r="AP849" s="9"/>
      <c r="AQ849" s="9"/>
      <c r="AR849" s="9"/>
      <c r="AS849" s="9"/>
      <c r="AT849" s="9"/>
    </row>
    <row r="850" ht="17.25" customHeight="1" spans="1:46">
      <c r="A850" s="8"/>
      <c r="B850" s="8"/>
      <c r="C850" s="8"/>
      <c r="D850" s="8"/>
      <c r="E850" s="8"/>
      <c r="F850" s="8"/>
      <c r="G850" s="9"/>
      <c r="H850" s="8"/>
      <c r="I850" s="8"/>
      <c r="J850" s="8"/>
      <c r="K850" s="8"/>
      <c r="L850" s="8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N850" s="9"/>
      <c r="AO850" s="9"/>
      <c r="AP850" s="9"/>
      <c r="AQ850" s="9"/>
      <c r="AR850" s="9"/>
      <c r="AS850" s="9"/>
      <c r="AT850" s="9"/>
    </row>
    <row r="851" ht="17.25" customHeight="1" spans="1:46">
      <c r="A851" s="8"/>
      <c r="B851" s="8"/>
      <c r="C851" s="8"/>
      <c r="D851" s="8"/>
      <c r="E851" s="8"/>
      <c r="F851" s="8"/>
      <c r="G851" s="9"/>
      <c r="H851" s="8"/>
      <c r="I851" s="8"/>
      <c r="J851" s="8"/>
      <c r="K851" s="8"/>
      <c r="L851" s="8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N851" s="9"/>
      <c r="AO851" s="9"/>
      <c r="AP851" s="9"/>
      <c r="AQ851" s="9"/>
      <c r="AR851" s="9"/>
      <c r="AS851" s="9"/>
      <c r="AT851" s="9"/>
    </row>
    <row r="852" ht="17.25" customHeight="1" spans="1:46">
      <c r="A852" s="8"/>
      <c r="B852" s="8"/>
      <c r="C852" s="8"/>
      <c r="D852" s="8"/>
      <c r="E852" s="8"/>
      <c r="F852" s="8"/>
      <c r="G852" s="9"/>
      <c r="H852" s="8"/>
      <c r="I852" s="8"/>
      <c r="J852" s="8"/>
      <c r="K852" s="8"/>
      <c r="L852" s="8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N852" s="9"/>
      <c r="AO852" s="9"/>
      <c r="AP852" s="9"/>
      <c r="AQ852" s="9"/>
      <c r="AR852" s="9"/>
      <c r="AS852" s="9"/>
      <c r="AT852" s="9"/>
    </row>
    <row r="853" ht="17.25" customHeight="1" spans="1:46">
      <c r="A853" s="8"/>
      <c r="B853" s="8"/>
      <c r="C853" s="8"/>
      <c r="D853" s="8"/>
      <c r="E853" s="8"/>
      <c r="F853" s="8"/>
      <c r="G853" s="9"/>
      <c r="H853" s="8"/>
      <c r="I853" s="8"/>
      <c r="J853" s="8"/>
      <c r="K853" s="8"/>
      <c r="L853" s="8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N853" s="9"/>
      <c r="AO853" s="9"/>
      <c r="AP853" s="9"/>
      <c r="AQ853" s="9"/>
      <c r="AR853" s="9"/>
      <c r="AS853" s="9"/>
      <c r="AT853" s="9"/>
    </row>
    <row r="854" ht="17.25" customHeight="1" spans="1:46">
      <c r="A854" s="8"/>
      <c r="B854" s="8"/>
      <c r="C854" s="8"/>
      <c r="D854" s="8"/>
      <c r="E854" s="8"/>
      <c r="F854" s="8"/>
      <c r="G854" s="9"/>
      <c r="H854" s="8"/>
      <c r="I854" s="8"/>
      <c r="J854" s="8"/>
      <c r="K854" s="8"/>
      <c r="L854" s="8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N854" s="9"/>
      <c r="AO854" s="9"/>
      <c r="AP854" s="9"/>
      <c r="AQ854" s="9"/>
      <c r="AR854" s="9"/>
      <c r="AS854" s="9"/>
      <c r="AT854" s="9"/>
    </row>
    <row r="855" ht="17.25" customHeight="1" spans="1:46">
      <c r="A855" s="8"/>
      <c r="B855" s="8"/>
      <c r="C855" s="8"/>
      <c r="D855" s="8"/>
      <c r="E855" s="8"/>
      <c r="F855" s="8"/>
      <c r="G855" s="9"/>
      <c r="H855" s="8"/>
      <c r="I855" s="8"/>
      <c r="J855" s="8"/>
      <c r="K855" s="8"/>
      <c r="L855" s="8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N855" s="9"/>
      <c r="AO855" s="9"/>
      <c r="AP855" s="9"/>
      <c r="AQ855" s="9"/>
      <c r="AR855" s="9"/>
      <c r="AS855" s="9"/>
      <c r="AT855" s="9"/>
    </row>
    <row r="856" ht="17.25" customHeight="1" spans="1:46">
      <c r="A856" s="8"/>
      <c r="B856" s="8"/>
      <c r="C856" s="8"/>
      <c r="D856" s="8"/>
      <c r="E856" s="8"/>
      <c r="F856" s="8"/>
      <c r="G856" s="9"/>
      <c r="H856" s="8"/>
      <c r="I856" s="8"/>
      <c r="J856" s="8"/>
      <c r="K856" s="8"/>
      <c r="L856" s="8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N856" s="9"/>
      <c r="AO856" s="9"/>
      <c r="AP856" s="9"/>
      <c r="AQ856" s="9"/>
      <c r="AR856" s="9"/>
      <c r="AS856" s="9"/>
      <c r="AT856" s="9"/>
    </row>
    <row r="857" ht="17.25" customHeight="1" spans="1:46">
      <c r="A857" s="8"/>
      <c r="B857" s="8"/>
      <c r="C857" s="8"/>
      <c r="D857" s="8"/>
      <c r="E857" s="8"/>
      <c r="F857" s="8"/>
      <c r="G857" s="9"/>
      <c r="H857" s="8"/>
      <c r="I857" s="8"/>
      <c r="J857" s="8"/>
      <c r="K857" s="8"/>
      <c r="L857" s="8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N857" s="9"/>
      <c r="AO857" s="9"/>
      <c r="AP857" s="9"/>
      <c r="AQ857" s="9"/>
      <c r="AR857" s="9"/>
      <c r="AS857" s="9"/>
      <c r="AT857" s="9"/>
    </row>
    <row r="858" ht="17.25" customHeight="1" spans="1:46">
      <c r="A858" s="8"/>
      <c r="B858" s="8"/>
      <c r="C858" s="8"/>
      <c r="D858" s="8"/>
      <c r="E858" s="8"/>
      <c r="F858" s="8"/>
      <c r="G858" s="9"/>
      <c r="H858" s="8"/>
      <c r="I858" s="8"/>
      <c r="J858" s="8"/>
      <c r="K858" s="8"/>
      <c r="L858" s="8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N858" s="9"/>
      <c r="AO858" s="9"/>
      <c r="AP858" s="9"/>
      <c r="AQ858" s="9"/>
      <c r="AR858" s="9"/>
      <c r="AS858" s="9"/>
      <c r="AT858" s="9"/>
    </row>
    <row r="859" ht="17.25" customHeight="1" spans="1:46">
      <c r="A859" s="8"/>
      <c r="B859" s="8"/>
      <c r="C859" s="8"/>
      <c r="D859" s="8"/>
      <c r="E859" s="8"/>
      <c r="F859" s="8"/>
      <c r="G859" s="9"/>
      <c r="H859" s="8"/>
      <c r="I859" s="8"/>
      <c r="J859" s="8"/>
      <c r="K859" s="8"/>
      <c r="L859" s="8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N859" s="9"/>
      <c r="AO859" s="9"/>
      <c r="AP859" s="9"/>
      <c r="AQ859" s="9"/>
      <c r="AR859" s="9"/>
      <c r="AS859" s="9"/>
      <c r="AT859" s="9"/>
    </row>
    <row r="860" ht="17.25" customHeight="1" spans="1:46">
      <c r="A860" s="8"/>
      <c r="B860" s="8"/>
      <c r="C860" s="8"/>
      <c r="D860" s="8"/>
      <c r="E860" s="8"/>
      <c r="F860" s="8"/>
      <c r="G860" s="9"/>
      <c r="H860" s="8"/>
      <c r="I860" s="8"/>
      <c r="J860" s="8"/>
      <c r="K860" s="8"/>
      <c r="L860" s="8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N860" s="9"/>
      <c r="AO860" s="9"/>
      <c r="AP860" s="9"/>
      <c r="AQ860" s="9"/>
      <c r="AR860" s="9"/>
      <c r="AS860" s="9"/>
      <c r="AT860" s="9"/>
    </row>
    <row r="861" ht="17.25" customHeight="1" spans="1:46">
      <c r="A861" s="8"/>
      <c r="B861" s="8"/>
      <c r="C861" s="8"/>
      <c r="D861" s="8"/>
      <c r="E861" s="8"/>
      <c r="F861" s="8"/>
      <c r="G861" s="9"/>
      <c r="H861" s="8"/>
      <c r="I861" s="8"/>
      <c r="J861" s="8"/>
      <c r="K861" s="8"/>
      <c r="L861" s="8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N861" s="9"/>
      <c r="AO861" s="9"/>
      <c r="AP861" s="9"/>
      <c r="AQ861" s="9"/>
      <c r="AR861" s="9"/>
      <c r="AS861" s="9"/>
      <c r="AT861" s="9"/>
    </row>
    <row r="862" ht="17.25" customHeight="1" spans="1:46">
      <c r="A862" s="8"/>
      <c r="B862" s="8"/>
      <c r="C862" s="8"/>
      <c r="D862" s="8"/>
      <c r="E862" s="8"/>
      <c r="F862" s="8"/>
      <c r="G862" s="9"/>
      <c r="H862" s="8"/>
      <c r="I862" s="8"/>
      <c r="J862" s="8"/>
      <c r="K862" s="8"/>
      <c r="L862" s="8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N862" s="9"/>
      <c r="AO862" s="9"/>
      <c r="AP862" s="9"/>
      <c r="AQ862" s="9"/>
      <c r="AR862" s="9"/>
      <c r="AS862" s="9"/>
      <c r="AT862" s="9"/>
    </row>
    <row r="863" ht="17.25" customHeight="1" spans="1:46">
      <c r="A863" s="8"/>
      <c r="B863" s="8"/>
      <c r="C863" s="8"/>
      <c r="D863" s="8"/>
      <c r="E863" s="8"/>
      <c r="F863" s="8"/>
      <c r="G863" s="9"/>
      <c r="H863" s="8"/>
      <c r="I863" s="8"/>
      <c r="J863" s="8"/>
      <c r="K863" s="8"/>
      <c r="L863" s="8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N863" s="9"/>
      <c r="AO863" s="9"/>
      <c r="AP863" s="9"/>
      <c r="AQ863" s="9"/>
      <c r="AR863" s="9"/>
      <c r="AS863" s="9"/>
      <c r="AT863" s="9"/>
    </row>
    <row r="864" ht="17.25" customHeight="1" spans="1:46">
      <c r="A864" s="8"/>
      <c r="B864" s="8"/>
      <c r="C864" s="8"/>
      <c r="D864" s="8"/>
      <c r="E864" s="8"/>
      <c r="F864" s="8"/>
      <c r="G864" s="9"/>
      <c r="H864" s="8"/>
      <c r="I864" s="8"/>
      <c r="J864" s="8"/>
      <c r="K864" s="8"/>
      <c r="L864" s="8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N864" s="9"/>
      <c r="AO864" s="9"/>
      <c r="AP864" s="9"/>
      <c r="AQ864" s="9"/>
      <c r="AR864" s="9"/>
      <c r="AS864" s="9"/>
      <c r="AT864" s="9"/>
    </row>
    <row r="865" ht="17.25" customHeight="1" spans="1:46">
      <c r="A865" s="8"/>
      <c r="B865" s="8"/>
      <c r="C865" s="8"/>
      <c r="D865" s="8"/>
      <c r="E865" s="8"/>
      <c r="F865" s="8"/>
      <c r="G865" s="9"/>
      <c r="H865" s="8"/>
      <c r="I865" s="8"/>
      <c r="J865" s="8"/>
      <c r="K865" s="8"/>
      <c r="L865" s="8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N865" s="9"/>
      <c r="AO865" s="9"/>
      <c r="AP865" s="9"/>
      <c r="AQ865" s="9"/>
      <c r="AR865" s="9"/>
      <c r="AS865" s="9"/>
      <c r="AT865" s="9"/>
    </row>
    <row r="866" ht="17.25" customHeight="1" spans="1:46">
      <c r="A866" s="8"/>
      <c r="B866" s="8"/>
      <c r="C866" s="8"/>
      <c r="D866" s="8"/>
      <c r="E866" s="8"/>
      <c r="F866" s="8"/>
      <c r="G866" s="9"/>
      <c r="H866" s="8"/>
      <c r="I866" s="8"/>
      <c r="J866" s="8"/>
      <c r="K866" s="8"/>
      <c r="L866" s="8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N866" s="9"/>
      <c r="AO866" s="9"/>
      <c r="AP866" s="9"/>
      <c r="AQ866" s="9"/>
      <c r="AR866" s="9"/>
      <c r="AS866" s="9"/>
      <c r="AT866" s="9"/>
    </row>
    <row r="867" ht="17.25" customHeight="1" spans="1:46">
      <c r="A867" s="8"/>
      <c r="B867" s="8"/>
      <c r="C867" s="8"/>
      <c r="D867" s="8"/>
      <c r="E867" s="8"/>
      <c r="F867" s="8"/>
      <c r="G867" s="9"/>
      <c r="H867" s="8"/>
      <c r="I867" s="8"/>
      <c r="J867" s="8"/>
      <c r="K867" s="8"/>
      <c r="L867" s="8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N867" s="9"/>
      <c r="AO867" s="9"/>
      <c r="AP867" s="9"/>
      <c r="AQ867" s="9"/>
      <c r="AR867" s="9"/>
      <c r="AS867" s="9"/>
      <c r="AT867" s="9"/>
    </row>
    <row r="868" ht="17.25" customHeight="1" spans="1:46">
      <c r="A868" s="8"/>
      <c r="B868" s="8"/>
      <c r="C868" s="8"/>
      <c r="D868" s="8"/>
      <c r="E868" s="8"/>
      <c r="F868" s="8"/>
      <c r="G868" s="9"/>
      <c r="H868" s="8"/>
      <c r="I868" s="8"/>
      <c r="J868" s="8"/>
      <c r="K868" s="8"/>
      <c r="L868" s="8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N868" s="9"/>
      <c r="AO868" s="9"/>
      <c r="AP868" s="9"/>
      <c r="AQ868" s="9"/>
      <c r="AR868" s="9"/>
      <c r="AS868" s="9"/>
      <c r="AT868" s="9"/>
    </row>
    <row r="869" ht="17.25" customHeight="1" spans="1:46">
      <c r="A869" s="8"/>
      <c r="B869" s="8"/>
      <c r="C869" s="8"/>
      <c r="D869" s="8"/>
      <c r="E869" s="8"/>
      <c r="F869" s="8"/>
      <c r="G869" s="9"/>
      <c r="H869" s="8"/>
      <c r="I869" s="8"/>
      <c r="J869" s="8"/>
      <c r="K869" s="8"/>
      <c r="L869" s="8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N869" s="9"/>
      <c r="AO869" s="9"/>
      <c r="AP869" s="9"/>
      <c r="AQ869" s="9"/>
      <c r="AR869" s="9"/>
      <c r="AS869" s="9"/>
      <c r="AT869" s="9"/>
    </row>
    <row r="870" ht="17.25" customHeight="1" spans="1:46">
      <c r="A870" s="8"/>
      <c r="B870" s="8"/>
      <c r="C870" s="8"/>
      <c r="D870" s="8"/>
      <c r="E870" s="8"/>
      <c r="F870" s="8"/>
      <c r="G870" s="9"/>
      <c r="H870" s="8"/>
      <c r="I870" s="8"/>
      <c r="J870" s="8"/>
      <c r="K870" s="8"/>
      <c r="L870" s="8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N870" s="9"/>
      <c r="AO870" s="9"/>
      <c r="AP870" s="9"/>
      <c r="AQ870" s="9"/>
      <c r="AR870" s="9"/>
      <c r="AS870" s="9"/>
      <c r="AT870" s="9"/>
    </row>
    <row r="871" ht="17.25" customHeight="1" spans="1:46">
      <c r="A871" s="8"/>
      <c r="B871" s="8"/>
      <c r="C871" s="8"/>
      <c r="D871" s="8"/>
      <c r="E871" s="8"/>
      <c r="F871" s="8"/>
      <c r="G871" s="9"/>
      <c r="H871" s="8"/>
      <c r="I871" s="8"/>
      <c r="J871" s="8"/>
      <c r="K871" s="8"/>
      <c r="L871" s="8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N871" s="9"/>
      <c r="AO871" s="9"/>
      <c r="AP871" s="9"/>
      <c r="AQ871" s="9"/>
      <c r="AR871" s="9"/>
      <c r="AS871" s="9"/>
      <c r="AT871" s="9"/>
    </row>
    <row r="872" ht="17.25" customHeight="1" spans="1:46">
      <c r="A872" s="8"/>
      <c r="B872" s="8"/>
      <c r="C872" s="8"/>
      <c r="D872" s="8"/>
      <c r="E872" s="8"/>
      <c r="F872" s="8"/>
      <c r="G872" s="9"/>
      <c r="H872" s="8"/>
      <c r="I872" s="8"/>
      <c r="J872" s="8"/>
      <c r="K872" s="8"/>
      <c r="L872" s="8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N872" s="9"/>
      <c r="AO872" s="9"/>
      <c r="AP872" s="9"/>
      <c r="AQ872" s="9"/>
      <c r="AR872" s="9"/>
      <c r="AS872" s="9"/>
      <c r="AT872" s="9"/>
    </row>
    <row r="873" ht="17.25" customHeight="1" spans="1:46">
      <c r="A873" s="8"/>
      <c r="B873" s="8"/>
      <c r="C873" s="8"/>
      <c r="D873" s="8"/>
      <c r="E873" s="8"/>
      <c r="F873" s="8"/>
      <c r="G873" s="9"/>
      <c r="H873" s="8"/>
      <c r="I873" s="8"/>
      <c r="J873" s="8"/>
      <c r="K873" s="8"/>
      <c r="L873" s="8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N873" s="9"/>
      <c r="AO873" s="9"/>
      <c r="AP873" s="9"/>
      <c r="AQ873" s="9"/>
      <c r="AR873" s="9"/>
      <c r="AS873" s="9"/>
      <c r="AT873" s="9"/>
    </row>
    <row r="874" ht="17.25" customHeight="1" spans="1:46">
      <c r="A874" s="8"/>
      <c r="B874" s="8"/>
      <c r="C874" s="8"/>
      <c r="D874" s="8"/>
      <c r="E874" s="8"/>
      <c r="F874" s="8"/>
      <c r="G874" s="9"/>
      <c r="H874" s="8"/>
      <c r="I874" s="8"/>
      <c r="J874" s="8"/>
      <c r="K874" s="8"/>
      <c r="L874" s="8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N874" s="9"/>
      <c r="AO874" s="9"/>
      <c r="AP874" s="9"/>
      <c r="AQ874" s="9"/>
      <c r="AR874" s="9"/>
      <c r="AS874" s="9"/>
      <c r="AT874" s="9"/>
    </row>
    <row r="875" ht="17.25" customHeight="1" spans="1:46">
      <c r="A875" s="8"/>
      <c r="B875" s="8"/>
      <c r="C875" s="8"/>
      <c r="D875" s="8"/>
      <c r="E875" s="8"/>
      <c r="F875" s="8"/>
      <c r="G875" s="9"/>
      <c r="H875" s="8"/>
      <c r="I875" s="8"/>
      <c r="J875" s="8"/>
      <c r="K875" s="8"/>
      <c r="L875" s="8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N875" s="9"/>
      <c r="AO875" s="9"/>
      <c r="AP875" s="9"/>
      <c r="AQ875" s="9"/>
      <c r="AR875" s="9"/>
      <c r="AS875" s="9"/>
      <c r="AT875" s="9"/>
    </row>
    <row r="876" ht="17.25" customHeight="1" spans="1:46">
      <c r="A876" s="8"/>
      <c r="B876" s="8"/>
      <c r="C876" s="8"/>
      <c r="D876" s="8"/>
      <c r="E876" s="8"/>
      <c r="F876" s="8"/>
      <c r="G876" s="9"/>
      <c r="H876" s="8"/>
      <c r="I876" s="8"/>
      <c r="J876" s="8"/>
      <c r="K876" s="8"/>
      <c r="L876" s="8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N876" s="9"/>
      <c r="AO876" s="9"/>
      <c r="AP876" s="9"/>
      <c r="AQ876" s="9"/>
      <c r="AR876" s="9"/>
      <c r="AS876" s="9"/>
      <c r="AT876" s="9"/>
    </row>
    <row r="877" ht="17.25" customHeight="1" spans="1:46">
      <c r="A877" s="8"/>
      <c r="B877" s="8"/>
      <c r="C877" s="8"/>
      <c r="D877" s="8"/>
      <c r="E877" s="8"/>
      <c r="F877" s="8"/>
      <c r="G877" s="9"/>
      <c r="H877" s="8"/>
      <c r="I877" s="8"/>
      <c r="J877" s="8"/>
      <c r="K877" s="8"/>
      <c r="L877" s="8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N877" s="9"/>
      <c r="AO877" s="9"/>
      <c r="AP877" s="9"/>
      <c r="AQ877" s="9"/>
      <c r="AR877" s="9"/>
      <c r="AS877" s="9"/>
      <c r="AT877" s="9"/>
    </row>
    <row r="878" ht="17.25" customHeight="1" spans="1:46">
      <c r="A878" s="8"/>
      <c r="B878" s="8"/>
      <c r="C878" s="8"/>
      <c r="D878" s="8"/>
      <c r="E878" s="8"/>
      <c r="F878" s="8"/>
      <c r="G878" s="9"/>
      <c r="H878" s="8"/>
      <c r="I878" s="8"/>
      <c r="J878" s="8"/>
      <c r="K878" s="8"/>
      <c r="L878" s="8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N878" s="9"/>
      <c r="AO878" s="9"/>
      <c r="AP878" s="9"/>
      <c r="AQ878" s="9"/>
      <c r="AR878" s="9"/>
      <c r="AS878" s="9"/>
      <c r="AT878" s="9"/>
    </row>
    <row r="879" ht="17.25" customHeight="1" spans="1:46">
      <c r="A879" s="8"/>
      <c r="B879" s="8"/>
      <c r="C879" s="8"/>
      <c r="D879" s="8"/>
      <c r="E879" s="8"/>
      <c r="F879" s="8"/>
      <c r="G879" s="9"/>
      <c r="H879" s="8"/>
      <c r="I879" s="8"/>
      <c r="J879" s="8"/>
      <c r="K879" s="8"/>
      <c r="L879" s="8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N879" s="9"/>
      <c r="AO879" s="9"/>
      <c r="AP879" s="9"/>
      <c r="AQ879" s="9"/>
      <c r="AR879" s="9"/>
      <c r="AS879" s="9"/>
      <c r="AT879" s="9"/>
    </row>
    <row r="880" ht="17.25" customHeight="1" spans="1:46">
      <c r="A880" s="8"/>
      <c r="B880" s="8"/>
      <c r="C880" s="8"/>
      <c r="D880" s="8"/>
      <c r="E880" s="8"/>
      <c r="F880" s="8"/>
      <c r="G880" s="9"/>
      <c r="H880" s="8"/>
      <c r="I880" s="8"/>
      <c r="J880" s="8"/>
      <c r="K880" s="8"/>
      <c r="L880" s="8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N880" s="9"/>
      <c r="AO880" s="9"/>
      <c r="AP880" s="9"/>
      <c r="AQ880" s="9"/>
      <c r="AR880" s="9"/>
      <c r="AS880" s="9"/>
      <c r="AT880" s="9"/>
    </row>
    <row r="881" ht="17.25" customHeight="1" spans="1:46">
      <c r="A881" s="8"/>
      <c r="B881" s="8"/>
      <c r="C881" s="8"/>
      <c r="D881" s="8"/>
      <c r="E881" s="8"/>
      <c r="F881" s="8"/>
      <c r="G881" s="9"/>
      <c r="H881" s="8"/>
      <c r="I881" s="8"/>
      <c r="J881" s="8"/>
      <c r="K881" s="8"/>
      <c r="L881" s="8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N881" s="9"/>
      <c r="AO881" s="9"/>
      <c r="AP881" s="9"/>
      <c r="AQ881" s="9"/>
      <c r="AR881" s="9"/>
      <c r="AS881" s="9"/>
      <c r="AT881" s="9"/>
    </row>
    <row r="882" ht="17.25" customHeight="1" spans="1:46">
      <c r="A882" s="8"/>
      <c r="B882" s="8"/>
      <c r="C882" s="8"/>
      <c r="D882" s="8"/>
      <c r="E882" s="8"/>
      <c r="F882" s="8"/>
      <c r="G882" s="9"/>
      <c r="H882" s="8"/>
      <c r="I882" s="8"/>
      <c r="J882" s="8"/>
      <c r="K882" s="8"/>
      <c r="L882" s="8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N882" s="9"/>
      <c r="AO882" s="9"/>
      <c r="AP882" s="9"/>
      <c r="AQ882" s="9"/>
      <c r="AR882" s="9"/>
      <c r="AS882" s="9"/>
      <c r="AT882" s="9"/>
    </row>
    <row r="883" ht="17.25" customHeight="1" spans="1:46">
      <c r="A883" s="8"/>
      <c r="B883" s="8"/>
      <c r="C883" s="8"/>
      <c r="D883" s="8"/>
      <c r="E883" s="8"/>
      <c r="F883" s="8"/>
      <c r="G883" s="9"/>
      <c r="H883" s="8"/>
      <c r="I883" s="8"/>
      <c r="J883" s="8"/>
      <c r="K883" s="8"/>
      <c r="L883" s="8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N883" s="9"/>
      <c r="AO883" s="9"/>
      <c r="AP883" s="9"/>
      <c r="AQ883" s="9"/>
      <c r="AR883" s="9"/>
      <c r="AS883" s="9"/>
      <c r="AT883" s="9"/>
    </row>
    <row r="884" ht="17.25" customHeight="1" spans="1:46">
      <c r="A884" s="8"/>
      <c r="B884" s="8"/>
      <c r="C884" s="8"/>
      <c r="D884" s="8"/>
      <c r="E884" s="8"/>
      <c r="F884" s="8"/>
      <c r="G884" s="9"/>
      <c r="H884" s="8"/>
      <c r="I884" s="8"/>
      <c r="J884" s="8"/>
      <c r="K884" s="8"/>
      <c r="L884" s="8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N884" s="9"/>
      <c r="AO884" s="9"/>
      <c r="AP884" s="9"/>
      <c r="AQ884" s="9"/>
      <c r="AR884" s="9"/>
      <c r="AS884" s="9"/>
      <c r="AT884" s="9"/>
    </row>
    <row r="885" ht="17.25" customHeight="1" spans="1:46">
      <c r="A885" s="8"/>
      <c r="B885" s="8"/>
      <c r="C885" s="8"/>
      <c r="D885" s="8"/>
      <c r="E885" s="8"/>
      <c r="F885" s="8"/>
      <c r="G885" s="9"/>
      <c r="H885" s="8"/>
      <c r="I885" s="8"/>
      <c r="J885" s="8"/>
      <c r="K885" s="8"/>
      <c r="L885" s="8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N885" s="9"/>
      <c r="AO885" s="9"/>
      <c r="AP885" s="9"/>
      <c r="AQ885" s="9"/>
      <c r="AR885" s="9"/>
      <c r="AS885" s="9"/>
      <c r="AT885" s="9"/>
    </row>
    <row r="886" ht="17.25" customHeight="1" spans="1:46">
      <c r="A886" s="8"/>
      <c r="B886" s="8"/>
      <c r="C886" s="8"/>
      <c r="D886" s="8"/>
      <c r="E886" s="8"/>
      <c r="F886" s="8"/>
      <c r="G886" s="9"/>
      <c r="H886" s="8"/>
      <c r="I886" s="8"/>
      <c r="J886" s="8"/>
      <c r="K886" s="8"/>
      <c r="L886" s="8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N886" s="9"/>
      <c r="AO886" s="9"/>
      <c r="AP886" s="9"/>
      <c r="AQ886" s="9"/>
      <c r="AR886" s="9"/>
      <c r="AS886" s="9"/>
      <c r="AT886" s="9"/>
    </row>
    <row r="887" ht="17.25" customHeight="1" spans="1:46">
      <c r="A887" s="8"/>
      <c r="B887" s="8"/>
      <c r="C887" s="8"/>
      <c r="D887" s="8"/>
      <c r="E887" s="8"/>
      <c r="F887" s="8"/>
      <c r="G887" s="9"/>
      <c r="H887" s="8"/>
      <c r="I887" s="8"/>
      <c r="J887" s="8"/>
      <c r="K887" s="8"/>
      <c r="L887" s="8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N887" s="9"/>
      <c r="AO887" s="9"/>
      <c r="AP887" s="9"/>
      <c r="AQ887" s="9"/>
      <c r="AR887" s="9"/>
      <c r="AS887" s="9"/>
      <c r="AT887" s="9"/>
    </row>
    <row r="888" ht="17.25" customHeight="1" spans="1:46">
      <c r="A888" s="8"/>
      <c r="B888" s="8"/>
      <c r="C888" s="8"/>
      <c r="D888" s="8"/>
      <c r="E888" s="8"/>
      <c r="F888" s="8"/>
      <c r="G888" s="9"/>
      <c r="H888" s="8"/>
      <c r="I888" s="8"/>
      <c r="J888" s="8"/>
      <c r="K888" s="8"/>
      <c r="L888" s="8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N888" s="9"/>
      <c r="AO888" s="9"/>
      <c r="AP888" s="9"/>
      <c r="AQ888" s="9"/>
      <c r="AR888" s="9"/>
      <c r="AS888" s="9"/>
      <c r="AT888" s="9"/>
    </row>
    <row r="889" ht="17.25" customHeight="1" spans="1:46">
      <c r="A889" s="8"/>
      <c r="B889" s="8"/>
      <c r="C889" s="8"/>
      <c r="D889" s="8"/>
      <c r="E889" s="8"/>
      <c r="F889" s="8"/>
      <c r="G889" s="9"/>
      <c r="H889" s="8"/>
      <c r="I889" s="8"/>
      <c r="J889" s="8"/>
      <c r="K889" s="8"/>
      <c r="L889" s="8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N889" s="9"/>
      <c r="AO889" s="9"/>
      <c r="AP889" s="9"/>
      <c r="AQ889" s="9"/>
      <c r="AR889" s="9"/>
      <c r="AS889" s="9"/>
      <c r="AT889" s="9"/>
    </row>
    <row r="890" ht="17.25" customHeight="1" spans="1:46">
      <c r="A890" s="8"/>
      <c r="B890" s="8"/>
      <c r="C890" s="8"/>
      <c r="D890" s="8"/>
      <c r="E890" s="8"/>
      <c r="F890" s="8"/>
      <c r="G890" s="9"/>
      <c r="H890" s="8"/>
      <c r="I890" s="8"/>
      <c r="J890" s="8"/>
      <c r="K890" s="8"/>
      <c r="L890" s="8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N890" s="9"/>
      <c r="AO890" s="9"/>
      <c r="AP890" s="9"/>
      <c r="AQ890" s="9"/>
      <c r="AR890" s="9"/>
      <c r="AS890" s="9"/>
      <c r="AT890" s="9"/>
    </row>
    <row r="891" ht="17.25" customHeight="1" spans="1:46">
      <c r="A891" s="8"/>
      <c r="B891" s="8"/>
      <c r="C891" s="8"/>
      <c r="D891" s="8"/>
      <c r="E891" s="8"/>
      <c r="F891" s="8"/>
      <c r="G891" s="9"/>
      <c r="H891" s="8"/>
      <c r="I891" s="8"/>
      <c r="J891" s="8"/>
      <c r="K891" s="8"/>
      <c r="L891" s="8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N891" s="9"/>
      <c r="AO891" s="9"/>
      <c r="AP891" s="9"/>
      <c r="AQ891" s="9"/>
      <c r="AR891" s="9"/>
      <c r="AS891" s="9"/>
      <c r="AT891" s="9"/>
    </row>
    <row r="892" ht="17.25" customHeight="1" spans="1:46">
      <c r="A892" s="8"/>
      <c r="B892" s="8"/>
      <c r="C892" s="8"/>
      <c r="D892" s="8"/>
      <c r="E892" s="8"/>
      <c r="F892" s="8"/>
      <c r="G892" s="9"/>
      <c r="H892" s="8"/>
      <c r="I892" s="8"/>
      <c r="J892" s="8"/>
      <c r="K892" s="8"/>
      <c r="L892" s="8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N892" s="9"/>
      <c r="AO892" s="9"/>
      <c r="AP892" s="9"/>
      <c r="AQ892" s="9"/>
      <c r="AR892" s="9"/>
      <c r="AS892" s="9"/>
      <c r="AT892" s="9"/>
    </row>
    <row r="893" ht="17.25" customHeight="1" spans="1:46">
      <c r="A893" s="8"/>
      <c r="B893" s="8"/>
      <c r="C893" s="8"/>
      <c r="D893" s="8"/>
      <c r="E893" s="8"/>
      <c r="F893" s="8"/>
      <c r="G893" s="9"/>
      <c r="H893" s="8"/>
      <c r="I893" s="8"/>
      <c r="J893" s="8"/>
      <c r="K893" s="8"/>
      <c r="L893" s="8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N893" s="9"/>
      <c r="AO893" s="9"/>
      <c r="AP893" s="9"/>
      <c r="AQ893" s="9"/>
      <c r="AR893" s="9"/>
      <c r="AS893" s="9"/>
      <c r="AT893" s="9"/>
    </row>
    <row r="894" ht="17.25" customHeight="1" spans="1:46">
      <c r="A894" s="8"/>
      <c r="B894" s="8"/>
      <c r="C894" s="8"/>
      <c r="D894" s="8"/>
      <c r="E894" s="8"/>
      <c r="F894" s="8"/>
      <c r="G894" s="9"/>
      <c r="H894" s="8"/>
      <c r="I894" s="8"/>
      <c r="J894" s="8"/>
      <c r="K894" s="8"/>
      <c r="L894" s="8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N894" s="9"/>
      <c r="AO894" s="9"/>
      <c r="AP894" s="9"/>
      <c r="AQ894" s="9"/>
      <c r="AR894" s="9"/>
      <c r="AS894" s="9"/>
      <c r="AT894" s="9"/>
    </row>
    <row r="895" ht="17.25" customHeight="1" spans="1:46">
      <c r="A895" s="8"/>
      <c r="B895" s="8"/>
      <c r="C895" s="8"/>
      <c r="D895" s="8"/>
      <c r="E895" s="8"/>
      <c r="F895" s="8"/>
      <c r="G895" s="9"/>
      <c r="H895" s="8"/>
      <c r="I895" s="8"/>
      <c r="J895" s="8"/>
      <c r="K895" s="8"/>
      <c r="L895" s="8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N895" s="9"/>
      <c r="AO895" s="9"/>
      <c r="AP895" s="9"/>
      <c r="AQ895" s="9"/>
      <c r="AR895" s="9"/>
      <c r="AS895" s="9"/>
      <c r="AT895" s="9"/>
    </row>
    <row r="896" ht="17.25" customHeight="1" spans="1:46">
      <c r="A896" s="8"/>
      <c r="B896" s="8"/>
      <c r="C896" s="8"/>
      <c r="D896" s="8"/>
      <c r="E896" s="8"/>
      <c r="F896" s="8"/>
      <c r="G896" s="9"/>
      <c r="H896" s="8"/>
      <c r="I896" s="8"/>
      <c r="J896" s="8"/>
      <c r="K896" s="8"/>
      <c r="L896" s="8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N896" s="9"/>
      <c r="AO896" s="9"/>
      <c r="AP896" s="9"/>
      <c r="AQ896" s="9"/>
      <c r="AR896" s="9"/>
      <c r="AS896" s="9"/>
      <c r="AT896" s="9"/>
    </row>
    <row r="897" ht="17.25" customHeight="1" spans="1:46">
      <c r="A897" s="8"/>
      <c r="B897" s="8"/>
      <c r="C897" s="8"/>
      <c r="D897" s="8"/>
      <c r="E897" s="8"/>
      <c r="F897" s="8"/>
      <c r="G897" s="9"/>
      <c r="H897" s="8"/>
      <c r="I897" s="8"/>
      <c r="J897" s="8"/>
      <c r="K897" s="8"/>
      <c r="L897" s="8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N897" s="9"/>
      <c r="AO897" s="9"/>
      <c r="AP897" s="9"/>
      <c r="AQ897" s="9"/>
      <c r="AR897" s="9"/>
      <c r="AS897" s="9"/>
      <c r="AT897" s="9"/>
    </row>
    <row r="898" ht="17.25" customHeight="1" spans="1:46">
      <c r="A898" s="8"/>
      <c r="B898" s="8"/>
      <c r="C898" s="8"/>
      <c r="D898" s="8"/>
      <c r="E898" s="8"/>
      <c r="F898" s="8"/>
      <c r="G898" s="9"/>
      <c r="H898" s="8"/>
      <c r="I898" s="8"/>
      <c r="J898" s="8"/>
      <c r="K898" s="8"/>
      <c r="L898" s="8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N898" s="9"/>
      <c r="AO898" s="9"/>
      <c r="AP898" s="9"/>
      <c r="AQ898" s="9"/>
      <c r="AR898" s="9"/>
      <c r="AS898" s="9"/>
      <c r="AT898" s="9"/>
    </row>
    <row r="899" ht="17.25" customHeight="1" spans="1:46">
      <c r="A899" s="8"/>
      <c r="B899" s="8"/>
      <c r="C899" s="8"/>
      <c r="D899" s="8"/>
      <c r="E899" s="8"/>
      <c r="F899" s="8"/>
      <c r="G899" s="9"/>
      <c r="H899" s="8"/>
      <c r="I899" s="8"/>
      <c r="J899" s="8"/>
      <c r="K899" s="8"/>
      <c r="L899" s="8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N899" s="9"/>
      <c r="AO899" s="9"/>
      <c r="AP899" s="9"/>
      <c r="AQ899" s="9"/>
      <c r="AR899" s="9"/>
      <c r="AS899" s="9"/>
      <c r="AT899" s="9"/>
    </row>
    <row r="900" ht="17.25" customHeight="1" spans="1:46">
      <c r="A900" s="8"/>
      <c r="B900" s="8"/>
      <c r="C900" s="8"/>
      <c r="D900" s="8"/>
      <c r="E900" s="8"/>
      <c r="F900" s="8"/>
      <c r="G900" s="9"/>
      <c r="H900" s="8"/>
      <c r="I900" s="8"/>
      <c r="J900" s="8"/>
      <c r="K900" s="8"/>
      <c r="L900" s="8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N900" s="9"/>
      <c r="AO900" s="9"/>
      <c r="AP900" s="9"/>
      <c r="AQ900" s="9"/>
      <c r="AR900" s="9"/>
      <c r="AS900" s="9"/>
      <c r="AT900" s="9"/>
    </row>
    <row r="901" ht="17.25" customHeight="1" spans="1:46">
      <c r="A901" s="8"/>
      <c r="B901" s="8"/>
      <c r="C901" s="8"/>
      <c r="D901" s="8"/>
      <c r="E901" s="8"/>
      <c r="F901" s="8"/>
      <c r="G901" s="9"/>
      <c r="H901" s="8"/>
      <c r="I901" s="8"/>
      <c r="J901" s="8"/>
      <c r="K901" s="8"/>
      <c r="L901" s="8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N901" s="9"/>
      <c r="AO901" s="9"/>
      <c r="AP901" s="9"/>
      <c r="AQ901" s="9"/>
      <c r="AR901" s="9"/>
      <c r="AS901" s="9"/>
      <c r="AT901" s="9"/>
    </row>
    <row r="902" ht="17.25" customHeight="1" spans="1:46">
      <c r="A902" s="8"/>
      <c r="B902" s="8"/>
      <c r="C902" s="8"/>
      <c r="D902" s="8"/>
      <c r="E902" s="8"/>
      <c r="F902" s="8"/>
      <c r="G902" s="9"/>
      <c r="H902" s="8"/>
      <c r="I902" s="8"/>
      <c r="J902" s="8"/>
      <c r="K902" s="8"/>
      <c r="L902" s="8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N902" s="9"/>
      <c r="AO902" s="9"/>
      <c r="AP902" s="9"/>
      <c r="AQ902" s="9"/>
      <c r="AR902" s="9"/>
      <c r="AS902" s="9"/>
      <c r="AT902" s="9"/>
    </row>
    <row r="903" ht="17.25" customHeight="1" spans="1:46">
      <c r="A903" s="8"/>
      <c r="B903" s="8"/>
      <c r="C903" s="8"/>
      <c r="D903" s="8"/>
      <c r="E903" s="8"/>
      <c r="F903" s="8"/>
      <c r="G903" s="9"/>
      <c r="H903" s="8"/>
      <c r="I903" s="8"/>
      <c r="J903" s="8"/>
      <c r="K903" s="8"/>
      <c r="L903" s="8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N903" s="9"/>
      <c r="AO903" s="9"/>
      <c r="AP903" s="9"/>
      <c r="AQ903" s="9"/>
      <c r="AR903" s="9"/>
      <c r="AS903" s="9"/>
      <c r="AT903" s="9"/>
    </row>
    <row r="904" ht="17.25" customHeight="1" spans="1:46">
      <c r="A904" s="8"/>
      <c r="B904" s="8"/>
      <c r="C904" s="8"/>
      <c r="D904" s="8"/>
      <c r="E904" s="8"/>
      <c r="F904" s="8"/>
      <c r="G904" s="9"/>
      <c r="H904" s="8"/>
      <c r="I904" s="8"/>
      <c r="J904" s="8"/>
      <c r="K904" s="8"/>
      <c r="L904" s="8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N904" s="9"/>
      <c r="AO904" s="9"/>
      <c r="AP904" s="9"/>
      <c r="AQ904" s="9"/>
      <c r="AR904" s="9"/>
      <c r="AS904" s="9"/>
      <c r="AT904" s="9"/>
    </row>
    <row r="905" ht="17.25" customHeight="1" spans="1:46">
      <c r="A905" s="8"/>
      <c r="B905" s="8"/>
      <c r="C905" s="8"/>
      <c r="D905" s="8"/>
      <c r="E905" s="8"/>
      <c r="F905" s="8"/>
      <c r="G905" s="9"/>
      <c r="H905" s="8"/>
      <c r="I905" s="8"/>
      <c r="J905" s="8"/>
      <c r="K905" s="8"/>
      <c r="L905" s="8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N905" s="9"/>
      <c r="AO905" s="9"/>
      <c r="AP905" s="9"/>
      <c r="AQ905" s="9"/>
      <c r="AR905" s="9"/>
      <c r="AS905" s="9"/>
      <c r="AT905" s="9"/>
    </row>
    <row r="906" ht="17.25" customHeight="1" spans="1:46">
      <c r="A906" s="8"/>
      <c r="B906" s="8"/>
      <c r="C906" s="8"/>
      <c r="D906" s="8"/>
      <c r="E906" s="8"/>
      <c r="F906" s="8"/>
      <c r="G906" s="9"/>
      <c r="H906" s="8"/>
      <c r="I906" s="8"/>
      <c r="J906" s="8"/>
      <c r="K906" s="8"/>
      <c r="L906" s="8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N906" s="9"/>
      <c r="AO906" s="9"/>
      <c r="AP906" s="9"/>
      <c r="AQ906" s="9"/>
      <c r="AR906" s="9"/>
      <c r="AS906" s="9"/>
      <c r="AT906" s="9"/>
    </row>
    <row r="907" ht="17.25" customHeight="1" spans="1:46">
      <c r="A907" s="8"/>
      <c r="B907" s="8"/>
      <c r="C907" s="8"/>
      <c r="D907" s="8"/>
      <c r="E907" s="8"/>
      <c r="F907" s="8"/>
      <c r="G907" s="9"/>
      <c r="H907" s="8"/>
      <c r="I907" s="8"/>
      <c r="J907" s="8"/>
      <c r="K907" s="8"/>
      <c r="L907" s="8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N907" s="9"/>
      <c r="AO907" s="9"/>
      <c r="AP907" s="9"/>
      <c r="AQ907" s="9"/>
      <c r="AR907" s="9"/>
      <c r="AS907" s="9"/>
      <c r="AT907" s="9"/>
    </row>
    <row r="908" ht="17.25" customHeight="1" spans="1:46">
      <c r="A908" s="8"/>
      <c r="B908" s="8"/>
      <c r="C908" s="8"/>
      <c r="D908" s="8"/>
      <c r="E908" s="8"/>
      <c r="F908" s="8"/>
      <c r="G908" s="9"/>
      <c r="H908" s="8"/>
      <c r="I908" s="8"/>
      <c r="J908" s="8"/>
      <c r="K908" s="8"/>
      <c r="L908" s="8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N908" s="9"/>
      <c r="AO908" s="9"/>
      <c r="AP908" s="9"/>
      <c r="AQ908" s="9"/>
      <c r="AR908" s="9"/>
      <c r="AS908" s="9"/>
      <c r="AT908" s="9"/>
    </row>
    <row r="909" ht="17.25" customHeight="1" spans="1:46">
      <c r="A909" s="8"/>
      <c r="B909" s="8"/>
      <c r="C909" s="8"/>
      <c r="D909" s="8"/>
      <c r="E909" s="8"/>
      <c r="F909" s="8"/>
      <c r="G909" s="9"/>
      <c r="H909" s="8"/>
      <c r="I909" s="8"/>
      <c r="J909" s="8"/>
      <c r="K909" s="8"/>
      <c r="L909" s="8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N909" s="9"/>
      <c r="AO909" s="9"/>
      <c r="AP909" s="9"/>
      <c r="AQ909" s="9"/>
      <c r="AR909" s="9"/>
      <c r="AS909" s="9"/>
      <c r="AT909" s="9"/>
    </row>
    <row r="910" ht="17.25" customHeight="1" spans="1:46">
      <c r="A910" s="8"/>
      <c r="B910" s="8"/>
      <c r="C910" s="8"/>
      <c r="D910" s="8"/>
      <c r="E910" s="8"/>
      <c r="F910" s="8"/>
      <c r="G910" s="9"/>
      <c r="H910" s="8"/>
      <c r="I910" s="8"/>
      <c r="J910" s="8"/>
      <c r="K910" s="8"/>
      <c r="L910" s="8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N910" s="9"/>
      <c r="AO910" s="9"/>
      <c r="AP910" s="9"/>
      <c r="AQ910" s="9"/>
      <c r="AR910" s="9"/>
      <c r="AS910" s="9"/>
      <c r="AT910" s="9"/>
    </row>
    <row r="911" ht="17.25" customHeight="1" spans="1:46">
      <c r="A911" s="8"/>
      <c r="B911" s="8"/>
      <c r="C911" s="8"/>
      <c r="D911" s="8"/>
      <c r="E911" s="8"/>
      <c r="F911" s="8"/>
      <c r="G911" s="9"/>
      <c r="H911" s="8"/>
      <c r="I911" s="8"/>
      <c r="J911" s="8"/>
      <c r="K911" s="8"/>
      <c r="L911" s="8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N911" s="9"/>
      <c r="AO911" s="9"/>
      <c r="AP911" s="9"/>
      <c r="AQ911" s="9"/>
      <c r="AR911" s="9"/>
      <c r="AS911" s="9"/>
      <c r="AT911" s="9"/>
    </row>
    <row r="912" ht="17.25" customHeight="1" spans="1:46">
      <c r="A912" s="8"/>
      <c r="B912" s="8"/>
      <c r="C912" s="8"/>
      <c r="D912" s="8"/>
      <c r="E912" s="8"/>
      <c r="F912" s="8"/>
      <c r="G912" s="9"/>
      <c r="H912" s="8"/>
      <c r="I912" s="8"/>
      <c r="J912" s="8"/>
      <c r="K912" s="8"/>
      <c r="L912" s="8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N912" s="9"/>
      <c r="AO912" s="9"/>
      <c r="AP912" s="9"/>
      <c r="AQ912" s="9"/>
      <c r="AR912" s="9"/>
      <c r="AS912" s="9"/>
      <c r="AT912" s="9"/>
    </row>
    <row r="913" ht="17.25" customHeight="1" spans="1:46">
      <c r="A913" s="8"/>
      <c r="B913" s="8"/>
      <c r="C913" s="8"/>
      <c r="D913" s="8"/>
      <c r="E913" s="8"/>
      <c r="F913" s="8"/>
      <c r="G913" s="9"/>
      <c r="H913" s="8"/>
      <c r="I913" s="8"/>
      <c r="J913" s="8"/>
      <c r="K913" s="8"/>
      <c r="L913" s="8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N913" s="9"/>
      <c r="AO913" s="9"/>
      <c r="AP913" s="9"/>
      <c r="AQ913" s="9"/>
      <c r="AR913" s="9"/>
      <c r="AS913" s="9"/>
      <c r="AT913" s="9"/>
    </row>
    <row r="914" ht="17.25" customHeight="1" spans="1:46">
      <c r="A914" s="8"/>
      <c r="B914" s="8"/>
      <c r="C914" s="8"/>
      <c r="D914" s="8"/>
      <c r="E914" s="8"/>
      <c r="F914" s="8"/>
      <c r="G914" s="9"/>
      <c r="H914" s="8"/>
      <c r="I914" s="8"/>
      <c r="J914" s="8"/>
      <c r="K914" s="8"/>
      <c r="L914" s="8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N914" s="9"/>
      <c r="AO914" s="9"/>
      <c r="AP914" s="9"/>
      <c r="AQ914" s="9"/>
      <c r="AR914" s="9"/>
      <c r="AS914" s="9"/>
      <c r="AT914" s="9"/>
    </row>
    <row r="915" ht="17.25" customHeight="1" spans="1:46">
      <c r="A915" s="8"/>
      <c r="B915" s="8"/>
      <c r="C915" s="8"/>
      <c r="D915" s="8"/>
      <c r="E915" s="8"/>
      <c r="F915" s="8"/>
      <c r="G915" s="9"/>
      <c r="H915" s="8"/>
      <c r="I915" s="8"/>
      <c r="J915" s="8"/>
      <c r="K915" s="8"/>
      <c r="L915" s="8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N915" s="9"/>
      <c r="AO915" s="9"/>
      <c r="AP915" s="9"/>
      <c r="AQ915" s="9"/>
      <c r="AR915" s="9"/>
      <c r="AS915" s="9"/>
      <c r="AT915" s="9"/>
    </row>
    <row r="916" ht="17.25" customHeight="1" spans="1:46">
      <c r="A916" s="8"/>
      <c r="B916" s="8"/>
      <c r="C916" s="8"/>
      <c r="D916" s="8"/>
      <c r="E916" s="8"/>
      <c r="F916" s="8"/>
      <c r="G916" s="9"/>
      <c r="H916" s="8"/>
      <c r="I916" s="8"/>
      <c r="J916" s="8"/>
      <c r="K916" s="8"/>
      <c r="L916" s="8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N916" s="9"/>
      <c r="AO916" s="9"/>
      <c r="AP916" s="9"/>
      <c r="AQ916" s="9"/>
      <c r="AR916" s="9"/>
      <c r="AS916" s="9"/>
      <c r="AT916" s="9"/>
    </row>
    <row r="917" ht="17.25" customHeight="1" spans="1:46">
      <c r="A917" s="8"/>
      <c r="B917" s="8"/>
      <c r="C917" s="8"/>
      <c r="D917" s="8"/>
      <c r="E917" s="8"/>
      <c r="F917" s="8"/>
      <c r="G917" s="9"/>
      <c r="H917" s="8"/>
      <c r="I917" s="8"/>
      <c r="J917" s="8"/>
      <c r="K917" s="8"/>
      <c r="L917" s="8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N917" s="9"/>
      <c r="AO917" s="9"/>
      <c r="AP917" s="9"/>
      <c r="AQ917" s="9"/>
      <c r="AR917" s="9"/>
      <c r="AS917" s="9"/>
      <c r="AT917" s="9"/>
    </row>
    <row r="918" ht="17.25" customHeight="1" spans="1:46">
      <c r="A918" s="8"/>
      <c r="B918" s="8"/>
      <c r="C918" s="8"/>
      <c r="D918" s="8"/>
      <c r="E918" s="8"/>
      <c r="F918" s="8"/>
      <c r="G918" s="9"/>
      <c r="H918" s="8"/>
      <c r="I918" s="8"/>
      <c r="J918" s="8"/>
      <c r="K918" s="8"/>
      <c r="L918" s="8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N918" s="9"/>
      <c r="AO918" s="9"/>
      <c r="AP918" s="9"/>
      <c r="AQ918" s="9"/>
      <c r="AR918" s="9"/>
      <c r="AS918" s="9"/>
      <c r="AT918" s="9"/>
    </row>
    <row r="919" ht="17.25" customHeight="1" spans="1:46">
      <c r="A919" s="8"/>
      <c r="B919" s="8"/>
      <c r="C919" s="8"/>
      <c r="D919" s="8"/>
      <c r="E919" s="8"/>
      <c r="F919" s="8"/>
      <c r="G919" s="9"/>
      <c r="H919" s="8"/>
      <c r="I919" s="8"/>
      <c r="J919" s="8"/>
      <c r="K919" s="8"/>
      <c r="L919" s="8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N919" s="9"/>
      <c r="AO919" s="9"/>
      <c r="AP919" s="9"/>
      <c r="AQ919" s="9"/>
      <c r="AR919" s="9"/>
      <c r="AS919" s="9"/>
      <c r="AT919" s="9"/>
    </row>
    <row r="920" ht="17.25" customHeight="1" spans="1:46">
      <c r="A920" s="8"/>
      <c r="B920" s="8"/>
      <c r="C920" s="8"/>
      <c r="D920" s="8"/>
      <c r="E920" s="8"/>
      <c r="F920" s="8"/>
      <c r="G920" s="9"/>
      <c r="H920" s="8"/>
      <c r="I920" s="8"/>
      <c r="J920" s="8"/>
      <c r="K920" s="8"/>
      <c r="L920" s="8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N920" s="9"/>
      <c r="AO920" s="9"/>
      <c r="AP920" s="9"/>
      <c r="AQ920" s="9"/>
      <c r="AR920" s="9"/>
      <c r="AS920" s="9"/>
      <c r="AT920" s="9"/>
    </row>
    <row r="921" ht="17.25" customHeight="1" spans="1:46">
      <c r="A921" s="8"/>
      <c r="B921" s="8"/>
      <c r="C921" s="8"/>
      <c r="D921" s="8"/>
      <c r="E921" s="8"/>
      <c r="F921" s="8"/>
      <c r="G921" s="9"/>
      <c r="H921" s="8"/>
      <c r="I921" s="8"/>
      <c r="J921" s="8"/>
      <c r="K921" s="8"/>
      <c r="L921" s="8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N921" s="9"/>
      <c r="AO921" s="9"/>
      <c r="AP921" s="9"/>
      <c r="AQ921" s="9"/>
      <c r="AR921" s="9"/>
      <c r="AS921" s="9"/>
      <c r="AT921" s="9"/>
    </row>
    <row r="922" ht="17.25" customHeight="1" spans="1:46">
      <c r="A922" s="8"/>
      <c r="B922" s="8"/>
      <c r="C922" s="8"/>
      <c r="D922" s="8"/>
      <c r="E922" s="8"/>
      <c r="F922" s="8"/>
      <c r="G922" s="9"/>
      <c r="H922" s="8"/>
      <c r="I922" s="8"/>
      <c r="J922" s="8"/>
      <c r="K922" s="8"/>
      <c r="L922" s="8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N922" s="9"/>
      <c r="AO922" s="9"/>
      <c r="AP922" s="9"/>
      <c r="AQ922" s="9"/>
      <c r="AR922" s="9"/>
      <c r="AS922" s="9"/>
      <c r="AT922" s="9"/>
    </row>
    <row r="923" ht="17.25" customHeight="1" spans="1:46">
      <c r="A923" s="8"/>
      <c r="B923" s="8"/>
      <c r="C923" s="8"/>
      <c r="D923" s="8"/>
      <c r="E923" s="8"/>
      <c r="F923" s="8"/>
      <c r="G923" s="9"/>
      <c r="H923" s="8"/>
      <c r="I923" s="8"/>
      <c r="J923" s="8"/>
      <c r="K923" s="8"/>
      <c r="L923" s="8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N923" s="9"/>
      <c r="AO923" s="9"/>
      <c r="AP923" s="9"/>
      <c r="AQ923" s="9"/>
      <c r="AR923" s="9"/>
      <c r="AS923" s="9"/>
      <c r="AT923" s="9"/>
    </row>
    <row r="924" ht="17.25" customHeight="1" spans="1:46">
      <c r="A924" s="8"/>
      <c r="B924" s="8"/>
      <c r="C924" s="8"/>
      <c r="D924" s="8"/>
      <c r="E924" s="8"/>
      <c r="F924" s="8"/>
      <c r="G924" s="9"/>
      <c r="H924" s="8"/>
      <c r="I924" s="8"/>
      <c r="J924" s="8"/>
      <c r="K924" s="8"/>
      <c r="L924" s="8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N924" s="9"/>
      <c r="AO924" s="9"/>
      <c r="AP924" s="9"/>
      <c r="AQ924" s="9"/>
      <c r="AR924" s="9"/>
      <c r="AS924" s="9"/>
      <c r="AT924" s="9"/>
    </row>
    <row r="925" ht="17.25" customHeight="1" spans="1:46">
      <c r="A925" s="8"/>
      <c r="B925" s="8"/>
      <c r="C925" s="8"/>
      <c r="D925" s="8"/>
      <c r="E925" s="8"/>
      <c r="F925" s="8"/>
      <c r="G925" s="9"/>
      <c r="H925" s="8"/>
      <c r="I925" s="8"/>
      <c r="J925" s="8"/>
      <c r="K925" s="8"/>
      <c r="L925" s="8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N925" s="9"/>
      <c r="AO925" s="9"/>
      <c r="AP925" s="9"/>
      <c r="AQ925" s="9"/>
      <c r="AR925" s="9"/>
      <c r="AS925" s="9"/>
      <c r="AT925" s="9"/>
    </row>
    <row r="926" ht="17.25" customHeight="1" spans="1:46">
      <c r="A926" s="8"/>
      <c r="B926" s="8"/>
      <c r="C926" s="8"/>
      <c r="D926" s="8"/>
      <c r="E926" s="8"/>
      <c r="F926" s="8"/>
      <c r="G926" s="9"/>
      <c r="H926" s="8"/>
      <c r="I926" s="8"/>
      <c r="J926" s="8"/>
      <c r="K926" s="8"/>
      <c r="L926" s="8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N926" s="9"/>
      <c r="AO926" s="9"/>
      <c r="AP926" s="9"/>
      <c r="AQ926" s="9"/>
      <c r="AR926" s="9"/>
      <c r="AS926" s="9"/>
      <c r="AT926" s="9"/>
    </row>
    <row r="927" ht="17.25" customHeight="1" spans="1:46">
      <c r="A927" s="8"/>
      <c r="B927" s="8"/>
      <c r="C927" s="8"/>
      <c r="D927" s="8"/>
      <c r="E927" s="8"/>
      <c r="F927" s="8"/>
      <c r="G927" s="9"/>
      <c r="H927" s="8"/>
      <c r="I927" s="8"/>
      <c r="J927" s="8"/>
      <c r="K927" s="8"/>
      <c r="L927" s="8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N927" s="9"/>
      <c r="AO927" s="9"/>
      <c r="AP927" s="9"/>
      <c r="AQ927" s="9"/>
      <c r="AR927" s="9"/>
      <c r="AS927" s="9"/>
      <c r="AT927" s="9"/>
    </row>
    <row r="928" ht="17.25" customHeight="1" spans="1:46">
      <c r="A928" s="8"/>
      <c r="B928" s="8"/>
      <c r="C928" s="8"/>
      <c r="D928" s="8"/>
      <c r="E928" s="8"/>
      <c r="F928" s="8"/>
      <c r="G928" s="9"/>
      <c r="H928" s="8"/>
      <c r="I928" s="8"/>
      <c r="J928" s="8"/>
      <c r="K928" s="8"/>
      <c r="L928" s="8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N928" s="9"/>
      <c r="AO928" s="9"/>
      <c r="AP928" s="9"/>
      <c r="AQ928" s="9"/>
      <c r="AR928" s="9"/>
      <c r="AS928" s="9"/>
      <c r="AT928" s="9"/>
    </row>
    <row r="929" ht="17.25" customHeight="1" spans="1:46">
      <c r="A929" s="8"/>
      <c r="B929" s="8"/>
      <c r="C929" s="8"/>
      <c r="D929" s="8"/>
      <c r="E929" s="8"/>
      <c r="F929" s="8"/>
      <c r="G929" s="9"/>
      <c r="H929" s="8"/>
      <c r="I929" s="8"/>
      <c r="J929" s="8"/>
      <c r="K929" s="8"/>
      <c r="L929" s="8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N929" s="9"/>
      <c r="AO929" s="9"/>
      <c r="AP929" s="9"/>
      <c r="AQ929" s="9"/>
      <c r="AR929" s="9"/>
      <c r="AS929" s="9"/>
      <c r="AT929" s="9"/>
    </row>
    <row r="930" ht="17.25" customHeight="1" spans="1:46">
      <c r="A930" s="8"/>
      <c r="B930" s="8"/>
      <c r="C930" s="8"/>
      <c r="D930" s="8"/>
      <c r="E930" s="8"/>
      <c r="F930" s="8"/>
      <c r="G930" s="9"/>
      <c r="H930" s="8"/>
      <c r="I930" s="8"/>
      <c r="J930" s="8"/>
      <c r="K930" s="8"/>
      <c r="L930" s="8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N930" s="9"/>
      <c r="AO930" s="9"/>
      <c r="AP930" s="9"/>
      <c r="AQ930" s="9"/>
      <c r="AR930" s="9"/>
      <c r="AS930" s="9"/>
      <c r="AT930" s="9"/>
    </row>
    <row r="931" ht="17.25" customHeight="1" spans="1:46">
      <c r="A931" s="8"/>
      <c r="B931" s="8"/>
      <c r="C931" s="8"/>
      <c r="D931" s="8"/>
      <c r="E931" s="8"/>
      <c r="F931" s="8"/>
      <c r="G931" s="9"/>
      <c r="H931" s="8"/>
      <c r="I931" s="8"/>
      <c r="J931" s="8"/>
      <c r="K931" s="8"/>
      <c r="L931" s="8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N931" s="9"/>
      <c r="AO931" s="9"/>
      <c r="AP931" s="9"/>
      <c r="AQ931" s="9"/>
      <c r="AR931" s="9"/>
      <c r="AS931" s="9"/>
      <c r="AT931" s="9"/>
    </row>
    <row r="932" ht="17.25" customHeight="1" spans="1:46">
      <c r="A932" s="8"/>
      <c r="B932" s="8"/>
      <c r="C932" s="8"/>
      <c r="D932" s="8"/>
      <c r="E932" s="8"/>
      <c r="F932" s="8"/>
      <c r="G932" s="9"/>
      <c r="H932" s="8"/>
      <c r="I932" s="8"/>
      <c r="J932" s="8"/>
      <c r="K932" s="8"/>
      <c r="L932" s="8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N932" s="9"/>
      <c r="AO932" s="9"/>
      <c r="AP932" s="9"/>
      <c r="AQ932" s="9"/>
      <c r="AR932" s="9"/>
      <c r="AS932" s="9"/>
      <c r="AT932" s="9"/>
    </row>
    <row r="933" ht="17.25" customHeight="1" spans="1:46">
      <c r="A933" s="8"/>
      <c r="B933" s="8"/>
      <c r="C933" s="8"/>
      <c r="D933" s="8"/>
      <c r="E933" s="8"/>
      <c r="F933" s="8"/>
      <c r="G933" s="9"/>
      <c r="H933" s="8"/>
      <c r="I933" s="8"/>
      <c r="J933" s="8"/>
      <c r="K933" s="8"/>
      <c r="L933" s="8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N933" s="9"/>
      <c r="AO933" s="9"/>
      <c r="AP933" s="9"/>
      <c r="AQ933" s="9"/>
      <c r="AR933" s="9"/>
      <c r="AS933" s="9"/>
      <c r="AT933" s="9"/>
    </row>
    <row r="934" ht="17.25" customHeight="1" spans="1:46">
      <c r="A934" s="8"/>
      <c r="B934" s="8"/>
      <c r="C934" s="8"/>
      <c r="D934" s="8"/>
      <c r="E934" s="8"/>
      <c r="F934" s="8"/>
      <c r="G934" s="9"/>
      <c r="H934" s="8"/>
      <c r="I934" s="8"/>
      <c r="J934" s="8"/>
      <c r="K934" s="8"/>
      <c r="L934" s="8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N934" s="9"/>
      <c r="AO934" s="9"/>
      <c r="AP934" s="9"/>
      <c r="AQ934" s="9"/>
      <c r="AR934" s="9"/>
      <c r="AS934" s="9"/>
      <c r="AT934" s="9"/>
    </row>
    <row r="935" ht="17.25" customHeight="1" spans="1:46">
      <c r="A935" s="8"/>
      <c r="B935" s="8"/>
      <c r="C935" s="8"/>
      <c r="D935" s="8"/>
      <c r="E935" s="8"/>
      <c r="F935" s="8"/>
      <c r="G935" s="9"/>
      <c r="H935" s="8"/>
      <c r="I935" s="8"/>
      <c r="J935" s="8"/>
      <c r="K935" s="8"/>
      <c r="L935" s="8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N935" s="9"/>
      <c r="AO935" s="9"/>
      <c r="AP935" s="9"/>
      <c r="AQ935" s="9"/>
      <c r="AR935" s="9"/>
      <c r="AS935" s="9"/>
      <c r="AT935" s="9"/>
    </row>
    <row r="936" ht="17.25" customHeight="1" spans="1:46">
      <c r="A936" s="8"/>
      <c r="B936" s="8"/>
      <c r="C936" s="8"/>
      <c r="D936" s="8"/>
      <c r="E936" s="8"/>
      <c r="F936" s="8"/>
      <c r="G936" s="9"/>
      <c r="H936" s="8"/>
      <c r="I936" s="8"/>
      <c r="J936" s="8"/>
      <c r="K936" s="8"/>
      <c r="L936" s="8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N936" s="9"/>
      <c r="AO936" s="9"/>
      <c r="AP936" s="9"/>
      <c r="AQ936" s="9"/>
      <c r="AR936" s="9"/>
      <c r="AS936" s="9"/>
      <c r="AT936" s="9"/>
    </row>
    <row r="937" ht="17.25" customHeight="1" spans="1:46">
      <c r="A937" s="8"/>
      <c r="B937" s="8"/>
      <c r="C937" s="8"/>
      <c r="D937" s="8"/>
      <c r="E937" s="8"/>
      <c r="F937" s="8"/>
      <c r="G937" s="9"/>
      <c r="H937" s="8"/>
      <c r="I937" s="8"/>
      <c r="J937" s="8"/>
      <c r="K937" s="8"/>
      <c r="L937" s="8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N937" s="9"/>
      <c r="AO937" s="9"/>
      <c r="AP937" s="9"/>
      <c r="AQ937" s="9"/>
      <c r="AR937" s="9"/>
      <c r="AS937" s="9"/>
      <c r="AT937" s="9"/>
    </row>
    <row r="938" ht="17.25" customHeight="1" spans="1:46">
      <c r="A938" s="8"/>
      <c r="B938" s="8"/>
      <c r="C938" s="8"/>
      <c r="D938" s="8"/>
      <c r="E938" s="8"/>
      <c r="F938" s="8"/>
      <c r="G938" s="9"/>
      <c r="H938" s="8"/>
      <c r="I938" s="8"/>
      <c r="J938" s="8"/>
      <c r="K938" s="8"/>
      <c r="L938" s="8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N938" s="9"/>
      <c r="AO938" s="9"/>
      <c r="AP938" s="9"/>
      <c r="AQ938" s="9"/>
      <c r="AR938" s="9"/>
      <c r="AS938" s="9"/>
      <c r="AT938" s="9"/>
    </row>
    <row r="939" ht="17.25" customHeight="1" spans="1:46">
      <c r="A939" s="8"/>
      <c r="B939" s="8"/>
      <c r="C939" s="8"/>
      <c r="D939" s="8"/>
      <c r="E939" s="8"/>
      <c r="F939" s="8"/>
      <c r="G939" s="9"/>
      <c r="H939" s="8"/>
      <c r="I939" s="8"/>
      <c r="J939" s="8"/>
      <c r="K939" s="8"/>
      <c r="L939" s="8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N939" s="9"/>
      <c r="AO939" s="9"/>
      <c r="AP939" s="9"/>
      <c r="AQ939" s="9"/>
      <c r="AR939" s="9"/>
      <c r="AS939" s="9"/>
      <c r="AT939" s="9"/>
    </row>
    <row r="940" ht="17.25" customHeight="1" spans="1:46">
      <c r="A940" s="8"/>
      <c r="B940" s="8"/>
      <c r="C940" s="8"/>
      <c r="D940" s="8"/>
      <c r="E940" s="8"/>
      <c r="F940" s="8"/>
      <c r="G940" s="9"/>
      <c r="H940" s="8"/>
      <c r="I940" s="8"/>
      <c r="J940" s="8"/>
      <c r="K940" s="8"/>
      <c r="L940" s="8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N940" s="9"/>
      <c r="AO940" s="9"/>
      <c r="AP940" s="9"/>
      <c r="AQ940" s="9"/>
      <c r="AR940" s="9"/>
      <c r="AS940" s="9"/>
      <c r="AT940" s="9"/>
    </row>
    <row r="941" ht="17.25" customHeight="1" spans="1:46">
      <c r="A941" s="8"/>
      <c r="B941" s="8"/>
      <c r="C941" s="8"/>
      <c r="D941" s="8"/>
      <c r="E941" s="8"/>
      <c r="F941" s="8"/>
      <c r="G941" s="9"/>
      <c r="H941" s="8"/>
      <c r="I941" s="8"/>
      <c r="J941" s="8"/>
      <c r="K941" s="8"/>
      <c r="L941" s="8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N941" s="9"/>
      <c r="AO941" s="9"/>
      <c r="AP941" s="9"/>
      <c r="AQ941" s="9"/>
      <c r="AR941" s="9"/>
      <c r="AS941" s="9"/>
      <c r="AT941" s="9"/>
    </row>
    <row r="942" ht="17.25" customHeight="1" spans="1:46">
      <c r="A942" s="8"/>
      <c r="B942" s="8"/>
      <c r="C942" s="8"/>
      <c r="D942" s="8"/>
      <c r="E942" s="8"/>
      <c r="F942" s="8"/>
      <c r="G942" s="9"/>
      <c r="H942" s="8"/>
      <c r="I942" s="8"/>
      <c r="J942" s="8"/>
      <c r="K942" s="8"/>
      <c r="L942" s="8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N942" s="9"/>
      <c r="AO942" s="9"/>
      <c r="AP942" s="9"/>
      <c r="AQ942" s="9"/>
      <c r="AR942" s="9"/>
      <c r="AS942" s="9"/>
      <c r="AT942" s="9"/>
    </row>
    <row r="943" ht="17.25" customHeight="1" spans="1:46">
      <c r="A943" s="8"/>
      <c r="B943" s="8"/>
      <c r="C943" s="8"/>
      <c r="D943" s="8"/>
      <c r="E943" s="8"/>
      <c r="F943" s="8"/>
      <c r="G943" s="9"/>
      <c r="H943" s="8"/>
      <c r="I943" s="8"/>
      <c r="J943" s="8"/>
      <c r="K943" s="8"/>
      <c r="L943" s="8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N943" s="9"/>
      <c r="AO943" s="9"/>
      <c r="AP943" s="9"/>
      <c r="AQ943" s="9"/>
      <c r="AR943" s="9"/>
      <c r="AS943" s="9"/>
      <c r="AT943" s="9"/>
    </row>
    <row r="944" ht="17.25" customHeight="1" spans="1:46">
      <c r="A944" s="8"/>
      <c r="B944" s="8"/>
      <c r="C944" s="8"/>
      <c r="D944" s="8"/>
      <c r="E944" s="8"/>
      <c r="F944" s="8"/>
      <c r="G944" s="9"/>
      <c r="H944" s="8"/>
      <c r="I944" s="8"/>
      <c r="J944" s="8"/>
      <c r="K944" s="8"/>
      <c r="L944" s="8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N944" s="9"/>
      <c r="AO944" s="9"/>
      <c r="AP944" s="9"/>
      <c r="AQ944" s="9"/>
      <c r="AR944" s="9"/>
      <c r="AS944" s="9"/>
      <c r="AT944" s="9"/>
    </row>
    <row r="945" ht="17.25" customHeight="1" spans="1:46">
      <c r="A945" s="8"/>
      <c r="B945" s="8"/>
      <c r="C945" s="8"/>
      <c r="D945" s="8"/>
      <c r="E945" s="8"/>
      <c r="F945" s="8"/>
      <c r="G945" s="9"/>
      <c r="H945" s="8"/>
      <c r="I945" s="8"/>
      <c r="J945" s="8"/>
      <c r="K945" s="8"/>
      <c r="L945" s="8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N945" s="9"/>
      <c r="AO945" s="9"/>
      <c r="AP945" s="9"/>
      <c r="AQ945" s="9"/>
      <c r="AR945" s="9"/>
      <c r="AS945" s="9"/>
      <c r="AT945" s="9"/>
    </row>
    <row r="946" ht="17.25" customHeight="1" spans="1:46">
      <c r="A946" s="8"/>
      <c r="B946" s="8"/>
      <c r="C946" s="8"/>
      <c r="D946" s="8"/>
      <c r="E946" s="8"/>
      <c r="F946" s="8"/>
      <c r="G946" s="9"/>
      <c r="H946" s="8"/>
      <c r="I946" s="8"/>
      <c r="J946" s="8"/>
      <c r="K946" s="8"/>
      <c r="L946" s="8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N946" s="9"/>
      <c r="AO946" s="9"/>
      <c r="AP946" s="9"/>
      <c r="AQ946" s="9"/>
      <c r="AR946" s="9"/>
      <c r="AS946" s="9"/>
      <c r="AT946" s="9"/>
    </row>
    <row r="947" ht="17.25" customHeight="1" spans="1:46">
      <c r="A947" s="8"/>
      <c r="B947" s="8"/>
      <c r="C947" s="8"/>
      <c r="D947" s="8"/>
      <c r="E947" s="8"/>
      <c r="F947" s="8"/>
      <c r="G947" s="9"/>
      <c r="H947" s="8"/>
      <c r="I947" s="8"/>
      <c r="J947" s="8"/>
      <c r="K947" s="8"/>
      <c r="L947" s="8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N947" s="9"/>
      <c r="AO947" s="9"/>
      <c r="AP947" s="9"/>
      <c r="AQ947" s="9"/>
      <c r="AR947" s="9"/>
      <c r="AS947" s="9"/>
      <c r="AT947" s="9"/>
    </row>
    <row r="948" ht="17.25" customHeight="1" spans="1:46">
      <c r="A948" s="8"/>
      <c r="B948" s="8"/>
      <c r="C948" s="8"/>
      <c r="D948" s="8"/>
      <c r="E948" s="8"/>
      <c r="F948" s="8"/>
      <c r="G948" s="9"/>
      <c r="H948" s="8"/>
      <c r="I948" s="8"/>
      <c r="J948" s="8"/>
      <c r="K948" s="8"/>
      <c r="L948" s="8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N948" s="9"/>
      <c r="AO948" s="9"/>
      <c r="AP948" s="9"/>
      <c r="AQ948" s="9"/>
      <c r="AR948" s="9"/>
      <c r="AS948" s="9"/>
      <c r="AT948" s="9"/>
    </row>
    <row r="949" ht="17.25" customHeight="1" spans="1:46">
      <c r="A949" s="8"/>
      <c r="B949" s="8"/>
      <c r="C949" s="8"/>
      <c r="D949" s="8"/>
      <c r="E949" s="8"/>
      <c r="F949" s="8"/>
      <c r="G949" s="9"/>
      <c r="H949" s="8"/>
      <c r="I949" s="8"/>
      <c r="J949" s="8"/>
      <c r="K949" s="8"/>
      <c r="L949" s="8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N949" s="9"/>
      <c r="AO949" s="9"/>
      <c r="AP949" s="9"/>
      <c r="AQ949" s="9"/>
      <c r="AR949" s="9"/>
      <c r="AS949" s="9"/>
      <c r="AT949" s="9"/>
    </row>
    <row r="950" ht="17.25" customHeight="1" spans="1:46">
      <c r="A950" s="8"/>
      <c r="B950" s="8"/>
      <c r="C950" s="8"/>
      <c r="D950" s="8"/>
      <c r="E950" s="8"/>
      <c r="F950" s="8"/>
      <c r="G950" s="9"/>
      <c r="H950" s="8"/>
      <c r="I950" s="8"/>
      <c r="J950" s="8"/>
      <c r="K950" s="8"/>
      <c r="L950" s="8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N950" s="9"/>
      <c r="AO950" s="9"/>
      <c r="AP950" s="9"/>
      <c r="AQ950" s="9"/>
      <c r="AR950" s="9"/>
      <c r="AS950" s="9"/>
      <c r="AT950" s="9"/>
    </row>
    <row r="951" ht="17.25" customHeight="1" spans="1:46">
      <c r="A951" s="8"/>
      <c r="B951" s="8"/>
      <c r="C951" s="8"/>
      <c r="D951" s="8"/>
      <c r="E951" s="8"/>
      <c r="F951" s="8"/>
      <c r="G951" s="9"/>
      <c r="H951" s="8"/>
      <c r="I951" s="8"/>
      <c r="J951" s="8"/>
      <c r="K951" s="8"/>
      <c r="L951" s="8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N951" s="9"/>
      <c r="AO951" s="9"/>
      <c r="AP951" s="9"/>
      <c r="AQ951" s="9"/>
      <c r="AR951" s="9"/>
      <c r="AS951" s="9"/>
      <c r="AT951" s="9"/>
    </row>
    <row r="952" ht="17.25" customHeight="1" spans="1:46">
      <c r="A952" s="8"/>
      <c r="B952" s="8"/>
      <c r="C952" s="8"/>
      <c r="D952" s="8"/>
      <c r="E952" s="8"/>
      <c r="F952" s="8"/>
      <c r="G952" s="9"/>
      <c r="H952" s="8"/>
      <c r="I952" s="8"/>
      <c r="J952" s="8"/>
      <c r="K952" s="8"/>
      <c r="L952" s="8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N952" s="9"/>
      <c r="AO952" s="9"/>
      <c r="AP952" s="9"/>
      <c r="AQ952" s="9"/>
      <c r="AR952" s="9"/>
      <c r="AS952" s="9"/>
      <c r="AT952" s="9"/>
    </row>
    <row r="953" ht="17.25" customHeight="1" spans="1:46">
      <c r="A953" s="8"/>
      <c r="B953" s="8"/>
      <c r="C953" s="8"/>
      <c r="D953" s="8"/>
      <c r="E953" s="8"/>
      <c r="F953" s="8"/>
      <c r="G953" s="9"/>
      <c r="H953" s="8"/>
      <c r="I953" s="8"/>
      <c r="J953" s="8"/>
      <c r="K953" s="8"/>
      <c r="L953" s="8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N953" s="9"/>
      <c r="AO953" s="9"/>
      <c r="AP953" s="9"/>
      <c r="AQ953" s="9"/>
      <c r="AR953" s="9"/>
      <c r="AS953" s="9"/>
      <c r="AT953" s="9"/>
    </row>
    <row r="954" ht="17.25" customHeight="1" spans="1:46">
      <c r="A954" s="8"/>
      <c r="B954" s="8"/>
      <c r="C954" s="8"/>
      <c r="D954" s="8"/>
      <c r="E954" s="8"/>
      <c r="F954" s="8"/>
      <c r="G954" s="9"/>
      <c r="H954" s="8"/>
      <c r="I954" s="8"/>
      <c r="J954" s="8"/>
      <c r="K954" s="8"/>
      <c r="L954" s="8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N954" s="9"/>
      <c r="AO954" s="9"/>
      <c r="AP954" s="9"/>
      <c r="AQ954" s="9"/>
      <c r="AR954" s="9"/>
      <c r="AS954" s="9"/>
      <c r="AT954" s="9"/>
    </row>
    <row r="955" ht="17.25" customHeight="1" spans="1:46">
      <c r="A955" s="8"/>
      <c r="B955" s="8"/>
      <c r="C955" s="8"/>
      <c r="D955" s="8"/>
      <c r="E955" s="8"/>
      <c r="F955" s="8"/>
      <c r="G955" s="9"/>
      <c r="H955" s="8"/>
      <c r="I955" s="8"/>
      <c r="J955" s="8"/>
      <c r="K955" s="8"/>
      <c r="L955" s="8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N955" s="9"/>
      <c r="AO955" s="9"/>
      <c r="AP955" s="9"/>
      <c r="AQ955" s="9"/>
      <c r="AR955" s="9"/>
      <c r="AS955" s="9"/>
      <c r="AT955" s="9"/>
    </row>
    <row r="956" ht="17.25" customHeight="1" spans="1:46">
      <c r="A956" s="8"/>
      <c r="B956" s="8"/>
      <c r="C956" s="8"/>
      <c r="D956" s="8"/>
      <c r="E956" s="8"/>
      <c r="F956" s="8"/>
      <c r="G956" s="9"/>
      <c r="H956" s="8"/>
      <c r="I956" s="8"/>
      <c r="J956" s="8"/>
      <c r="K956" s="8"/>
      <c r="L956" s="8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N956" s="9"/>
      <c r="AO956" s="9"/>
      <c r="AP956" s="9"/>
      <c r="AQ956" s="9"/>
      <c r="AR956" s="9"/>
      <c r="AS956" s="9"/>
      <c r="AT956" s="9"/>
    </row>
    <row r="957" ht="17.25" customHeight="1" spans="1:46">
      <c r="A957" s="8"/>
      <c r="B957" s="8"/>
      <c r="C957" s="8"/>
      <c r="D957" s="8"/>
      <c r="E957" s="8"/>
      <c r="F957" s="8"/>
      <c r="G957" s="9"/>
      <c r="H957" s="8"/>
      <c r="I957" s="8"/>
      <c r="J957" s="8"/>
      <c r="K957" s="8"/>
      <c r="L957" s="8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N957" s="9"/>
      <c r="AO957" s="9"/>
      <c r="AP957" s="9"/>
      <c r="AQ957" s="9"/>
      <c r="AR957" s="9"/>
      <c r="AS957" s="9"/>
      <c r="AT957" s="9"/>
    </row>
    <row r="958" ht="17.25" customHeight="1" spans="1:46">
      <c r="A958" s="8"/>
      <c r="B958" s="8"/>
      <c r="C958" s="8"/>
      <c r="D958" s="8"/>
      <c r="E958" s="8"/>
      <c r="F958" s="8"/>
      <c r="G958" s="9"/>
      <c r="H958" s="8"/>
      <c r="I958" s="8"/>
      <c r="J958" s="8"/>
      <c r="K958" s="8"/>
      <c r="L958" s="8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N958" s="9"/>
      <c r="AO958" s="9"/>
      <c r="AP958" s="9"/>
      <c r="AQ958" s="9"/>
      <c r="AR958" s="9"/>
      <c r="AS958" s="9"/>
      <c r="AT958" s="9"/>
    </row>
    <row r="959" ht="17.25" customHeight="1" spans="1:46">
      <c r="A959" s="8"/>
      <c r="B959" s="8"/>
      <c r="C959" s="8"/>
      <c r="D959" s="8"/>
      <c r="E959" s="8"/>
      <c r="F959" s="8"/>
      <c r="G959" s="9"/>
      <c r="H959" s="8"/>
      <c r="I959" s="8"/>
      <c r="J959" s="8"/>
      <c r="K959" s="8"/>
      <c r="L959" s="8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N959" s="9"/>
      <c r="AO959" s="9"/>
      <c r="AP959" s="9"/>
      <c r="AQ959" s="9"/>
      <c r="AR959" s="9"/>
      <c r="AS959" s="9"/>
      <c r="AT959" s="9"/>
    </row>
    <row r="960" ht="17.25" customHeight="1" spans="1:46">
      <c r="A960" s="8"/>
      <c r="B960" s="8"/>
      <c r="C960" s="8"/>
      <c r="D960" s="8"/>
      <c r="E960" s="8"/>
      <c r="F960" s="8"/>
      <c r="G960" s="9"/>
      <c r="H960" s="8"/>
      <c r="I960" s="8"/>
      <c r="J960" s="8"/>
      <c r="K960" s="8"/>
      <c r="L960" s="8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N960" s="9"/>
      <c r="AO960" s="9"/>
      <c r="AP960" s="9"/>
      <c r="AQ960" s="9"/>
      <c r="AR960" s="9"/>
      <c r="AS960" s="9"/>
      <c r="AT960" s="9"/>
    </row>
    <row r="961" ht="17.25" customHeight="1" spans="1:46">
      <c r="A961" s="8"/>
      <c r="B961" s="8"/>
      <c r="C961" s="8"/>
      <c r="D961" s="8"/>
      <c r="E961" s="8"/>
      <c r="F961" s="8"/>
      <c r="G961" s="9"/>
      <c r="H961" s="8"/>
      <c r="I961" s="8"/>
      <c r="J961" s="8"/>
      <c r="K961" s="8"/>
      <c r="L961" s="8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N961" s="9"/>
      <c r="AO961" s="9"/>
      <c r="AP961" s="9"/>
      <c r="AQ961" s="9"/>
      <c r="AR961" s="9"/>
      <c r="AS961" s="9"/>
      <c r="AT961" s="9"/>
    </row>
    <row r="962" ht="17.25" customHeight="1" spans="1:46">
      <c r="A962" s="8"/>
      <c r="B962" s="8"/>
      <c r="C962" s="8"/>
      <c r="D962" s="8"/>
      <c r="E962" s="8"/>
      <c r="F962" s="8"/>
      <c r="G962" s="9"/>
      <c r="H962" s="8"/>
      <c r="I962" s="8"/>
      <c r="J962" s="8"/>
      <c r="K962" s="8"/>
      <c r="L962" s="8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N962" s="9"/>
      <c r="AO962" s="9"/>
      <c r="AP962" s="9"/>
      <c r="AQ962" s="9"/>
      <c r="AR962" s="9"/>
      <c r="AS962" s="9"/>
      <c r="AT962" s="9"/>
    </row>
    <row r="963" ht="17.25" customHeight="1" spans="1:46">
      <c r="A963" s="8"/>
      <c r="B963" s="8"/>
      <c r="C963" s="8"/>
      <c r="D963" s="8"/>
      <c r="E963" s="8"/>
      <c r="F963" s="8"/>
      <c r="G963" s="9"/>
      <c r="H963" s="8"/>
      <c r="I963" s="8"/>
      <c r="J963" s="8"/>
      <c r="K963" s="8"/>
      <c r="L963" s="8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N963" s="9"/>
      <c r="AO963" s="9"/>
      <c r="AP963" s="9"/>
      <c r="AQ963" s="9"/>
      <c r="AR963" s="9"/>
      <c r="AS963" s="9"/>
      <c r="AT963" s="9"/>
    </row>
    <row r="964" ht="17.25" customHeight="1" spans="1:46">
      <c r="A964" s="8"/>
      <c r="B964" s="8"/>
      <c r="C964" s="8"/>
      <c r="D964" s="8"/>
      <c r="E964" s="8"/>
      <c r="F964" s="8"/>
      <c r="G964" s="9"/>
      <c r="H964" s="8"/>
      <c r="I964" s="8"/>
      <c r="J964" s="8"/>
      <c r="K964" s="8"/>
      <c r="L964" s="8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N964" s="9"/>
      <c r="AO964" s="9"/>
      <c r="AP964" s="9"/>
      <c r="AQ964" s="9"/>
      <c r="AR964" s="9"/>
      <c r="AS964" s="9"/>
      <c r="AT964" s="9"/>
    </row>
    <row r="965" ht="17.25" customHeight="1" spans="1:46">
      <c r="A965" s="8"/>
      <c r="B965" s="8"/>
      <c r="C965" s="8"/>
      <c r="D965" s="8"/>
      <c r="E965" s="8"/>
      <c r="F965" s="8"/>
      <c r="G965" s="9"/>
      <c r="H965" s="8"/>
      <c r="I965" s="8"/>
      <c r="J965" s="8"/>
      <c r="K965" s="8"/>
      <c r="L965" s="8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N965" s="9"/>
      <c r="AO965" s="9"/>
      <c r="AP965" s="9"/>
      <c r="AQ965" s="9"/>
      <c r="AR965" s="9"/>
      <c r="AS965" s="9"/>
      <c r="AT965" s="9"/>
    </row>
    <row r="966" ht="17.25" customHeight="1" spans="1:46">
      <c r="A966" s="8"/>
      <c r="B966" s="8"/>
      <c r="C966" s="8"/>
      <c r="D966" s="8"/>
      <c r="E966" s="8"/>
      <c r="F966" s="8"/>
      <c r="G966" s="9"/>
      <c r="H966" s="8"/>
      <c r="I966" s="8"/>
      <c r="J966" s="8"/>
      <c r="K966" s="8"/>
      <c r="L966" s="8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N966" s="9"/>
      <c r="AO966" s="9"/>
      <c r="AP966" s="9"/>
      <c r="AQ966" s="9"/>
      <c r="AR966" s="9"/>
      <c r="AS966" s="9"/>
      <c r="AT966" s="9"/>
    </row>
    <row r="967" ht="17.25" customHeight="1" spans="1:46">
      <c r="A967" s="8"/>
      <c r="B967" s="8"/>
      <c r="C967" s="8"/>
      <c r="D967" s="8"/>
      <c r="E967" s="8"/>
      <c r="F967" s="8"/>
      <c r="G967" s="9"/>
      <c r="H967" s="8"/>
      <c r="I967" s="8"/>
      <c r="J967" s="8"/>
      <c r="K967" s="8"/>
      <c r="L967" s="8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N967" s="9"/>
      <c r="AO967" s="9"/>
      <c r="AP967" s="9"/>
      <c r="AQ967" s="9"/>
      <c r="AR967" s="9"/>
      <c r="AS967" s="9"/>
      <c r="AT967" s="9"/>
    </row>
    <row r="968" ht="17.25" customHeight="1" spans="1:46">
      <c r="A968" s="8"/>
      <c r="B968" s="8"/>
      <c r="C968" s="8"/>
      <c r="D968" s="8"/>
      <c r="E968" s="8"/>
      <c r="F968" s="8"/>
      <c r="G968" s="9"/>
      <c r="H968" s="8"/>
      <c r="I968" s="8"/>
      <c r="J968" s="8"/>
      <c r="K968" s="8"/>
      <c r="L968" s="8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N968" s="9"/>
      <c r="AO968" s="9"/>
      <c r="AP968" s="9"/>
      <c r="AQ968" s="9"/>
      <c r="AR968" s="9"/>
      <c r="AS968" s="9"/>
      <c r="AT968" s="9"/>
    </row>
    <row r="969" ht="17.25" customHeight="1" spans="1:46">
      <c r="A969" s="8"/>
      <c r="B969" s="8"/>
      <c r="C969" s="8"/>
      <c r="D969" s="8"/>
      <c r="E969" s="8"/>
      <c r="F969" s="8"/>
      <c r="G969" s="9"/>
      <c r="H969" s="8"/>
      <c r="I969" s="8"/>
      <c r="J969" s="8"/>
      <c r="K969" s="8"/>
      <c r="L969" s="8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N969" s="9"/>
      <c r="AO969" s="9"/>
      <c r="AP969" s="9"/>
      <c r="AQ969" s="9"/>
      <c r="AR969" s="9"/>
      <c r="AS969" s="9"/>
      <c r="AT969" s="9"/>
    </row>
    <row r="970" ht="17.25" customHeight="1" spans="1:46">
      <c r="A970" s="8"/>
      <c r="B970" s="8"/>
      <c r="C970" s="8"/>
      <c r="D970" s="8"/>
      <c r="E970" s="8"/>
      <c r="F970" s="8"/>
      <c r="G970" s="9"/>
      <c r="H970" s="8"/>
      <c r="I970" s="8"/>
      <c r="J970" s="8"/>
      <c r="K970" s="8"/>
      <c r="L970" s="8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N970" s="9"/>
      <c r="AO970" s="9"/>
      <c r="AP970" s="9"/>
      <c r="AQ970" s="9"/>
      <c r="AR970" s="9"/>
      <c r="AS970" s="9"/>
      <c r="AT970" s="9"/>
    </row>
    <row r="971" ht="17.25" customHeight="1" spans="1:46">
      <c r="A971" s="8"/>
      <c r="B971" s="8"/>
      <c r="C971" s="8"/>
      <c r="D971" s="8"/>
      <c r="E971" s="8"/>
      <c r="F971" s="8"/>
      <c r="G971" s="9"/>
      <c r="H971" s="8"/>
      <c r="I971" s="8"/>
      <c r="J971" s="8"/>
      <c r="K971" s="8"/>
      <c r="L971" s="8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N971" s="9"/>
      <c r="AO971" s="9"/>
      <c r="AP971" s="9"/>
      <c r="AQ971" s="9"/>
      <c r="AR971" s="9"/>
      <c r="AS971" s="9"/>
      <c r="AT971" s="9"/>
    </row>
    <row r="972" ht="17.25" customHeight="1" spans="1:46">
      <c r="A972" s="8"/>
      <c r="B972" s="8"/>
      <c r="C972" s="8"/>
      <c r="D972" s="8"/>
      <c r="E972" s="8"/>
      <c r="F972" s="8"/>
      <c r="G972" s="9"/>
      <c r="H972" s="8"/>
      <c r="I972" s="8"/>
      <c r="J972" s="8"/>
      <c r="K972" s="8"/>
      <c r="L972" s="8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N972" s="9"/>
      <c r="AO972" s="9"/>
      <c r="AP972" s="9"/>
      <c r="AQ972" s="9"/>
      <c r="AR972" s="9"/>
      <c r="AS972" s="9"/>
      <c r="AT972" s="9"/>
    </row>
    <row r="973" ht="17.25" customHeight="1" spans="1:46">
      <c r="A973" s="8"/>
      <c r="B973" s="8"/>
      <c r="C973" s="8"/>
      <c r="D973" s="8"/>
      <c r="E973" s="8"/>
      <c r="F973" s="8"/>
      <c r="G973" s="9"/>
      <c r="H973" s="8"/>
      <c r="I973" s="8"/>
      <c r="J973" s="8"/>
      <c r="K973" s="8"/>
      <c r="L973" s="8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N973" s="9"/>
      <c r="AO973" s="9"/>
      <c r="AP973" s="9"/>
      <c r="AQ973" s="9"/>
      <c r="AR973" s="9"/>
      <c r="AS973" s="9"/>
      <c r="AT973" s="9"/>
    </row>
    <row r="974" ht="17.25" customHeight="1" spans="1:46">
      <c r="A974" s="8"/>
      <c r="B974" s="8"/>
      <c r="C974" s="8"/>
      <c r="D974" s="8"/>
      <c r="E974" s="8"/>
      <c r="F974" s="8"/>
      <c r="G974" s="9"/>
      <c r="H974" s="8"/>
      <c r="I974" s="8"/>
      <c r="J974" s="8"/>
      <c r="K974" s="8"/>
      <c r="L974" s="8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N974" s="9"/>
      <c r="AO974" s="9"/>
      <c r="AP974" s="9"/>
      <c r="AQ974" s="9"/>
      <c r="AR974" s="9"/>
      <c r="AS974" s="9"/>
      <c r="AT974" s="9"/>
    </row>
    <row r="975" ht="17.25" customHeight="1" spans="1:46">
      <c r="A975" s="8"/>
      <c r="B975" s="8"/>
      <c r="C975" s="8"/>
      <c r="D975" s="8"/>
      <c r="E975" s="8"/>
      <c r="F975" s="8"/>
      <c r="G975" s="9"/>
      <c r="H975" s="8"/>
      <c r="I975" s="8"/>
      <c r="J975" s="8"/>
      <c r="K975" s="8"/>
      <c r="L975" s="8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N975" s="9"/>
      <c r="AO975" s="9"/>
      <c r="AP975" s="9"/>
      <c r="AQ975" s="9"/>
      <c r="AR975" s="9"/>
      <c r="AS975" s="9"/>
      <c r="AT975" s="9"/>
    </row>
    <row r="976" ht="17.25" customHeight="1" spans="1:46">
      <c r="A976" s="8"/>
      <c r="B976" s="8"/>
      <c r="C976" s="8"/>
      <c r="D976" s="8"/>
      <c r="E976" s="8"/>
      <c r="F976" s="8"/>
      <c r="G976" s="9"/>
      <c r="H976" s="8"/>
      <c r="I976" s="8"/>
      <c r="J976" s="8"/>
      <c r="K976" s="8"/>
      <c r="L976" s="8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N976" s="9"/>
      <c r="AO976" s="9"/>
      <c r="AP976" s="9"/>
      <c r="AQ976" s="9"/>
      <c r="AR976" s="9"/>
      <c r="AS976" s="9"/>
      <c r="AT976" s="9"/>
    </row>
    <row r="977" ht="17.25" customHeight="1" spans="1:46">
      <c r="A977" s="8"/>
      <c r="B977" s="8"/>
      <c r="C977" s="8"/>
      <c r="D977" s="8"/>
      <c r="E977" s="8"/>
      <c r="F977" s="8"/>
      <c r="G977" s="9"/>
      <c r="H977" s="8"/>
      <c r="I977" s="8"/>
      <c r="J977" s="8"/>
      <c r="K977" s="8"/>
      <c r="L977" s="8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N977" s="9"/>
      <c r="AO977" s="9"/>
      <c r="AP977" s="9"/>
      <c r="AQ977" s="9"/>
      <c r="AR977" s="9"/>
      <c r="AS977" s="9"/>
      <c r="AT977" s="9"/>
    </row>
    <row r="978" ht="17.25" customHeight="1" spans="1:46">
      <c r="A978" s="8"/>
      <c r="B978" s="8"/>
      <c r="C978" s="8"/>
      <c r="D978" s="8"/>
      <c r="E978" s="8"/>
      <c r="F978" s="8"/>
      <c r="G978" s="9"/>
      <c r="H978" s="8"/>
      <c r="I978" s="8"/>
      <c r="J978" s="8"/>
      <c r="K978" s="8"/>
      <c r="L978" s="8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N978" s="9"/>
      <c r="AO978" s="9"/>
      <c r="AP978" s="9"/>
      <c r="AQ978" s="9"/>
      <c r="AR978" s="9"/>
      <c r="AS978" s="9"/>
      <c r="AT978" s="9"/>
    </row>
    <row r="979" ht="17.25" customHeight="1" spans="1:46">
      <c r="A979" s="8"/>
      <c r="B979" s="8"/>
      <c r="C979" s="8"/>
      <c r="D979" s="8"/>
      <c r="E979" s="8"/>
      <c r="F979" s="8"/>
      <c r="G979" s="9"/>
      <c r="H979" s="8"/>
      <c r="I979" s="8"/>
      <c r="J979" s="8"/>
      <c r="K979" s="8"/>
      <c r="L979" s="8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N979" s="9"/>
      <c r="AO979" s="9"/>
      <c r="AP979" s="9"/>
      <c r="AQ979" s="9"/>
      <c r="AR979" s="9"/>
      <c r="AS979" s="9"/>
      <c r="AT979" s="9"/>
    </row>
    <row r="980" ht="17.25" customHeight="1" spans="1:46">
      <c r="A980" s="8"/>
      <c r="B980" s="8"/>
      <c r="C980" s="8"/>
      <c r="D980" s="8"/>
      <c r="E980" s="8"/>
      <c r="F980" s="8"/>
      <c r="G980" s="9"/>
      <c r="H980" s="8"/>
      <c r="I980" s="8"/>
      <c r="J980" s="8"/>
      <c r="K980" s="8"/>
      <c r="L980" s="8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N980" s="9"/>
      <c r="AO980" s="9"/>
      <c r="AP980" s="9"/>
      <c r="AQ980" s="9"/>
      <c r="AR980" s="9"/>
      <c r="AS980" s="9"/>
      <c r="AT980" s="9"/>
    </row>
    <row r="981" ht="17.25" customHeight="1" spans="1:46">
      <c r="A981" s="8"/>
      <c r="B981" s="8"/>
      <c r="C981" s="8"/>
      <c r="D981" s="8"/>
      <c r="E981" s="8"/>
      <c r="F981" s="8"/>
      <c r="G981" s="9"/>
      <c r="H981" s="8"/>
      <c r="I981" s="8"/>
      <c r="J981" s="8"/>
      <c r="K981" s="8"/>
      <c r="L981" s="8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N981" s="9"/>
      <c r="AO981" s="9"/>
      <c r="AP981" s="9"/>
      <c r="AQ981" s="9"/>
      <c r="AR981" s="9"/>
      <c r="AS981" s="9"/>
      <c r="AT981" s="9"/>
    </row>
    <row r="982" ht="17.25" customHeight="1" spans="1:46">
      <c r="A982" s="8"/>
      <c r="B982" s="8"/>
      <c r="C982" s="8"/>
      <c r="D982" s="8"/>
      <c r="E982" s="8"/>
      <c r="F982" s="8"/>
      <c r="G982" s="9"/>
      <c r="H982" s="8"/>
      <c r="I982" s="8"/>
      <c r="J982" s="8"/>
      <c r="K982" s="8"/>
      <c r="L982" s="8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N982" s="9"/>
      <c r="AO982" s="9"/>
      <c r="AP982" s="9"/>
      <c r="AQ982" s="9"/>
      <c r="AR982" s="9"/>
      <c r="AS982" s="9"/>
      <c r="AT982" s="9"/>
    </row>
    <row r="983" ht="17.25" customHeight="1" spans="1:46">
      <c r="A983" s="8"/>
      <c r="B983" s="8"/>
      <c r="C983" s="8"/>
      <c r="D983" s="8"/>
      <c r="E983" s="8"/>
      <c r="F983" s="8"/>
      <c r="G983" s="9"/>
      <c r="H983" s="8"/>
      <c r="I983" s="8"/>
      <c r="J983" s="8"/>
      <c r="K983" s="8"/>
      <c r="L983" s="8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N983" s="9"/>
      <c r="AO983" s="9"/>
      <c r="AP983" s="9"/>
      <c r="AQ983" s="9"/>
      <c r="AR983" s="9"/>
      <c r="AS983" s="9"/>
      <c r="AT983" s="9"/>
    </row>
    <row r="984" ht="17.25" customHeight="1" spans="1:46">
      <c r="A984" s="8"/>
      <c r="B984" s="8"/>
      <c r="C984" s="8"/>
      <c r="D984" s="8"/>
      <c r="E984" s="8"/>
      <c r="F984" s="8"/>
      <c r="G984" s="9"/>
      <c r="H984" s="8"/>
      <c r="I984" s="8"/>
      <c r="J984" s="8"/>
      <c r="K984" s="8"/>
      <c r="L984" s="8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N984" s="9"/>
      <c r="AO984" s="9"/>
      <c r="AP984" s="9"/>
      <c r="AQ984" s="9"/>
      <c r="AR984" s="9"/>
      <c r="AS984" s="9"/>
      <c r="AT984" s="9"/>
    </row>
    <row r="985" ht="17.25" customHeight="1" spans="1:46">
      <c r="A985" s="8"/>
      <c r="B985" s="8"/>
      <c r="C985" s="8"/>
      <c r="D985" s="8"/>
      <c r="E985" s="8"/>
      <c r="F985" s="8"/>
      <c r="G985" s="9"/>
      <c r="H985" s="8"/>
      <c r="I985" s="8"/>
      <c r="J985" s="8"/>
      <c r="K985" s="8"/>
      <c r="L985" s="8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N985" s="9"/>
      <c r="AO985" s="9"/>
      <c r="AP985" s="9"/>
      <c r="AQ985" s="9"/>
      <c r="AR985" s="9"/>
      <c r="AS985" s="9"/>
      <c r="AT985" s="9"/>
    </row>
    <row r="986" ht="17.25" customHeight="1" spans="1:46">
      <c r="A986" s="8"/>
      <c r="B986" s="8"/>
      <c r="C986" s="8"/>
      <c r="D986" s="8"/>
      <c r="E986" s="8"/>
      <c r="F986" s="8"/>
      <c r="G986" s="9"/>
      <c r="H986" s="8"/>
      <c r="I986" s="8"/>
      <c r="J986" s="8"/>
      <c r="K986" s="8"/>
      <c r="L986" s="8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N986" s="9"/>
      <c r="AO986" s="9"/>
      <c r="AP986" s="9"/>
      <c r="AQ986" s="9"/>
      <c r="AR986" s="9"/>
      <c r="AS986" s="9"/>
      <c r="AT986" s="9"/>
    </row>
    <row r="987" ht="17.25" customHeight="1" spans="1:46">
      <c r="A987" s="8"/>
      <c r="B987" s="8"/>
      <c r="C987" s="8"/>
      <c r="D987" s="8"/>
      <c r="E987" s="8"/>
      <c r="F987" s="8"/>
      <c r="G987" s="9"/>
      <c r="H987" s="8"/>
      <c r="I987" s="8"/>
      <c r="J987" s="8"/>
      <c r="K987" s="8"/>
      <c r="L987" s="8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N987" s="9"/>
      <c r="AO987" s="9"/>
      <c r="AP987" s="9"/>
      <c r="AQ987" s="9"/>
      <c r="AR987" s="9"/>
      <c r="AS987" s="9"/>
      <c r="AT987" s="9"/>
    </row>
    <row r="988" ht="17.25" customHeight="1" spans="1:46">
      <c r="A988" s="8"/>
      <c r="B988" s="8"/>
      <c r="C988" s="8"/>
      <c r="D988" s="8"/>
      <c r="E988" s="8"/>
      <c r="F988" s="8"/>
      <c r="G988" s="9"/>
      <c r="H988" s="8"/>
      <c r="I988" s="8"/>
      <c r="J988" s="8"/>
      <c r="K988" s="8"/>
      <c r="L988" s="8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N988" s="9"/>
      <c r="AO988" s="9"/>
      <c r="AP988" s="9"/>
      <c r="AQ988" s="9"/>
      <c r="AR988" s="9"/>
      <c r="AS988" s="9"/>
      <c r="AT988" s="9"/>
    </row>
    <row r="989" ht="17.25" customHeight="1" spans="1:46">
      <c r="A989" s="8"/>
      <c r="B989" s="8"/>
      <c r="C989" s="8"/>
      <c r="D989" s="8"/>
      <c r="E989" s="8"/>
      <c r="F989" s="8"/>
      <c r="G989" s="9"/>
      <c r="H989" s="8"/>
      <c r="I989" s="8"/>
      <c r="J989" s="8"/>
      <c r="K989" s="8"/>
      <c r="L989" s="8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N989" s="9"/>
      <c r="AO989" s="9"/>
      <c r="AP989" s="9"/>
      <c r="AQ989" s="9"/>
      <c r="AR989" s="9"/>
      <c r="AS989" s="9"/>
      <c r="AT989" s="9"/>
    </row>
    <row r="990" ht="17.25" customHeight="1" spans="1:46">
      <c r="A990" s="8"/>
      <c r="B990" s="8"/>
      <c r="C990" s="8"/>
      <c r="D990" s="8"/>
      <c r="E990" s="8"/>
      <c r="F990" s="8"/>
      <c r="G990" s="9"/>
      <c r="H990" s="8"/>
      <c r="I990" s="8"/>
      <c r="J990" s="8"/>
      <c r="K990" s="8"/>
      <c r="L990" s="8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N990" s="9"/>
      <c r="AO990" s="9"/>
      <c r="AP990" s="9"/>
      <c r="AQ990" s="9"/>
      <c r="AR990" s="9"/>
      <c r="AS990" s="9"/>
      <c r="AT990" s="9"/>
    </row>
    <row r="991" ht="17.25" customHeight="1" spans="1:46">
      <c r="A991" s="8"/>
      <c r="B991" s="8"/>
      <c r="C991" s="8"/>
      <c r="D991" s="8"/>
      <c r="E991" s="8"/>
      <c r="F991" s="8"/>
      <c r="G991" s="9"/>
      <c r="H991" s="8"/>
      <c r="I991" s="8"/>
      <c r="J991" s="8"/>
      <c r="K991" s="8"/>
      <c r="L991" s="8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N991" s="9"/>
      <c r="AO991" s="9"/>
      <c r="AP991" s="9"/>
      <c r="AQ991" s="9"/>
      <c r="AR991" s="9"/>
      <c r="AS991" s="9"/>
      <c r="AT991" s="9"/>
    </row>
    <row r="992" ht="17.25" customHeight="1" spans="1:46">
      <c r="A992" s="8"/>
      <c r="B992" s="8"/>
      <c r="C992" s="8"/>
      <c r="D992" s="8"/>
      <c r="E992" s="8"/>
      <c r="F992" s="8"/>
      <c r="G992" s="9"/>
      <c r="H992" s="8"/>
      <c r="I992" s="8"/>
      <c r="J992" s="8"/>
      <c r="K992" s="8"/>
      <c r="L992" s="8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N992" s="9"/>
      <c r="AO992" s="9"/>
      <c r="AP992" s="9"/>
      <c r="AQ992" s="9"/>
      <c r="AR992" s="9"/>
      <c r="AS992" s="9"/>
      <c r="AT992" s="9"/>
    </row>
    <row r="993" ht="17.25" customHeight="1" spans="1:46">
      <c r="A993" s="8"/>
      <c r="B993" s="8"/>
      <c r="C993" s="8"/>
      <c r="D993" s="8"/>
      <c r="E993" s="8"/>
      <c r="F993" s="8"/>
      <c r="G993" s="9"/>
      <c r="H993" s="8"/>
      <c r="I993" s="8"/>
      <c r="J993" s="8"/>
      <c r="K993" s="8"/>
      <c r="L993" s="8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N993" s="9"/>
      <c r="AO993" s="9"/>
      <c r="AP993" s="9"/>
      <c r="AQ993" s="9"/>
      <c r="AR993" s="9"/>
      <c r="AS993" s="9"/>
      <c r="AT993" s="9"/>
    </row>
    <row r="994" ht="17.25" customHeight="1" spans="1:46">
      <c r="A994" s="8"/>
      <c r="B994" s="8"/>
      <c r="C994" s="8"/>
      <c r="D994" s="8"/>
      <c r="E994" s="8"/>
      <c r="F994" s="8"/>
      <c r="G994" s="9"/>
      <c r="H994" s="8"/>
      <c r="I994" s="8"/>
      <c r="J994" s="8"/>
      <c r="K994" s="8"/>
      <c r="L994" s="8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N994" s="9"/>
      <c r="AO994" s="9"/>
      <c r="AP994" s="9"/>
      <c r="AQ994" s="9"/>
      <c r="AR994" s="9"/>
      <c r="AS994" s="9"/>
      <c r="AT994" s="9"/>
    </row>
    <row r="995" ht="17.25" customHeight="1" spans="1:46">
      <c r="A995" s="8"/>
      <c r="B995" s="8"/>
      <c r="C995" s="8"/>
      <c r="D995" s="8"/>
      <c r="E995" s="8"/>
      <c r="F995" s="8"/>
      <c r="G995" s="9"/>
      <c r="H995" s="8"/>
      <c r="I995" s="8"/>
      <c r="J995" s="8"/>
      <c r="K995" s="8"/>
      <c r="L995" s="8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N995" s="9"/>
      <c r="AO995" s="9"/>
      <c r="AP995" s="9"/>
      <c r="AQ995" s="9"/>
      <c r="AR995" s="9"/>
      <c r="AS995" s="9"/>
      <c r="AT995" s="9"/>
    </row>
    <row r="996" ht="17.25" customHeight="1" spans="1:46">
      <c r="A996" s="8"/>
      <c r="B996" s="8"/>
      <c r="C996" s="8"/>
      <c r="D996" s="8"/>
      <c r="E996" s="8"/>
      <c r="F996" s="8"/>
      <c r="G996" s="9"/>
      <c r="H996" s="8"/>
      <c r="I996" s="8"/>
      <c r="J996" s="8"/>
      <c r="K996" s="8"/>
      <c r="L996" s="8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N996" s="9"/>
      <c r="AO996" s="9"/>
      <c r="AP996" s="9"/>
      <c r="AQ996" s="9"/>
      <c r="AR996" s="9"/>
      <c r="AS996" s="9"/>
      <c r="AT996" s="9"/>
    </row>
    <row r="997" ht="17.25" customHeight="1" spans="1:46">
      <c r="A997" s="8"/>
      <c r="B997" s="8"/>
      <c r="C997" s="8"/>
      <c r="D997" s="8"/>
      <c r="E997" s="8"/>
      <c r="F997" s="8"/>
      <c r="G997" s="9"/>
      <c r="H997" s="8"/>
      <c r="I997" s="8"/>
      <c r="J997" s="8"/>
      <c r="K997" s="8"/>
      <c r="L997" s="8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N997" s="9"/>
      <c r="AO997" s="9"/>
      <c r="AP997" s="9"/>
      <c r="AQ997" s="9"/>
      <c r="AR997" s="9"/>
      <c r="AS997" s="9"/>
      <c r="AT997" s="9"/>
    </row>
    <row r="998" ht="17.25" customHeight="1" spans="1:46">
      <c r="A998" s="8"/>
      <c r="B998" s="8"/>
      <c r="C998" s="8"/>
      <c r="D998" s="8"/>
      <c r="E998" s="8"/>
      <c r="F998" s="8"/>
      <c r="G998" s="9"/>
      <c r="H998" s="8"/>
      <c r="I998" s="8"/>
      <c r="J998" s="8"/>
      <c r="K998" s="8"/>
      <c r="L998" s="8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N998" s="9"/>
      <c r="AO998" s="9"/>
      <c r="AP998" s="9"/>
      <c r="AQ998" s="9"/>
      <c r="AR998" s="9"/>
      <c r="AS998" s="9"/>
      <c r="AT998" s="9"/>
    </row>
    <row r="999" ht="17.25" customHeight="1" spans="1:46">
      <c r="A999" s="8"/>
      <c r="B999" s="8"/>
      <c r="C999" s="8"/>
      <c r="D999" s="8"/>
      <c r="E999" s="8"/>
      <c r="F999" s="8"/>
      <c r="G999" s="9"/>
      <c r="H999" s="8"/>
      <c r="I999" s="8"/>
      <c r="J999" s="8"/>
      <c r="K999" s="8"/>
      <c r="L999" s="8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N999" s="9"/>
      <c r="AO999" s="9"/>
      <c r="AP999" s="9"/>
      <c r="AQ999" s="9"/>
      <c r="AR999" s="9"/>
      <c r="AS999" s="9"/>
      <c r="AT999" s="9"/>
    </row>
    <row r="1000" ht="17.25" customHeight="1" spans="1:46">
      <c r="A1000" s="8"/>
      <c r="B1000" s="8"/>
      <c r="C1000" s="8"/>
      <c r="D1000" s="8"/>
      <c r="E1000" s="8"/>
      <c r="F1000" s="8"/>
      <c r="G1000" s="9"/>
      <c r="H1000" s="8"/>
      <c r="I1000" s="8"/>
      <c r="J1000" s="8"/>
      <c r="K1000" s="8"/>
      <c r="L1000" s="8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N1000" s="9"/>
      <c r="AO1000" s="9"/>
      <c r="AP1000" s="9"/>
      <c r="AQ1000" s="9"/>
      <c r="AR1000" s="9"/>
      <c r="AS1000" s="9"/>
      <c r="AT1000" s="9"/>
    </row>
    <row r="1001" ht="17.25" customHeight="1" spans="1:46">
      <c r="A1001" s="8"/>
      <c r="B1001" s="8"/>
      <c r="C1001" s="8"/>
      <c r="D1001" s="8"/>
      <c r="E1001" s="8"/>
      <c r="F1001" s="8"/>
      <c r="G1001" s="9"/>
      <c r="H1001" s="8"/>
      <c r="I1001" s="8"/>
      <c r="J1001" s="8"/>
      <c r="K1001" s="8"/>
      <c r="L1001" s="8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N1001" s="9"/>
      <c r="AO1001" s="9"/>
      <c r="AP1001" s="9"/>
      <c r="AQ1001" s="9"/>
      <c r="AR1001" s="9"/>
      <c r="AS1001" s="9"/>
      <c r="AT1001" s="9"/>
    </row>
    <row r="1002" ht="17.25" customHeight="1" spans="1:46">
      <c r="A1002" s="8"/>
      <c r="B1002" s="8"/>
      <c r="C1002" s="8"/>
      <c r="D1002" s="8"/>
      <c r="E1002" s="8"/>
      <c r="F1002" s="8"/>
      <c r="G1002" s="9"/>
      <c r="H1002" s="8"/>
      <c r="I1002" s="8"/>
      <c r="J1002" s="8"/>
      <c r="K1002" s="8"/>
      <c r="L1002" s="8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N1002" s="9"/>
      <c r="AO1002" s="9"/>
      <c r="AP1002" s="9"/>
      <c r="AQ1002" s="9"/>
      <c r="AR1002" s="9"/>
      <c r="AS1002" s="9"/>
      <c r="AT1002" s="9"/>
    </row>
    <row r="1003" ht="17.25" customHeight="1" spans="1:46">
      <c r="A1003" s="8"/>
      <c r="B1003" s="8"/>
      <c r="C1003" s="8"/>
      <c r="D1003" s="8"/>
      <c r="E1003" s="8"/>
      <c r="F1003" s="8"/>
      <c r="G1003" s="9"/>
      <c r="H1003" s="8"/>
      <c r="I1003" s="8"/>
      <c r="J1003" s="8"/>
      <c r="K1003" s="8"/>
      <c r="L1003" s="8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N1003" s="9"/>
      <c r="AO1003" s="9"/>
      <c r="AP1003" s="9"/>
      <c r="AQ1003" s="9"/>
      <c r="AR1003" s="9"/>
      <c r="AS1003" s="9"/>
      <c r="AT1003" s="9"/>
    </row>
    <row r="1004" ht="17.25" customHeight="1" spans="1:46">
      <c r="A1004" s="8"/>
      <c r="B1004" s="8"/>
      <c r="C1004" s="8"/>
      <c r="D1004" s="8"/>
      <c r="E1004" s="8"/>
      <c r="F1004" s="8"/>
      <c r="G1004" s="9"/>
      <c r="H1004" s="8"/>
      <c r="I1004" s="8"/>
      <c r="J1004" s="8"/>
      <c r="K1004" s="8"/>
      <c r="L1004" s="8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N1004" s="9"/>
      <c r="AO1004" s="9"/>
      <c r="AP1004" s="9"/>
      <c r="AQ1004" s="9"/>
      <c r="AR1004" s="9"/>
      <c r="AS1004" s="9"/>
      <c r="AT1004" s="9"/>
    </row>
    <row r="1005" ht="17.25" customHeight="1" spans="1:46">
      <c r="A1005" s="8"/>
      <c r="B1005" s="8"/>
      <c r="C1005" s="8"/>
      <c r="D1005" s="8"/>
      <c r="E1005" s="8"/>
      <c r="F1005" s="8"/>
      <c r="G1005" s="9"/>
      <c r="H1005" s="8"/>
      <c r="I1005" s="8"/>
      <c r="J1005" s="8"/>
      <c r="K1005" s="8"/>
      <c r="L1005" s="8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N1005" s="9"/>
      <c r="AO1005" s="9"/>
      <c r="AP1005" s="9"/>
      <c r="AQ1005" s="9"/>
      <c r="AR1005" s="9"/>
      <c r="AS1005" s="9"/>
      <c r="AT1005" s="9"/>
    </row>
    <row r="1006" ht="17.25" customHeight="1" spans="1:46">
      <c r="A1006" s="8"/>
      <c r="B1006" s="8"/>
      <c r="C1006" s="8"/>
      <c r="D1006" s="8"/>
      <c r="E1006" s="8"/>
      <c r="F1006" s="8"/>
      <c r="G1006" s="9"/>
      <c r="H1006" s="8"/>
      <c r="I1006" s="8"/>
      <c r="J1006" s="8"/>
      <c r="K1006" s="8"/>
      <c r="L1006" s="8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N1006" s="9"/>
      <c r="AO1006" s="9"/>
      <c r="AP1006" s="9"/>
      <c r="AQ1006" s="9"/>
      <c r="AR1006" s="9"/>
      <c r="AS1006" s="9"/>
      <c r="AT1006" s="9"/>
    </row>
    <row r="1007" ht="17.25" customHeight="1" spans="1:46">
      <c r="A1007" s="8"/>
      <c r="B1007" s="8"/>
      <c r="C1007" s="8"/>
      <c r="D1007" s="8"/>
      <c r="E1007" s="8"/>
      <c r="F1007" s="8"/>
      <c r="G1007" s="9"/>
      <c r="H1007" s="8"/>
      <c r="I1007" s="8"/>
      <c r="J1007" s="8"/>
      <c r="K1007" s="8"/>
      <c r="L1007" s="8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N1007" s="9"/>
      <c r="AO1007" s="9"/>
      <c r="AP1007" s="9"/>
      <c r="AQ1007" s="9"/>
      <c r="AR1007" s="9"/>
      <c r="AS1007" s="9"/>
      <c r="AT1007" s="9"/>
    </row>
    <row r="1008" ht="17.25" customHeight="1" spans="1:46">
      <c r="A1008" s="8"/>
      <c r="B1008" s="8"/>
      <c r="C1008" s="8"/>
      <c r="D1008" s="8"/>
      <c r="E1008" s="8"/>
      <c r="F1008" s="8"/>
      <c r="G1008" s="9"/>
      <c r="H1008" s="8"/>
      <c r="I1008" s="8"/>
      <c r="J1008" s="8"/>
      <c r="K1008" s="8"/>
      <c r="L1008" s="8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N1008" s="9"/>
      <c r="AO1008" s="9"/>
      <c r="AP1008" s="9"/>
      <c r="AQ1008" s="9"/>
      <c r="AR1008" s="9"/>
      <c r="AS1008" s="9"/>
      <c r="AT1008" s="9"/>
    </row>
    <row r="1009" ht="17.25" customHeight="1" spans="1:46">
      <c r="A1009" s="8"/>
      <c r="B1009" s="8"/>
      <c r="C1009" s="8"/>
      <c r="D1009" s="8"/>
      <c r="E1009" s="8"/>
      <c r="F1009" s="8"/>
      <c r="G1009" s="9"/>
      <c r="H1009" s="8"/>
      <c r="I1009" s="8"/>
      <c r="J1009" s="8"/>
      <c r="K1009" s="8"/>
      <c r="L1009" s="8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N1009" s="9"/>
      <c r="AO1009" s="9"/>
      <c r="AP1009" s="9"/>
      <c r="AQ1009" s="9"/>
      <c r="AR1009" s="9"/>
      <c r="AS1009" s="9"/>
      <c r="AT1009" s="9"/>
    </row>
    <row r="1010" ht="17.25" customHeight="1" spans="1:46">
      <c r="A1010" s="8"/>
      <c r="B1010" s="8"/>
      <c r="C1010" s="8"/>
      <c r="D1010" s="8"/>
      <c r="E1010" s="8"/>
      <c r="F1010" s="8"/>
      <c r="G1010" s="9"/>
      <c r="H1010" s="8"/>
      <c r="I1010" s="8"/>
      <c r="J1010" s="8"/>
      <c r="K1010" s="8"/>
      <c r="L1010" s="8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N1010" s="9"/>
      <c r="AO1010" s="9"/>
      <c r="AP1010" s="9"/>
      <c r="AQ1010" s="9"/>
      <c r="AR1010" s="9"/>
      <c r="AS1010" s="9"/>
      <c r="AT1010" s="9"/>
    </row>
    <row r="1011" ht="17.25" customHeight="1" spans="1:46">
      <c r="A1011" s="8"/>
      <c r="B1011" s="8"/>
      <c r="C1011" s="8"/>
      <c r="D1011" s="8"/>
      <c r="E1011" s="8"/>
      <c r="F1011" s="8"/>
      <c r="G1011" s="9"/>
      <c r="H1011" s="8"/>
      <c r="I1011" s="8"/>
      <c r="J1011" s="8"/>
      <c r="K1011" s="8"/>
      <c r="L1011" s="8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N1011" s="9"/>
      <c r="AO1011" s="9"/>
      <c r="AP1011" s="9"/>
      <c r="AQ1011" s="9"/>
      <c r="AR1011" s="9"/>
      <c r="AS1011" s="9"/>
      <c r="AT1011" s="9"/>
    </row>
    <row r="1012" ht="17.25" customHeight="1" spans="1:46">
      <c r="A1012" s="8"/>
      <c r="B1012" s="8"/>
      <c r="C1012" s="8"/>
      <c r="D1012" s="8"/>
      <c r="E1012" s="8"/>
      <c r="F1012" s="8"/>
      <c r="G1012" s="9"/>
      <c r="H1012" s="8"/>
      <c r="I1012" s="8"/>
      <c r="J1012" s="8"/>
      <c r="K1012" s="8"/>
      <c r="L1012" s="8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N1012" s="9"/>
      <c r="AO1012" s="9"/>
      <c r="AP1012" s="9"/>
      <c r="AQ1012" s="9"/>
      <c r="AR1012" s="9"/>
      <c r="AS1012" s="9"/>
      <c r="AT1012" s="9"/>
    </row>
    <row r="1013" ht="17.25" customHeight="1" spans="1:46">
      <c r="A1013" s="8"/>
      <c r="B1013" s="8"/>
      <c r="C1013" s="8"/>
      <c r="D1013" s="8"/>
      <c r="E1013" s="8"/>
      <c r="F1013" s="8"/>
      <c r="G1013" s="9"/>
      <c r="H1013" s="8"/>
      <c r="I1013" s="8"/>
      <c r="J1013" s="8"/>
      <c r="K1013" s="8"/>
      <c r="L1013" s="8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N1013" s="9"/>
      <c r="AO1013" s="9"/>
      <c r="AP1013" s="9"/>
      <c r="AQ1013" s="9"/>
      <c r="AR1013" s="9"/>
      <c r="AS1013" s="9"/>
      <c r="AT1013" s="9"/>
    </row>
    <row r="1014" ht="17.25" customHeight="1" spans="1:46">
      <c r="A1014" s="8"/>
      <c r="B1014" s="8"/>
      <c r="C1014" s="8"/>
      <c r="D1014" s="8"/>
      <c r="E1014" s="8"/>
      <c r="F1014" s="8"/>
      <c r="G1014" s="9"/>
      <c r="H1014" s="8"/>
      <c r="I1014" s="8"/>
      <c r="J1014" s="8"/>
      <c r="K1014" s="8"/>
      <c r="L1014" s="8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N1014" s="9"/>
      <c r="AO1014" s="9"/>
      <c r="AP1014" s="9"/>
      <c r="AQ1014" s="9"/>
      <c r="AR1014" s="9"/>
      <c r="AS1014" s="9"/>
      <c r="AT1014" s="9"/>
    </row>
    <row r="1015" ht="17.25" customHeight="1" spans="1:46">
      <c r="A1015" s="8"/>
      <c r="B1015" s="8"/>
      <c r="C1015" s="8"/>
      <c r="D1015" s="8"/>
      <c r="E1015" s="8"/>
      <c r="F1015" s="8"/>
      <c r="G1015" s="9"/>
      <c r="H1015" s="8"/>
      <c r="I1015" s="8"/>
      <c r="J1015" s="8"/>
      <c r="K1015" s="8"/>
      <c r="L1015" s="8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N1015" s="9"/>
      <c r="AO1015" s="9"/>
      <c r="AP1015" s="9"/>
      <c r="AQ1015" s="9"/>
      <c r="AR1015" s="9"/>
      <c r="AS1015" s="9"/>
      <c r="AT1015" s="9"/>
    </row>
    <row r="1016" ht="17.25" customHeight="1" spans="1:46">
      <c r="A1016" s="8"/>
      <c r="B1016" s="8"/>
      <c r="C1016" s="8"/>
      <c r="D1016" s="8"/>
      <c r="E1016" s="8"/>
      <c r="F1016" s="8"/>
      <c r="G1016" s="9"/>
      <c r="H1016" s="8"/>
      <c r="I1016" s="8"/>
      <c r="J1016" s="8"/>
      <c r="K1016" s="8"/>
      <c r="L1016" s="8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N1016" s="9"/>
      <c r="AO1016" s="9"/>
      <c r="AP1016" s="9"/>
      <c r="AQ1016" s="9"/>
      <c r="AR1016" s="9"/>
      <c r="AS1016" s="9"/>
      <c r="AT1016" s="9"/>
    </row>
    <row r="1017" ht="17.25" customHeight="1" spans="1:46">
      <c r="A1017" s="8"/>
      <c r="B1017" s="8"/>
      <c r="C1017" s="8"/>
      <c r="D1017" s="8"/>
      <c r="E1017" s="8"/>
      <c r="F1017" s="8"/>
      <c r="G1017" s="9"/>
      <c r="H1017" s="8"/>
      <c r="I1017" s="8"/>
      <c r="J1017" s="8"/>
      <c r="K1017" s="8"/>
      <c r="L1017" s="8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N1017" s="9"/>
      <c r="AO1017" s="9"/>
      <c r="AP1017" s="9"/>
      <c r="AQ1017" s="9"/>
      <c r="AR1017" s="9"/>
      <c r="AS1017" s="9"/>
      <c r="AT1017" s="9"/>
    </row>
    <row r="1018" ht="17.25" customHeight="1" spans="1:46">
      <c r="A1018" s="8"/>
      <c r="B1018" s="8"/>
      <c r="C1018" s="8"/>
      <c r="D1018" s="8"/>
      <c r="E1018" s="8"/>
      <c r="F1018" s="8"/>
      <c r="G1018" s="9"/>
      <c r="H1018" s="8"/>
      <c r="I1018" s="8"/>
      <c r="J1018" s="8"/>
      <c r="K1018" s="8"/>
      <c r="L1018" s="8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N1018" s="9"/>
      <c r="AO1018" s="9"/>
      <c r="AP1018" s="9"/>
      <c r="AQ1018" s="9"/>
      <c r="AR1018" s="9"/>
      <c r="AS1018" s="9"/>
      <c r="AT1018" s="9"/>
    </row>
    <row r="1019" ht="17.25" customHeight="1" spans="1:46">
      <c r="A1019" s="8"/>
      <c r="B1019" s="8"/>
      <c r="C1019" s="8"/>
      <c r="D1019" s="8"/>
      <c r="E1019" s="8"/>
      <c r="F1019" s="8"/>
      <c r="G1019" s="9"/>
      <c r="H1019" s="8"/>
      <c r="I1019" s="8"/>
      <c r="J1019" s="8"/>
      <c r="K1019" s="8"/>
      <c r="L1019" s="8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N1019" s="9"/>
      <c r="AO1019" s="9"/>
      <c r="AP1019" s="9"/>
      <c r="AQ1019" s="9"/>
      <c r="AR1019" s="9"/>
      <c r="AS1019" s="9"/>
      <c r="AT1019" s="9"/>
    </row>
    <row r="1020" ht="17.25" customHeight="1" spans="1:46">
      <c r="A1020" s="8"/>
      <c r="B1020" s="8"/>
      <c r="C1020" s="8"/>
      <c r="D1020" s="8"/>
      <c r="E1020" s="8"/>
      <c r="F1020" s="8"/>
      <c r="G1020" s="9"/>
      <c r="H1020" s="8"/>
      <c r="I1020" s="8"/>
      <c r="J1020" s="8"/>
      <c r="K1020" s="8"/>
      <c r="L1020" s="8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N1020" s="9"/>
      <c r="AO1020" s="9"/>
      <c r="AP1020" s="9"/>
      <c r="AQ1020" s="9"/>
      <c r="AR1020" s="9"/>
      <c r="AS1020" s="9"/>
      <c r="AT1020" s="9"/>
    </row>
    <row r="1021" ht="17.25" customHeight="1" spans="1:46">
      <c r="A1021" s="8"/>
      <c r="B1021" s="8"/>
      <c r="C1021" s="8"/>
      <c r="D1021" s="8"/>
      <c r="E1021" s="8"/>
      <c r="F1021" s="8"/>
      <c r="G1021" s="9"/>
      <c r="H1021" s="8"/>
      <c r="I1021" s="8"/>
      <c r="J1021" s="8"/>
      <c r="K1021" s="8"/>
      <c r="L1021" s="8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N1021" s="9"/>
      <c r="AO1021" s="9"/>
      <c r="AP1021" s="9"/>
      <c r="AQ1021" s="9"/>
      <c r="AR1021" s="9"/>
      <c r="AS1021" s="9"/>
      <c r="AT1021" s="9"/>
    </row>
    <row r="1022" ht="17.25" customHeight="1" spans="1:46">
      <c r="A1022" s="8"/>
      <c r="B1022" s="8"/>
      <c r="C1022" s="8"/>
      <c r="D1022" s="8"/>
      <c r="E1022" s="8"/>
      <c r="F1022" s="8"/>
      <c r="G1022" s="9"/>
      <c r="H1022" s="8"/>
      <c r="I1022" s="8"/>
      <c r="J1022" s="8"/>
      <c r="K1022" s="8"/>
      <c r="L1022" s="8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N1022" s="9"/>
      <c r="AO1022" s="9"/>
      <c r="AP1022" s="9"/>
      <c r="AQ1022" s="9"/>
      <c r="AR1022" s="9"/>
      <c r="AS1022" s="9"/>
      <c r="AT1022" s="9"/>
    </row>
    <row r="1023" ht="17.25" customHeight="1" spans="1:46">
      <c r="A1023" s="8"/>
      <c r="B1023" s="8"/>
      <c r="C1023" s="8"/>
      <c r="D1023" s="8"/>
      <c r="E1023" s="8"/>
      <c r="F1023" s="8"/>
      <c r="G1023" s="9"/>
      <c r="H1023" s="8"/>
      <c r="I1023" s="8"/>
      <c r="J1023" s="8"/>
      <c r="K1023" s="8"/>
      <c r="L1023" s="8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N1023" s="9"/>
      <c r="AO1023" s="9"/>
      <c r="AP1023" s="9"/>
      <c r="AQ1023" s="9"/>
      <c r="AR1023" s="9"/>
      <c r="AS1023" s="9"/>
      <c r="AT1023" s="9"/>
    </row>
    <row r="1024" ht="17.25" customHeight="1" spans="1:46">
      <c r="A1024" s="8"/>
      <c r="B1024" s="8"/>
      <c r="C1024" s="8"/>
      <c r="D1024" s="8"/>
      <c r="E1024" s="8"/>
      <c r="F1024" s="8"/>
      <c r="G1024" s="9"/>
      <c r="H1024" s="8"/>
      <c r="I1024" s="8"/>
      <c r="J1024" s="8"/>
      <c r="K1024" s="8"/>
      <c r="L1024" s="8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N1024" s="9"/>
      <c r="AO1024" s="9"/>
      <c r="AP1024" s="9"/>
      <c r="AQ1024" s="9"/>
      <c r="AR1024" s="9"/>
      <c r="AS1024" s="9"/>
      <c r="AT1024" s="9"/>
    </row>
    <row r="1025" ht="17.25" customHeight="1" spans="1:46">
      <c r="A1025" s="8"/>
      <c r="B1025" s="8"/>
      <c r="C1025" s="8"/>
      <c r="D1025" s="8"/>
      <c r="E1025" s="8"/>
      <c r="F1025" s="8"/>
      <c r="G1025" s="9"/>
      <c r="H1025" s="8"/>
      <c r="I1025" s="8"/>
      <c r="J1025" s="8"/>
      <c r="K1025" s="8"/>
      <c r="L1025" s="8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N1025" s="9"/>
      <c r="AO1025" s="9"/>
      <c r="AP1025" s="9"/>
      <c r="AQ1025" s="9"/>
      <c r="AR1025" s="9"/>
      <c r="AS1025" s="9"/>
      <c r="AT1025" s="9"/>
    </row>
    <row r="1026" ht="17.25" customHeight="1" spans="1:46">
      <c r="A1026" s="8"/>
      <c r="B1026" s="8"/>
      <c r="C1026" s="8"/>
      <c r="D1026" s="8"/>
      <c r="E1026" s="8"/>
      <c r="F1026" s="8"/>
      <c r="G1026" s="9"/>
      <c r="H1026" s="8"/>
      <c r="I1026" s="8"/>
      <c r="J1026" s="8"/>
      <c r="K1026" s="8"/>
      <c r="L1026" s="8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N1026" s="9"/>
      <c r="AO1026" s="9"/>
      <c r="AP1026" s="9"/>
      <c r="AQ1026" s="9"/>
      <c r="AR1026" s="9"/>
      <c r="AS1026" s="9"/>
      <c r="AT1026" s="9"/>
    </row>
    <row r="1027" ht="17.25" customHeight="1" spans="1:46">
      <c r="A1027" s="8"/>
      <c r="B1027" s="8"/>
      <c r="C1027" s="8"/>
      <c r="D1027" s="8"/>
      <c r="E1027" s="8"/>
      <c r="F1027" s="8"/>
      <c r="G1027" s="9"/>
      <c r="H1027" s="8"/>
      <c r="I1027" s="8"/>
      <c r="J1027" s="8"/>
      <c r="K1027" s="8"/>
      <c r="L1027" s="8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N1027" s="9"/>
      <c r="AO1027" s="9"/>
      <c r="AP1027" s="9"/>
      <c r="AQ1027" s="9"/>
      <c r="AR1027" s="9"/>
      <c r="AS1027" s="9"/>
      <c r="AT1027" s="9"/>
    </row>
    <row r="1028" ht="17.25" customHeight="1" spans="1:46">
      <c r="A1028" s="8"/>
      <c r="B1028" s="8"/>
      <c r="C1028" s="8"/>
      <c r="D1028" s="8"/>
      <c r="E1028" s="8"/>
      <c r="F1028" s="8"/>
      <c r="G1028" s="9"/>
      <c r="H1028" s="8"/>
      <c r="I1028" s="8"/>
      <c r="J1028" s="8"/>
      <c r="K1028" s="8"/>
      <c r="L1028" s="8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N1028" s="9"/>
      <c r="AO1028" s="9"/>
      <c r="AP1028" s="9"/>
      <c r="AQ1028" s="9"/>
      <c r="AR1028" s="9"/>
      <c r="AS1028" s="9"/>
      <c r="AT1028" s="9"/>
    </row>
    <row r="1029" ht="17.25" customHeight="1" spans="1:46">
      <c r="A1029" s="8"/>
      <c r="B1029" s="8"/>
      <c r="C1029" s="8"/>
      <c r="D1029" s="8"/>
      <c r="E1029" s="8"/>
      <c r="F1029" s="8"/>
      <c r="G1029" s="9"/>
      <c r="H1029" s="8"/>
      <c r="I1029" s="8"/>
      <c r="J1029" s="8"/>
      <c r="K1029" s="8"/>
      <c r="L1029" s="8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N1029" s="9"/>
      <c r="AO1029" s="9"/>
      <c r="AP1029" s="9"/>
      <c r="AQ1029" s="9"/>
      <c r="AR1029" s="9"/>
      <c r="AS1029" s="9"/>
      <c r="AT1029" s="9"/>
    </row>
    <row r="1030" ht="17.25" customHeight="1" spans="1:46">
      <c r="A1030" s="8"/>
      <c r="B1030" s="8"/>
      <c r="C1030" s="8"/>
      <c r="D1030" s="8"/>
      <c r="E1030" s="8"/>
      <c r="F1030" s="8"/>
      <c r="G1030" s="9"/>
      <c r="H1030" s="8"/>
      <c r="I1030" s="8"/>
      <c r="J1030" s="8"/>
      <c r="K1030" s="8"/>
      <c r="L1030" s="8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N1030" s="9"/>
      <c r="AO1030" s="9"/>
      <c r="AP1030" s="9"/>
      <c r="AQ1030" s="9"/>
      <c r="AR1030" s="9"/>
      <c r="AS1030" s="9"/>
      <c r="AT1030" s="9"/>
    </row>
    <row r="1031" ht="17.25" customHeight="1" spans="1:46">
      <c r="A1031" s="8"/>
      <c r="B1031" s="8"/>
      <c r="C1031" s="8"/>
      <c r="D1031" s="8"/>
      <c r="E1031" s="8"/>
      <c r="F1031" s="8"/>
      <c r="G1031" s="9"/>
      <c r="H1031" s="8"/>
      <c r="I1031" s="8"/>
      <c r="J1031" s="8"/>
      <c r="K1031" s="8"/>
      <c r="L1031" s="8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N1031" s="9"/>
      <c r="AO1031" s="9"/>
      <c r="AP1031" s="9"/>
      <c r="AQ1031" s="9"/>
      <c r="AR1031" s="9"/>
      <c r="AS1031" s="9"/>
      <c r="AT1031" s="9"/>
    </row>
  </sheetData>
  <mergeCells count="3">
    <mergeCell ref="A1:L1"/>
    <mergeCell ref="N1:Y1"/>
    <mergeCell ref="AA1:AL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55"/>
  <sheetViews>
    <sheetView workbookViewId="0">
      <selection activeCell="A1" sqref="A1:B1"/>
    </sheetView>
  </sheetViews>
  <sheetFormatPr defaultColWidth="8.68148148148148" defaultRowHeight="15" customHeight="1"/>
  <cols>
    <col min="1" max="1" width="12.4296296296296" style="11" customWidth="1"/>
    <col min="2" max="2" width="8.86666666666667" style="11" customWidth="1"/>
    <col min="3" max="3" width="12.4296296296296" style="1" customWidth="1"/>
    <col min="4" max="4" width="12.4296296296296" style="3" customWidth="1"/>
    <col min="5" max="5" width="8.86666666666667" style="3" customWidth="1"/>
    <col min="6" max="6" width="12.4296296296296" style="1" customWidth="1"/>
    <col min="7" max="7" width="12.4296296296296" style="11" customWidth="1"/>
    <col min="8" max="8" width="8.86666666666667" style="11" customWidth="1"/>
    <col min="9" max="11" width="12.4296296296296" style="1" customWidth="1"/>
    <col min="12" max="12" width="12.4296296296296" style="20" customWidth="1"/>
    <col min="13" max="14" width="8.86666666666667" style="11" customWidth="1"/>
    <col min="15" max="20" width="12.4296296296296" style="20" customWidth="1"/>
  </cols>
  <sheetData>
    <row r="1" ht="17.25" customHeight="1" spans="1:20">
      <c r="A1" s="16" t="s">
        <v>1</v>
      </c>
      <c r="B1" s="16"/>
      <c r="D1" s="16" t="s">
        <v>2</v>
      </c>
      <c r="E1" s="16"/>
      <c r="G1" s="16" t="s">
        <v>3</v>
      </c>
      <c r="H1" s="16"/>
      <c r="K1" s="19" t="s">
        <v>4</v>
      </c>
      <c r="L1" s="19"/>
      <c r="M1" s="9"/>
      <c r="N1" s="9"/>
      <c r="O1" s="7"/>
      <c r="P1" s="7"/>
      <c r="Q1" s="13"/>
      <c r="R1" s="13"/>
      <c r="S1" s="13"/>
      <c r="T1" s="7"/>
    </row>
    <row r="2" ht="17.25" customHeight="1" spans="1:20">
      <c r="A2" s="22">
        <v>0.000979904</v>
      </c>
      <c r="B2" s="8">
        <v>140597000</v>
      </c>
      <c r="D2" s="18">
        <v>0.00101728</v>
      </c>
      <c r="E2" s="8">
        <v>147984000</v>
      </c>
      <c r="G2" s="21">
        <v>0.000995499</v>
      </c>
      <c r="H2" s="8">
        <v>151102000</v>
      </c>
      <c r="L2" s="23" t="s">
        <v>5</v>
      </c>
      <c r="M2" s="14" t="s">
        <v>6</v>
      </c>
      <c r="N2" s="14" t="s">
        <v>7</v>
      </c>
      <c r="O2" s="15" t="s">
        <v>8</v>
      </c>
      <c r="P2" s="15" t="s">
        <v>9</v>
      </c>
      <c r="Q2" s="23" t="s">
        <v>10</v>
      </c>
      <c r="R2" s="23" t="s">
        <v>11</v>
      </c>
      <c r="S2" s="23" t="s">
        <v>12</v>
      </c>
      <c r="T2" s="15" t="s">
        <v>13</v>
      </c>
    </row>
    <row r="3" ht="17.25" customHeight="1" spans="1:20">
      <c r="A3" s="22">
        <v>0.00196847</v>
      </c>
      <c r="B3" s="8">
        <v>152377000</v>
      </c>
      <c r="D3" s="18">
        <v>0.00198146</v>
      </c>
      <c r="E3" s="8">
        <v>153781000</v>
      </c>
      <c r="G3" s="21">
        <v>0.00199454</v>
      </c>
      <c r="H3" s="8">
        <v>150415000</v>
      </c>
      <c r="K3" s="1" t="s">
        <v>14</v>
      </c>
      <c r="L3" s="7">
        <f>AVERAGE(B27:B31)/1000000</f>
        <v>178.431</v>
      </c>
      <c r="M3" s="8">
        <f>AVERAGE('400K_SR1000'!L27:L31)</f>
        <v>7293454000000</v>
      </c>
      <c r="N3" s="8">
        <f>AVERAGE('400K_SR1000'!C27:C31)</f>
        <v>58909940000000</v>
      </c>
      <c r="O3" s="7">
        <f>Graphs!$B$1*80.9*0.248*SQRT(M3)/1000000</f>
        <v>27.0917357487376</v>
      </c>
      <c r="P3" s="7">
        <f>Graphs!$B$2*80.9*0.248*SQRT(N3)/1000000</f>
        <v>7.69953499062748</v>
      </c>
      <c r="Q3" s="24">
        <f>SQRT(O3^2+P3^2)</f>
        <v>28.1646051801072</v>
      </c>
      <c r="R3" s="24">
        <f>L3*0.4395</f>
        <v>78.4204245</v>
      </c>
      <c r="S3" s="24">
        <f>R3/Q3</f>
        <v>2.78436086707115</v>
      </c>
      <c r="T3" s="24">
        <f>M3/N3</f>
        <v>0.123806848216108</v>
      </c>
    </row>
    <row r="4" ht="17.25" customHeight="1" spans="1:20">
      <c r="A4" s="22">
        <v>0.0030397</v>
      </c>
      <c r="B4" s="8">
        <v>147925000</v>
      </c>
      <c r="D4" s="18">
        <v>0.00301624</v>
      </c>
      <c r="E4" s="8">
        <v>158093000</v>
      </c>
      <c r="G4" s="21">
        <v>0.00302321</v>
      </c>
      <c r="H4" s="8">
        <v>154241000</v>
      </c>
      <c r="K4" s="1" t="s">
        <v>15</v>
      </c>
      <c r="L4" s="7">
        <f>AVERAGE(E26:E30)/1000000</f>
        <v>177.8704</v>
      </c>
      <c r="M4" s="8">
        <f>AVERAGE('400K_SR1000'!Y26:Y30)</f>
        <v>8113342000000</v>
      </c>
      <c r="N4" s="8">
        <f>AVERAGE('400K_SR1000'!P26:P30)</f>
        <v>61431140000000</v>
      </c>
      <c r="O4" s="7">
        <f>Graphs!$B$1*80.9*0.248*SQRT(M4)/1000000</f>
        <v>28.57393801706</v>
      </c>
      <c r="P4" s="7">
        <f>Graphs!$B$2*80.9*0.248*SQRT(N4)/1000000</f>
        <v>7.86256944208391</v>
      </c>
      <c r="Q4" s="24">
        <f>SQRT(O4^2+P4^2)</f>
        <v>29.635956742349</v>
      </c>
      <c r="R4" s="24">
        <f>L4*0.4395</f>
        <v>78.1740408</v>
      </c>
      <c r="S4" s="24">
        <f>R4/Q4</f>
        <v>2.63781059878156</v>
      </c>
      <c r="T4" s="24">
        <f>M4/N4</f>
        <v>0.132072138006881</v>
      </c>
    </row>
    <row r="5" ht="17.25" customHeight="1" spans="1:20">
      <c r="A5" s="22">
        <v>0.00401209</v>
      </c>
      <c r="B5" s="8">
        <v>163982000</v>
      </c>
      <c r="D5" s="18">
        <v>0.00402841</v>
      </c>
      <c r="E5" s="8">
        <v>157542000</v>
      </c>
      <c r="G5" s="21">
        <v>0.00398153</v>
      </c>
      <c r="H5" s="8">
        <v>159568000</v>
      </c>
      <c r="K5" s="1" t="s">
        <v>3</v>
      </c>
      <c r="L5" s="7">
        <f>AVERAGE(H26:H31)/1000000</f>
        <v>170.1625</v>
      </c>
      <c r="M5" s="8">
        <f>AVERAGE('400K_SR1000'!AL28:AL32)</f>
        <v>7535020000000</v>
      </c>
      <c r="N5" s="8">
        <f>AVERAGE('400K_SR1000'!AC28:AC32)</f>
        <v>57875100000000</v>
      </c>
      <c r="O5" s="7">
        <f>Graphs!$B$1*80.9*0.248*SQRT(M5)/1000000</f>
        <v>27.5367328637508</v>
      </c>
      <c r="P5" s="7">
        <f>Graphs!$B$2*80.9*0.248*SQRT(N5)/1000000</f>
        <v>7.63160851653166</v>
      </c>
      <c r="Q5" s="24">
        <f>SQRT(O5^2+P5^2)</f>
        <v>28.5746934429605</v>
      </c>
      <c r="R5" s="24">
        <f>L5*0.4395</f>
        <v>74.78641875</v>
      </c>
      <c r="S5" s="24">
        <f>R5/Q5</f>
        <v>2.61722558456437</v>
      </c>
      <c r="T5" s="24">
        <f>M5/N5</f>
        <v>0.13019450506349</v>
      </c>
    </row>
    <row r="6" ht="17.25" customHeight="1" spans="1:20">
      <c r="A6" s="22">
        <v>0.00503251</v>
      </c>
      <c r="B6" s="8">
        <v>160727000</v>
      </c>
      <c r="D6" s="18">
        <v>0.00502035</v>
      </c>
      <c r="E6" s="8">
        <v>166716000</v>
      </c>
      <c r="G6" s="21">
        <v>0.00502584</v>
      </c>
      <c r="H6" s="8">
        <v>156162000</v>
      </c>
      <c r="L6" s="13"/>
      <c r="M6" s="9"/>
      <c r="N6" s="9"/>
      <c r="O6" s="13"/>
      <c r="P6" s="13"/>
      <c r="Q6" s="13"/>
      <c r="R6" s="13"/>
      <c r="S6" s="13"/>
      <c r="T6" s="13"/>
    </row>
    <row r="7" ht="17.25" customHeight="1" spans="1:20">
      <c r="A7" s="22">
        <v>0.00600189</v>
      </c>
      <c r="B7" s="8">
        <v>160651000</v>
      </c>
      <c r="D7" s="18">
        <v>0.00601763</v>
      </c>
      <c r="E7" s="8">
        <v>166469000</v>
      </c>
      <c r="G7" s="21">
        <v>0.00600714</v>
      </c>
      <c r="H7" s="8">
        <v>161100000</v>
      </c>
      <c r="L7" s="13"/>
      <c r="M7" s="9"/>
      <c r="N7" s="9"/>
      <c r="O7" s="13"/>
      <c r="P7" s="13"/>
      <c r="Q7" s="13"/>
      <c r="R7" s="13"/>
      <c r="S7" s="13"/>
      <c r="T7" s="13"/>
    </row>
    <row r="8" ht="17.25" customHeight="1" spans="1:20">
      <c r="A8" s="22">
        <v>0.00697987</v>
      </c>
      <c r="B8" s="8">
        <v>172701000</v>
      </c>
      <c r="D8" s="18">
        <v>0.00699796</v>
      </c>
      <c r="E8" s="8">
        <v>175762000</v>
      </c>
      <c r="G8" s="21">
        <v>0.00697276</v>
      </c>
      <c r="H8" s="8">
        <v>158784000</v>
      </c>
      <c r="L8" s="13"/>
      <c r="M8" s="9"/>
      <c r="N8" s="9"/>
      <c r="O8" s="13"/>
      <c r="P8" s="13"/>
      <c r="Q8" s="13"/>
      <c r="R8" s="13"/>
      <c r="S8" s="13"/>
      <c r="T8" s="13"/>
    </row>
    <row r="9" ht="17.25" customHeight="1" spans="1:20">
      <c r="A9" s="22">
        <v>0.00801645</v>
      </c>
      <c r="B9" s="8">
        <v>166362000</v>
      </c>
      <c r="D9" s="18">
        <v>0.00796272</v>
      </c>
      <c r="E9" s="8">
        <v>176344000</v>
      </c>
      <c r="G9" s="21">
        <v>0.00803637</v>
      </c>
      <c r="H9" s="8">
        <v>164709000</v>
      </c>
      <c r="K9" s="1" t="s">
        <v>14</v>
      </c>
      <c r="L9" s="7">
        <f>AVERAGE(B12:B16)/1000000</f>
        <v>166.9544</v>
      </c>
      <c r="M9" s="8">
        <f>AVERAGE('400K_SR1000'!L12:L16)</f>
        <v>7033894000000</v>
      </c>
      <c r="N9" s="8">
        <f>AVERAGE('400K_SR1000'!C12:C16)</f>
        <v>56413900000000</v>
      </c>
      <c r="O9" s="7">
        <f>Graphs!$B$1*80.9*0.248*SQRT(M9)/1000000</f>
        <v>26.6052973066116</v>
      </c>
      <c r="P9" s="7">
        <f>Graphs!$B$2*80.9*0.248*SQRT(N9)/1000000</f>
        <v>7.53465322192335</v>
      </c>
      <c r="Q9" s="7">
        <f>SQRT(O9^2+P9^2)</f>
        <v>27.651633657848</v>
      </c>
      <c r="R9" s="7">
        <f>L9*0.4395</f>
        <v>73.3764588</v>
      </c>
      <c r="S9" s="7">
        <f>R9/Q9</f>
        <v>2.65360302786937</v>
      </c>
      <c r="T9" s="7">
        <f>M9/N9</f>
        <v>0.124683703838947</v>
      </c>
    </row>
    <row r="10" ht="17.25" customHeight="1" spans="1:20">
      <c r="A10" s="22">
        <v>0.00899478</v>
      </c>
      <c r="B10" s="8">
        <v>177642000</v>
      </c>
      <c r="D10" s="18">
        <v>0.0090644</v>
      </c>
      <c r="E10" s="8">
        <v>175082000</v>
      </c>
      <c r="G10" s="21">
        <v>0.00903575</v>
      </c>
      <c r="H10" s="8">
        <v>167107000</v>
      </c>
      <c r="K10" s="1" t="s">
        <v>15</v>
      </c>
      <c r="L10" s="7">
        <f>AVERAGE(E12:E16)/1000000</f>
        <v>170.1218</v>
      </c>
      <c r="M10" s="8">
        <f>AVERAGE('400K_SR1000'!Y12:Y16)</f>
        <v>7046376000000</v>
      </c>
      <c r="N10" s="8">
        <f>AVERAGE('400K_SR1000'!P12:P16)</f>
        <v>56020720000000</v>
      </c>
      <c r="O10" s="7">
        <f>Graphs!$B$1*80.9*0.248*SQRT(M10)/1000000</f>
        <v>26.6288930648876</v>
      </c>
      <c r="P10" s="7">
        <f>Graphs!$B$2*80.9*0.248*SQRT(N10)/1000000</f>
        <v>7.50835070777209</v>
      </c>
      <c r="Q10" s="7">
        <f>SQRT(O10^2+P10^2)</f>
        <v>27.6671877178025</v>
      </c>
      <c r="R10" s="7">
        <f>L10*0.4395</f>
        <v>74.7685311</v>
      </c>
      <c r="S10" s="7">
        <f>R10/Q10</f>
        <v>2.70242613245039</v>
      </c>
      <c r="T10" s="7">
        <f>M10/N10</f>
        <v>0.125781603663787</v>
      </c>
    </row>
    <row r="11" ht="17.25" customHeight="1" spans="1:20">
      <c r="A11" s="22">
        <v>0.0100591</v>
      </c>
      <c r="B11" s="8">
        <v>168360000</v>
      </c>
      <c r="D11" s="18">
        <v>0.0100301</v>
      </c>
      <c r="E11" s="8">
        <v>173729000</v>
      </c>
      <c r="G11" s="21">
        <v>0.0100164</v>
      </c>
      <c r="H11" s="8">
        <v>162991000</v>
      </c>
      <c r="K11" s="1" t="s">
        <v>3</v>
      </c>
      <c r="L11" s="7">
        <f>AVERAGE(H12:H16)/1000000</f>
        <v>167.3048</v>
      </c>
      <c r="M11" s="8">
        <f>AVERAGE('400K_SR1000'!L12:AL16)</f>
        <v>9148818066400.16</v>
      </c>
      <c r="N11" s="8">
        <f>AVERAGE('400K_SR1000'!AC12:AC16)</f>
        <v>54793140000000</v>
      </c>
      <c r="O11" s="7">
        <f>Graphs!$B$1*80.9*0.248*SQRT(M11)/1000000</f>
        <v>30.3425937471033</v>
      </c>
      <c r="P11" s="7">
        <f>Graphs!$B$2*80.9*0.248*SQRT(N11)/1000000</f>
        <v>7.42562992527764</v>
      </c>
      <c r="Q11" s="7">
        <f>SQRT(O11^2+P11^2)</f>
        <v>31.2380052994574</v>
      </c>
      <c r="R11" s="7">
        <f>L11*0.4395</f>
        <v>73.5304596</v>
      </c>
      <c r="S11" s="7">
        <f>R11/Q11</f>
        <v>2.35387819725087</v>
      </c>
      <c r="T11" s="7">
        <f>M11/N11</f>
        <v>0.166970136524393</v>
      </c>
    </row>
    <row r="12" ht="17.25" customHeight="1" spans="1:20">
      <c r="A12" s="22">
        <v>0.0109141</v>
      </c>
      <c r="B12" s="8">
        <v>173991000</v>
      </c>
      <c r="D12" s="18">
        <v>0.0110056</v>
      </c>
      <c r="E12" s="8">
        <v>171986000</v>
      </c>
      <c r="G12" s="21">
        <v>0.0110178</v>
      </c>
      <c r="H12" s="8">
        <v>165128000</v>
      </c>
      <c r="L12" s="13"/>
      <c r="M12" s="9"/>
      <c r="N12" s="9"/>
      <c r="O12" s="13"/>
      <c r="P12" s="13"/>
      <c r="Q12" s="13"/>
      <c r="R12" s="13"/>
      <c r="S12" s="13"/>
      <c r="T12" s="13"/>
    </row>
    <row r="13" ht="17.25" customHeight="1" spans="1:20">
      <c r="A13" s="22">
        <v>0.0120248</v>
      </c>
      <c r="B13" s="8">
        <v>161794000</v>
      </c>
      <c r="D13" s="18">
        <v>0.0119554</v>
      </c>
      <c r="E13" s="8">
        <v>161086000</v>
      </c>
      <c r="G13" s="21">
        <v>0.011999</v>
      </c>
      <c r="H13" s="8">
        <v>161020000</v>
      </c>
      <c r="L13" s="13"/>
      <c r="M13" s="9"/>
      <c r="N13" s="9"/>
      <c r="O13" s="13"/>
      <c r="P13" s="13"/>
      <c r="Q13" s="13"/>
      <c r="R13" s="13"/>
      <c r="S13" s="13"/>
      <c r="T13" s="13"/>
    </row>
    <row r="14" ht="17.25" customHeight="1" spans="1:20">
      <c r="A14" s="22">
        <v>0.0129734</v>
      </c>
      <c r="B14" s="8">
        <v>171911000</v>
      </c>
      <c r="D14" s="18">
        <v>0.0130504</v>
      </c>
      <c r="E14" s="8">
        <v>166451000</v>
      </c>
      <c r="G14" s="21">
        <v>0.0129744</v>
      </c>
      <c r="H14" s="8">
        <v>174721000</v>
      </c>
      <c r="L14" s="13"/>
      <c r="M14" s="9"/>
      <c r="N14" s="9"/>
      <c r="O14" s="13"/>
      <c r="P14" s="13"/>
      <c r="Q14" s="13"/>
      <c r="R14" s="13"/>
      <c r="S14" s="13"/>
      <c r="T14" s="13"/>
    </row>
    <row r="15" ht="17.25" customHeight="1" spans="1:20">
      <c r="A15" s="22">
        <v>0.0140469</v>
      </c>
      <c r="B15" s="8">
        <v>157581000</v>
      </c>
      <c r="D15" s="18">
        <v>0.0140123</v>
      </c>
      <c r="E15" s="8">
        <v>178217000</v>
      </c>
      <c r="G15" s="21">
        <v>0.0140462</v>
      </c>
      <c r="H15" s="8">
        <v>163579000</v>
      </c>
      <c r="L15" s="13"/>
      <c r="M15" s="9"/>
      <c r="N15" s="9"/>
      <c r="O15" s="13"/>
      <c r="P15" s="13"/>
      <c r="Q15" s="13"/>
      <c r="R15" s="13"/>
      <c r="S15" s="13"/>
      <c r="T15" s="13"/>
    </row>
    <row r="16" ht="17.25" customHeight="1" spans="1:20">
      <c r="A16" s="22">
        <v>0.0149845</v>
      </c>
      <c r="B16" s="8">
        <v>169495000</v>
      </c>
      <c r="D16" s="18">
        <v>0.0150372</v>
      </c>
      <c r="E16" s="8">
        <v>172869000</v>
      </c>
      <c r="G16" s="21">
        <v>0.0150106</v>
      </c>
      <c r="H16" s="8">
        <v>172076000</v>
      </c>
      <c r="L16" s="13"/>
      <c r="M16" s="9"/>
      <c r="N16" s="9"/>
      <c r="O16" s="13"/>
      <c r="P16" s="13"/>
      <c r="Q16" s="13"/>
      <c r="R16" s="13"/>
      <c r="S16" s="13"/>
      <c r="T16" s="13"/>
    </row>
    <row r="17" ht="17.25" customHeight="1" spans="1:20">
      <c r="A17" s="22">
        <v>0.0160343</v>
      </c>
      <c r="B17" s="8">
        <v>169170000</v>
      </c>
      <c r="D17" s="18">
        <v>0.0159988</v>
      </c>
      <c r="E17" s="8">
        <v>183878000</v>
      </c>
      <c r="G17" s="21">
        <v>0.0160407</v>
      </c>
      <c r="H17" s="8">
        <v>174862000</v>
      </c>
      <c r="L17" s="13"/>
      <c r="M17" s="9"/>
      <c r="N17" s="9"/>
      <c r="O17" s="13"/>
      <c r="P17" s="13"/>
      <c r="Q17" s="13"/>
      <c r="R17" s="13"/>
      <c r="S17" s="13"/>
      <c r="T17" s="13"/>
    </row>
    <row r="18" ht="17.25" customHeight="1" spans="1:20">
      <c r="A18" s="22">
        <v>0.0169874</v>
      </c>
      <c r="B18" s="8">
        <v>162591000</v>
      </c>
      <c r="D18" s="18">
        <v>0.0170456</v>
      </c>
      <c r="E18" s="8">
        <v>161343000</v>
      </c>
      <c r="G18" s="21">
        <v>0.0169689</v>
      </c>
      <c r="H18" s="8">
        <v>173868000</v>
      </c>
      <c r="L18" s="13"/>
      <c r="M18" s="9"/>
      <c r="N18" s="9"/>
      <c r="O18" s="13"/>
      <c r="P18" s="13"/>
      <c r="Q18" s="13"/>
      <c r="R18" s="13"/>
      <c r="S18" s="13"/>
      <c r="T18" s="13"/>
    </row>
    <row r="19" ht="17.25" customHeight="1" spans="1:20">
      <c r="A19" s="22">
        <v>0.0179785</v>
      </c>
      <c r="B19" s="8">
        <v>175408000</v>
      </c>
      <c r="D19" s="18">
        <v>0.0179584</v>
      </c>
      <c r="E19" s="8">
        <v>177485000</v>
      </c>
      <c r="G19" s="21">
        <v>0.0179876</v>
      </c>
      <c r="H19" s="8">
        <v>171178000</v>
      </c>
      <c r="L19" s="13"/>
      <c r="M19" s="9"/>
      <c r="N19" s="9"/>
      <c r="O19" s="13"/>
      <c r="P19" s="13"/>
      <c r="Q19" s="13"/>
      <c r="R19" s="13"/>
      <c r="S19" s="13"/>
      <c r="T19" s="13"/>
    </row>
    <row r="20" ht="17.25" customHeight="1" spans="1:20">
      <c r="A20" s="22">
        <v>0.0189928</v>
      </c>
      <c r="B20" s="8">
        <v>167104000</v>
      </c>
      <c r="D20" s="18">
        <v>0.0190197</v>
      </c>
      <c r="E20" s="8">
        <v>175343000</v>
      </c>
      <c r="G20" s="21">
        <v>0.0189815</v>
      </c>
      <c r="H20" s="8">
        <v>169410000</v>
      </c>
      <c r="L20" s="13"/>
      <c r="M20" s="9"/>
      <c r="N20" s="9"/>
      <c r="O20" s="13"/>
      <c r="P20" s="13"/>
      <c r="Q20" s="13"/>
      <c r="R20" s="13"/>
      <c r="S20" s="13"/>
      <c r="T20" s="13"/>
    </row>
    <row r="21" ht="17.25" customHeight="1" spans="1:20">
      <c r="A21" s="22">
        <v>0.0200125</v>
      </c>
      <c r="B21" s="8">
        <v>174610000</v>
      </c>
      <c r="D21" s="18">
        <v>0.0199671</v>
      </c>
      <c r="E21" s="8">
        <v>171104000</v>
      </c>
      <c r="G21" s="21">
        <v>0.0200014</v>
      </c>
      <c r="H21" s="8">
        <v>166538000</v>
      </c>
      <c r="L21" s="13"/>
      <c r="M21" s="9"/>
      <c r="N21" s="9"/>
      <c r="O21" s="13"/>
      <c r="P21" s="13"/>
      <c r="Q21" s="13"/>
      <c r="R21" s="13"/>
      <c r="S21" s="13"/>
      <c r="T21" s="13"/>
    </row>
    <row r="22" ht="17.25" customHeight="1" spans="1:20">
      <c r="A22" s="22">
        <v>0.0209558</v>
      </c>
      <c r="B22" s="8">
        <v>165411000</v>
      </c>
      <c r="D22" s="18">
        <v>0.0210252</v>
      </c>
      <c r="E22" s="8">
        <v>174408000</v>
      </c>
      <c r="G22" s="21">
        <v>0.0209995</v>
      </c>
      <c r="H22" s="8">
        <v>166364000</v>
      </c>
      <c r="L22" s="13"/>
      <c r="M22" s="9"/>
      <c r="N22" s="9"/>
      <c r="O22" s="13"/>
      <c r="P22" s="13"/>
      <c r="Q22" s="13"/>
      <c r="R22" s="13"/>
      <c r="S22" s="13"/>
      <c r="T22" s="13"/>
    </row>
    <row r="23" ht="17.25" customHeight="1" spans="1:20">
      <c r="A23" s="22">
        <v>0.0219752</v>
      </c>
      <c r="B23" s="8">
        <v>169240000</v>
      </c>
      <c r="D23" s="18">
        <v>0.0219862</v>
      </c>
      <c r="E23" s="8">
        <v>185361000</v>
      </c>
      <c r="G23" s="21">
        <v>0.0219478</v>
      </c>
      <c r="H23" s="8">
        <v>167297000</v>
      </c>
      <c r="L23" s="13"/>
      <c r="M23" s="9"/>
      <c r="N23" s="9"/>
      <c r="O23" s="13"/>
      <c r="P23" s="13"/>
      <c r="Q23" s="13"/>
      <c r="R23" s="13"/>
      <c r="S23" s="13"/>
      <c r="T23" s="13"/>
    </row>
    <row r="24" ht="17.25" customHeight="1" spans="1:20">
      <c r="A24" s="22">
        <v>0.0230098</v>
      </c>
      <c r="B24" s="8">
        <v>166622000</v>
      </c>
      <c r="D24" s="18">
        <v>0.023052</v>
      </c>
      <c r="E24" s="8">
        <v>174522000</v>
      </c>
      <c r="G24" s="21">
        <v>0.0229874</v>
      </c>
      <c r="H24" s="8">
        <v>170095000</v>
      </c>
      <c r="L24" s="13"/>
      <c r="M24" s="9"/>
      <c r="N24" s="9"/>
      <c r="O24" s="13"/>
      <c r="P24" s="13"/>
      <c r="Q24" s="13"/>
      <c r="R24" s="13"/>
      <c r="S24" s="13"/>
      <c r="T24" s="13"/>
    </row>
    <row r="25" ht="17.25" customHeight="1" spans="1:20">
      <c r="A25" s="22">
        <v>0.0239864</v>
      </c>
      <c r="B25" s="8">
        <v>174254000</v>
      </c>
      <c r="D25" s="18">
        <v>0.0240452</v>
      </c>
      <c r="E25" s="8">
        <v>175027000</v>
      </c>
      <c r="G25" s="21">
        <v>0.0239634</v>
      </c>
      <c r="H25" s="8">
        <v>167239000</v>
      </c>
      <c r="L25" s="13"/>
      <c r="M25" s="9"/>
      <c r="N25" s="9"/>
      <c r="O25" s="13"/>
      <c r="P25" s="13"/>
      <c r="Q25" s="13"/>
      <c r="R25" s="13"/>
      <c r="S25" s="13"/>
      <c r="T25" s="13"/>
    </row>
    <row r="26" ht="17.25" customHeight="1" spans="1:20">
      <c r="A26" s="22">
        <v>0.0250155</v>
      </c>
      <c r="B26" s="8">
        <v>176533000</v>
      </c>
      <c r="D26" s="18">
        <v>0.0249719</v>
      </c>
      <c r="E26" s="8">
        <v>171452000</v>
      </c>
      <c r="G26" s="21">
        <v>0.0249324</v>
      </c>
      <c r="H26" s="8">
        <v>169056000</v>
      </c>
      <c r="L26" s="13"/>
      <c r="M26" s="9"/>
      <c r="N26" s="9"/>
      <c r="O26" s="13"/>
      <c r="P26" s="13"/>
      <c r="Q26" s="13"/>
      <c r="R26" s="13"/>
      <c r="S26" s="13"/>
      <c r="T26" s="13"/>
    </row>
    <row r="27" ht="17.25" customHeight="1" spans="1:20">
      <c r="A27" s="22">
        <v>0.0259857</v>
      </c>
      <c r="B27" s="8">
        <v>177987000</v>
      </c>
      <c r="D27" s="18">
        <v>0.0259899</v>
      </c>
      <c r="E27" s="8">
        <v>189085000</v>
      </c>
      <c r="G27" s="21">
        <v>0.0259631</v>
      </c>
      <c r="H27" s="8">
        <v>171126000</v>
      </c>
      <c r="L27" s="13"/>
      <c r="M27" s="9"/>
      <c r="N27" s="9"/>
      <c r="O27" s="13"/>
      <c r="P27" s="13"/>
      <c r="Q27" s="13"/>
      <c r="R27" s="13"/>
      <c r="S27" s="13"/>
      <c r="T27" s="13"/>
    </row>
    <row r="28" ht="17.25" customHeight="1" spans="1:20">
      <c r="A28" s="22">
        <v>0.0270298</v>
      </c>
      <c r="B28" s="8">
        <v>183993000</v>
      </c>
      <c r="D28" s="18">
        <v>0.0270199</v>
      </c>
      <c r="E28" s="8">
        <v>176547000</v>
      </c>
      <c r="G28" s="21">
        <v>0.0270352</v>
      </c>
      <c r="H28" s="8">
        <v>171396000</v>
      </c>
      <c r="L28" s="13"/>
      <c r="M28" s="9"/>
      <c r="N28" s="9"/>
      <c r="O28" s="13"/>
      <c r="P28" s="13"/>
      <c r="Q28" s="13"/>
      <c r="R28" s="13"/>
      <c r="S28" s="13"/>
      <c r="T28" s="13"/>
    </row>
    <row r="29" ht="17.25" customHeight="1" spans="1:20">
      <c r="A29" s="22">
        <v>0.0280543</v>
      </c>
      <c r="B29" s="8">
        <v>175331000</v>
      </c>
      <c r="D29" s="18">
        <v>0.0279694</v>
      </c>
      <c r="E29" s="8">
        <v>176448000</v>
      </c>
      <c r="G29" s="21">
        <v>0.0280493</v>
      </c>
      <c r="H29" s="8">
        <v>169100000</v>
      </c>
      <c r="L29" s="13"/>
      <c r="M29" s="9"/>
      <c r="N29" s="9"/>
      <c r="O29" s="13"/>
      <c r="P29" s="13"/>
      <c r="Q29" s="13"/>
      <c r="R29" s="13"/>
      <c r="S29" s="13"/>
      <c r="T29" s="13"/>
    </row>
    <row r="30" ht="17.25" customHeight="1" spans="1:20">
      <c r="A30" s="22">
        <v>0.0290126</v>
      </c>
      <c r="B30" s="8">
        <v>179336000</v>
      </c>
      <c r="D30" s="18">
        <v>0.0287795</v>
      </c>
      <c r="E30" s="8">
        <v>175820000</v>
      </c>
      <c r="G30" s="21">
        <v>0.0289376</v>
      </c>
      <c r="H30" s="8">
        <v>171092000</v>
      </c>
      <c r="L30" s="13"/>
      <c r="M30" s="9"/>
      <c r="N30" s="9"/>
      <c r="O30" s="13"/>
      <c r="P30" s="13"/>
      <c r="Q30" s="13"/>
      <c r="R30" s="13"/>
      <c r="S30" s="13"/>
      <c r="T30" s="13"/>
    </row>
    <row r="31" ht="17.25" customHeight="1" spans="1:20">
      <c r="A31" s="22">
        <v>0.029978</v>
      </c>
      <c r="B31" s="8">
        <v>175508000</v>
      </c>
      <c r="D31" s="18"/>
      <c r="E31" s="8"/>
      <c r="G31" s="21">
        <v>0.0300001</v>
      </c>
      <c r="H31" s="8">
        <v>169205000</v>
      </c>
      <c r="L31" s="13"/>
      <c r="M31" s="9"/>
      <c r="N31" s="9"/>
      <c r="O31" s="13"/>
      <c r="P31" s="13"/>
      <c r="Q31" s="13"/>
      <c r="R31" s="13"/>
      <c r="S31" s="13"/>
      <c r="T31" s="13"/>
    </row>
    <row r="32" ht="17.25" customHeight="1" spans="1:20">
      <c r="A32" s="22"/>
      <c r="B32" s="8"/>
      <c r="D32" s="18"/>
      <c r="E32" s="8"/>
      <c r="G32" s="21"/>
      <c r="H32" s="8"/>
      <c r="L32" s="13"/>
      <c r="M32" s="9"/>
      <c r="N32" s="9"/>
      <c r="O32" s="13"/>
      <c r="P32" s="13"/>
      <c r="Q32" s="13"/>
      <c r="R32" s="13"/>
      <c r="S32" s="13"/>
      <c r="T32" s="13"/>
    </row>
    <row r="33" ht="17.25" customHeight="1" spans="1:20">
      <c r="A33" s="22"/>
      <c r="B33" s="8"/>
      <c r="D33" s="18"/>
      <c r="E33" s="8"/>
      <c r="G33" s="18"/>
      <c r="H33" s="8"/>
      <c r="L33" s="13"/>
      <c r="M33" s="9"/>
      <c r="N33" s="9"/>
      <c r="O33" s="13"/>
      <c r="P33" s="13"/>
      <c r="Q33" s="13"/>
      <c r="R33" s="13"/>
      <c r="S33" s="13"/>
      <c r="T33" s="13"/>
    </row>
    <row r="34" ht="17.25" customHeight="1" spans="1:20">
      <c r="A34" s="22"/>
      <c r="B34" s="8"/>
      <c r="D34" s="18"/>
      <c r="E34" s="8"/>
      <c r="G34" s="18"/>
      <c r="H34" s="8"/>
      <c r="L34" s="13"/>
      <c r="M34" s="9"/>
      <c r="N34" s="9"/>
      <c r="O34" s="13"/>
      <c r="P34" s="13"/>
      <c r="Q34" s="13"/>
      <c r="R34" s="13"/>
      <c r="S34" s="13"/>
      <c r="T34" s="13"/>
    </row>
    <row r="35" ht="17.25" customHeight="1" spans="1:20">
      <c r="A35" s="22"/>
      <c r="B35" s="8"/>
      <c r="D35" s="18"/>
      <c r="E35" s="8"/>
      <c r="G35" s="18"/>
      <c r="H35" s="8"/>
      <c r="L35" s="13"/>
      <c r="M35" s="9"/>
      <c r="N35" s="9"/>
      <c r="O35" s="13"/>
      <c r="P35" s="13"/>
      <c r="Q35" s="13"/>
      <c r="R35" s="13"/>
      <c r="S35" s="13"/>
      <c r="T35" s="13"/>
    </row>
    <row r="36" ht="17.25" customHeight="1" spans="1:20">
      <c r="A36" s="22"/>
      <c r="B36" s="8"/>
      <c r="D36" s="18"/>
      <c r="E36" s="8"/>
      <c r="G36" s="18"/>
      <c r="H36" s="8"/>
      <c r="L36" s="13"/>
      <c r="M36" s="9"/>
      <c r="N36" s="9"/>
      <c r="O36" s="13"/>
      <c r="P36" s="13"/>
      <c r="Q36" s="13"/>
      <c r="R36" s="13"/>
      <c r="S36" s="13"/>
      <c r="T36" s="13"/>
    </row>
    <row r="37" ht="17.25" customHeight="1" spans="1:20">
      <c r="A37" s="22"/>
      <c r="B37" s="8"/>
      <c r="D37" s="18"/>
      <c r="E37" s="8"/>
      <c r="G37" s="18"/>
      <c r="H37" s="8"/>
      <c r="L37" s="13"/>
      <c r="M37" s="9"/>
      <c r="N37" s="9"/>
      <c r="O37" s="13"/>
      <c r="P37" s="13"/>
      <c r="Q37" s="13"/>
      <c r="R37" s="13"/>
      <c r="S37" s="13"/>
      <c r="T37" s="13"/>
    </row>
    <row r="38" ht="17.25" customHeight="1" spans="1:20">
      <c r="A38" s="22"/>
      <c r="B38" s="8"/>
      <c r="D38" s="18"/>
      <c r="E38" s="8"/>
      <c r="G38" s="18"/>
      <c r="H38" s="8"/>
      <c r="L38" s="13"/>
      <c r="M38" s="9"/>
      <c r="N38" s="9"/>
      <c r="O38" s="13"/>
      <c r="P38" s="13"/>
      <c r="Q38" s="13"/>
      <c r="R38" s="13"/>
      <c r="S38" s="13"/>
      <c r="T38" s="13"/>
    </row>
    <row r="39" ht="17.25" customHeight="1" spans="1:20">
      <c r="A39" s="22"/>
      <c r="B39" s="8"/>
      <c r="D39" s="18"/>
      <c r="E39" s="8"/>
      <c r="G39" s="18"/>
      <c r="H39" s="8"/>
      <c r="L39" s="13"/>
      <c r="M39" s="9"/>
      <c r="N39" s="9"/>
      <c r="O39" s="13"/>
      <c r="P39" s="13"/>
      <c r="Q39" s="13"/>
      <c r="R39" s="13"/>
      <c r="S39" s="13"/>
      <c r="T39" s="13"/>
    </row>
    <row r="40" ht="17.25" customHeight="1" spans="1:20">
      <c r="A40" s="22"/>
      <c r="B40" s="8"/>
      <c r="D40" s="18"/>
      <c r="E40" s="8"/>
      <c r="G40" s="18"/>
      <c r="H40" s="8"/>
      <c r="L40" s="13"/>
      <c r="M40" s="9"/>
      <c r="N40" s="9"/>
      <c r="O40" s="13"/>
      <c r="P40" s="13"/>
      <c r="Q40" s="13"/>
      <c r="R40" s="13"/>
      <c r="S40" s="13"/>
      <c r="T40" s="13"/>
    </row>
    <row r="41" ht="17.25" customHeight="1" spans="1:20">
      <c r="A41" s="22"/>
      <c r="B41" s="8"/>
      <c r="D41" s="18"/>
      <c r="E41" s="8"/>
      <c r="G41" s="18"/>
      <c r="H41" s="8"/>
      <c r="L41" s="13"/>
      <c r="M41" s="9"/>
      <c r="N41" s="9"/>
      <c r="O41" s="13"/>
      <c r="P41" s="13"/>
      <c r="Q41" s="13"/>
      <c r="R41" s="13"/>
      <c r="S41" s="13"/>
      <c r="T41" s="13"/>
    </row>
    <row r="42" ht="17.25" customHeight="1" spans="1:20">
      <c r="A42" s="22"/>
      <c r="B42" s="8"/>
      <c r="D42" s="18"/>
      <c r="E42" s="8"/>
      <c r="G42" s="18"/>
      <c r="H42" s="8"/>
      <c r="L42" s="13"/>
      <c r="M42" s="9"/>
      <c r="N42" s="9"/>
      <c r="O42" s="13"/>
      <c r="P42" s="13"/>
      <c r="Q42" s="13"/>
      <c r="R42" s="13"/>
      <c r="S42" s="13"/>
      <c r="T42" s="13"/>
    </row>
    <row r="43" ht="17.25" customHeight="1" spans="1:20">
      <c r="A43" s="22"/>
      <c r="B43" s="8"/>
      <c r="D43" s="18"/>
      <c r="E43" s="8"/>
      <c r="G43" s="18"/>
      <c r="H43" s="8"/>
      <c r="L43" s="13"/>
      <c r="M43" s="9"/>
      <c r="N43" s="9"/>
      <c r="O43" s="13"/>
      <c r="P43" s="13"/>
      <c r="Q43" s="13"/>
      <c r="R43" s="13"/>
      <c r="S43" s="13"/>
      <c r="T43" s="13"/>
    </row>
    <row r="44" ht="17.25" customHeight="1" spans="1:20">
      <c r="A44" s="22"/>
      <c r="B44" s="8"/>
      <c r="D44" s="18"/>
      <c r="E44" s="8"/>
      <c r="G44" s="18"/>
      <c r="H44" s="8"/>
      <c r="L44" s="13"/>
      <c r="M44" s="9"/>
      <c r="N44" s="9"/>
      <c r="O44" s="13"/>
      <c r="P44" s="13"/>
      <c r="Q44" s="13"/>
      <c r="R44" s="13"/>
      <c r="S44" s="13"/>
      <c r="T44" s="13"/>
    </row>
    <row r="45" ht="17.25" customHeight="1" spans="1:20">
      <c r="A45" s="22"/>
      <c r="B45" s="8"/>
      <c r="D45" s="18"/>
      <c r="E45" s="8"/>
      <c r="G45" s="18"/>
      <c r="H45" s="8"/>
      <c r="L45" s="13"/>
      <c r="M45" s="9"/>
      <c r="N45" s="9"/>
      <c r="O45" s="13"/>
      <c r="P45" s="13"/>
      <c r="Q45" s="13"/>
      <c r="R45" s="13"/>
      <c r="S45" s="13"/>
      <c r="T45" s="13"/>
    </row>
    <row r="46" ht="17.25" customHeight="1" spans="1:20">
      <c r="A46" s="22"/>
      <c r="B46" s="8"/>
      <c r="D46" s="18"/>
      <c r="E46" s="8"/>
      <c r="G46" s="18"/>
      <c r="H46" s="8"/>
      <c r="L46" s="13"/>
      <c r="M46" s="9"/>
      <c r="N46" s="9"/>
      <c r="O46" s="13"/>
      <c r="P46" s="13"/>
      <c r="Q46" s="13"/>
      <c r="R46" s="13"/>
      <c r="S46" s="13"/>
      <c r="T46" s="13"/>
    </row>
    <row r="47" ht="17.25" customHeight="1" spans="1:20">
      <c r="A47" s="22"/>
      <c r="B47" s="8"/>
      <c r="D47" s="18"/>
      <c r="E47" s="8"/>
      <c r="G47" s="18"/>
      <c r="H47" s="8"/>
      <c r="L47" s="13"/>
      <c r="M47" s="9"/>
      <c r="N47" s="9"/>
      <c r="O47" s="13"/>
      <c r="P47" s="13"/>
      <c r="Q47" s="13"/>
      <c r="R47" s="13"/>
      <c r="S47" s="13"/>
      <c r="T47" s="13"/>
    </row>
    <row r="48" ht="17.25" customHeight="1" spans="1:20">
      <c r="A48" s="22"/>
      <c r="B48" s="8"/>
      <c r="D48" s="18"/>
      <c r="E48" s="8"/>
      <c r="G48" s="18"/>
      <c r="H48" s="8"/>
      <c r="L48" s="13"/>
      <c r="M48" s="9"/>
      <c r="N48" s="9"/>
      <c r="O48" s="13"/>
      <c r="P48" s="13"/>
      <c r="Q48" s="13"/>
      <c r="R48" s="13"/>
      <c r="S48" s="13"/>
      <c r="T48" s="13"/>
    </row>
    <row r="49" ht="17.25" customHeight="1" spans="1:20">
      <c r="A49" s="22"/>
      <c r="B49" s="8"/>
      <c r="D49" s="18"/>
      <c r="E49" s="8"/>
      <c r="G49" s="18"/>
      <c r="H49" s="8"/>
      <c r="L49" s="13"/>
      <c r="M49" s="9"/>
      <c r="N49" s="9"/>
      <c r="O49" s="13"/>
      <c r="P49" s="13"/>
      <c r="Q49" s="13"/>
      <c r="R49" s="13"/>
      <c r="S49" s="13"/>
      <c r="T49" s="13"/>
    </row>
    <row r="50" ht="17.25" customHeight="1" spans="1:20">
      <c r="A50" s="22"/>
      <c r="B50" s="8"/>
      <c r="D50" s="18"/>
      <c r="E50" s="8"/>
      <c r="G50" s="18"/>
      <c r="H50" s="8"/>
      <c r="L50" s="13"/>
      <c r="M50" s="9"/>
      <c r="N50" s="9"/>
      <c r="O50" s="13"/>
      <c r="P50" s="13"/>
      <c r="Q50" s="13"/>
      <c r="R50" s="13"/>
      <c r="S50" s="13"/>
      <c r="T50" s="13"/>
    </row>
    <row r="51" ht="17.25" customHeight="1" spans="1:20">
      <c r="A51" s="22"/>
      <c r="B51" s="8"/>
      <c r="D51" s="18"/>
      <c r="E51" s="8"/>
      <c r="G51" s="18"/>
      <c r="H51" s="8"/>
      <c r="L51" s="13"/>
      <c r="M51" s="9"/>
      <c r="N51" s="9"/>
      <c r="O51" s="13"/>
      <c r="P51" s="13"/>
      <c r="Q51" s="13"/>
      <c r="R51" s="13"/>
      <c r="S51" s="13"/>
      <c r="T51" s="13"/>
    </row>
    <row r="52" ht="17.25" customHeight="1" spans="1:20">
      <c r="A52" s="22"/>
      <c r="B52" s="8"/>
      <c r="D52" s="18"/>
      <c r="E52" s="8"/>
      <c r="G52" s="18"/>
      <c r="H52" s="8"/>
      <c r="L52" s="13"/>
      <c r="M52" s="9"/>
      <c r="N52" s="9"/>
      <c r="O52" s="13"/>
      <c r="P52" s="13"/>
      <c r="Q52" s="13"/>
      <c r="R52" s="13"/>
      <c r="S52" s="13"/>
      <c r="T52" s="13"/>
    </row>
    <row r="53" ht="17.25" customHeight="1" spans="1:20">
      <c r="A53" s="9"/>
      <c r="B53" s="9"/>
      <c r="D53" s="8"/>
      <c r="E53" s="8"/>
      <c r="G53" s="18"/>
      <c r="H53" s="8"/>
      <c r="L53" s="13"/>
      <c r="M53" s="9"/>
      <c r="N53" s="9"/>
      <c r="O53" s="13"/>
      <c r="P53" s="13"/>
      <c r="Q53" s="13"/>
      <c r="R53" s="13"/>
      <c r="S53" s="13"/>
      <c r="T53" s="13"/>
    </row>
    <row r="54" ht="17.25" customHeight="1" spans="1:20">
      <c r="A54" s="9"/>
      <c r="B54" s="9"/>
      <c r="D54" s="8"/>
      <c r="E54" s="8"/>
      <c r="G54" s="9"/>
      <c r="H54" s="9"/>
      <c r="L54" s="13"/>
      <c r="M54" s="9"/>
      <c r="N54" s="9"/>
      <c r="O54" s="13"/>
      <c r="P54" s="13"/>
      <c r="Q54" s="13"/>
      <c r="R54" s="13"/>
      <c r="S54" s="13"/>
      <c r="T54" s="13"/>
    </row>
    <row r="55" ht="17.25" customHeight="1" spans="1:20">
      <c r="A55" s="9"/>
      <c r="B55" s="9"/>
      <c r="D55" s="8"/>
      <c r="E55" s="8"/>
      <c r="G55" s="9"/>
      <c r="H55" s="9"/>
      <c r="L55" s="13"/>
      <c r="M55" s="9"/>
      <c r="N55" s="9"/>
      <c r="O55" s="13"/>
      <c r="P55" s="13"/>
      <c r="Q55" s="13"/>
      <c r="R55" s="13"/>
      <c r="S55" s="13"/>
      <c r="T55" s="13"/>
    </row>
  </sheetData>
  <mergeCells count="4">
    <mergeCell ref="A1:B1"/>
    <mergeCell ref="D1:E1"/>
    <mergeCell ref="G1:H1"/>
    <mergeCell ref="K1:L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T55"/>
  <sheetViews>
    <sheetView workbookViewId="0">
      <selection activeCell="A1" sqref="A1:L1"/>
    </sheetView>
  </sheetViews>
  <sheetFormatPr defaultColWidth="8.68148148148148" defaultRowHeight="15" customHeight="1"/>
  <cols>
    <col min="1" max="2" width="12.4296296296296" style="11" customWidth="1"/>
    <col min="3" max="12" width="8.86666666666667" style="11" customWidth="1"/>
    <col min="13" max="13" width="12.4296296296296" style="1" customWidth="1"/>
    <col min="14" max="15" width="12.4296296296296" style="3" customWidth="1"/>
    <col min="16" max="25" width="8.86666666666667" style="3" customWidth="1"/>
    <col min="26" max="26" width="12.4296296296296" style="1" customWidth="1"/>
    <col min="27" max="28" width="12.4296296296296" style="11" customWidth="1"/>
    <col min="29" max="38" width="8.86666666666667" style="11" customWidth="1"/>
    <col min="39" max="39" width="12.4296296296296" style="1" customWidth="1"/>
    <col min="40" max="46" width="8.86666666666667" style="1" customWidth="1"/>
  </cols>
  <sheetData>
    <row r="1" ht="17.25" customHeight="1" spans="1:46">
      <c r="A1" s="16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N1" s="16" t="s">
        <v>15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AA1" s="16" t="s">
        <v>3</v>
      </c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N1" s="19" t="s">
        <v>17</v>
      </c>
      <c r="AO1" s="19" t="s">
        <v>18</v>
      </c>
      <c r="AP1" s="19" t="s">
        <v>19</v>
      </c>
      <c r="AQ1" s="19" t="s">
        <v>20</v>
      </c>
      <c r="AR1" s="12" t="s">
        <v>21</v>
      </c>
      <c r="AS1" s="12" t="s">
        <v>22</v>
      </c>
      <c r="AT1" s="12" t="s">
        <v>23</v>
      </c>
    </row>
    <row r="2" ht="17.25" customHeight="1" spans="1:46">
      <c r="A2" s="17">
        <v>0.000979904</v>
      </c>
      <c r="B2" s="8">
        <v>0.00164989</v>
      </c>
      <c r="C2" s="8">
        <v>42956200000000</v>
      </c>
      <c r="D2" s="8">
        <v>2988760000</v>
      </c>
      <c r="E2" s="8">
        <v>0</v>
      </c>
      <c r="F2" s="8">
        <v>0</v>
      </c>
      <c r="G2" s="8">
        <v>2</v>
      </c>
      <c r="H2" s="8">
        <v>10476700000000</v>
      </c>
      <c r="I2" s="8">
        <v>10608300000000</v>
      </c>
      <c r="J2" s="8">
        <v>10449300000000</v>
      </c>
      <c r="K2" s="8">
        <v>10658100000000</v>
      </c>
      <c r="L2" s="8">
        <v>763760000000</v>
      </c>
      <c r="N2" s="18">
        <v>0.00101728</v>
      </c>
      <c r="O2" s="8">
        <v>0.00172248</v>
      </c>
      <c r="P2" s="8">
        <v>43124700000000</v>
      </c>
      <c r="Q2" s="8">
        <v>7275630000</v>
      </c>
      <c r="R2" s="8">
        <v>0</v>
      </c>
      <c r="S2" s="8">
        <v>0</v>
      </c>
      <c r="T2" s="8">
        <v>2</v>
      </c>
      <c r="U2" s="8">
        <v>10536800000000</v>
      </c>
      <c r="V2" s="8">
        <v>10622500000000</v>
      </c>
      <c r="W2" s="8">
        <v>10334300000000</v>
      </c>
      <c r="X2" s="8">
        <v>10506400000000</v>
      </c>
      <c r="Y2" s="8">
        <v>1124550000000</v>
      </c>
      <c r="AA2" s="8">
        <v>0.000995499</v>
      </c>
      <c r="AB2" s="8">
        <v>0.00171554</v>
      </c>
      <c r="AC2" s="8">
        <v>43690300000000</v>
      </c>
      <c r="AD2" s="8">
        <v>7607240000</v>
      </c>
      <c r="AE2" s="8">
        <v>0</v>
      </c>
      <c r="AF2" s="8">
        <v>0</v>
      </c>
      <c r="AG2" s="8">
        <v>2</v>
      </c>
      <c r="AH2" s="8">
        <v>10333800000000</v>
      </c>
      <c r="AI2" s="8">
        <v>10562900000000</v>
      </c>
      <c r="AJ2" s="8">
        <v>10494000000000</v>
      </c>
      <c r="AK2" s="8">
        <v>10915700000000</v>
      </c>
      <c r="AL2" s="8">
        <v>1383950000000</v>
      </c>
      <c r="AN2" s="8">
        <f t="shared" ref="AN2:AN32" si="0">N2</f>
        <v>0.00101728</v>
      </c>
      <c r="AO2" s="8">
        <f t="shared" ref="AO2:AO32" si="1">AVERAGE(P2,C2,AC2)</f>
        <v>43257066666666.7</v>
      </c>
      <c r="AP2" s="8">
        <f t="shared" ref="AP2:AP32" si="2">MIN(C2,P2,AC2)</f>
        <v>42956200000000</v>
      </c>
      <c r="AQ2" s="8">
        <f t="shared" ref="AQ2:AQ32" si="3">MAX(C2,P2,AC2)</f>
        <v>43690300000000</v>
      </c>
      <c r="AR2" s="8">
        <f t="shared" ref="AR2:AR32" si="4">AVERAGE(L2,Y2,AL2)</f>
        <v>1090753333333.33</v>
      </c>
      <c r="AS2" s="8">
        <f t="shared" ref="AS2:AS32" si="5">MIN(L2,Y2,AL2)</f>
        <v>763760000000</v>
      </c>
      <c r="AT2" s="8">
        <f t="shared" ref="AT2:AT32" si="6">MAX(L2,Y2,AL2)</f>
        <v>1383950000000</v>
      </c>
    </row>
    <row r="3" ht="17.25" customHeight="1" spans="1:46">
      <c r="A3" s="17">
        <v>0.00196847</v>
      </c>
      <c r="B3" s="8">
        <v>0.00269461</v>
      </c>
      <c r="C3" s="8">
        <v>44898500000000</v>
      </c>
      <c r="D3" s="8">
        <v>8606990000</v>
      </c>
      <c r="E3" s="8">
        <v>0</v>
      </c>
      <c r="F3" s="8">
        <v>0</v>
      </c>
      <c r="G3" s="8">
        <v>2</v>
      </c>
      <c r="H3" s="8">
        <v>10848300000000</v>
      </c>
      <c r="I3" s="8">
        <v>10860200000000</v>
      </c>
      <c r="J3" s="8">
        <v>10627900000000</v>
      </c>
      <c r="K3" s="8">
        <v>10860500000000</v>
      </c>
      <c r="L3" s="8">
        <v>1701650000000</v>
      </c>
      <c r="N3" s="18">
        <v>0.00198146</v>
      </c>
      <c r="O3" s="8">
        <v>0.00271428</v>
      </c>
      <c r="P3" s="8">
        <v>44878200000000</v>
      </c>
      <c r="Q3" s="8">
        <v>5813890000</v>
      </c>
      <c r="R3" s="8">
        <v>0</v>
      </c>
      <c r="S3" s="8">
        <v>0</v>
      </c>
      <c r="T3" s="8">
        <v>2</v>
      </c>
      <c r="U3" s="8">
        <v>10635800000000</v>
      </c>
      <c r="V3" s="8">
        <v>10871500000000</v>
      </c>
      <c r="W3" s="8">
        <v>10869900000000</v>
      </c>
      <c r="X3" s="8">
        <v>11015200000000</v>
      </c>
      <c r="Y3" s="8">
        <v>1485860000000</v>
      </c>
      <c r="AA3" s="8">
        <v>0.00199454</v>
      </c>
      <c r="AB3" s="8">
        <v>0.00271133</v>
      </c>
      <c r="AC3" s="8">
        <v>45080500000000</v>
      </c>
      <c r="AD3" s="8">
        <v>9214290000</v>
      </c>
      <c r="AE3" s="8">
        <v>0</v>
      </c>
      <c r="AF3" s="8">
        <v>0</v>
      </c>
      <c r="AG3" s="8">
        <v>2</v>
      </c>
      <c r="AH3" s="8">
        <v>10834000000000</v>
      </c>
      <c r="AI3" s="8">
        <v>10768500000000</v>
      </c>
      <c r="AJ3" s="8">
        <v>10635100000000</v>
      </c>
      <c r="AK3" s="8">
        <v>11177200000000</v>
      </c>
      <c r="AL3" s="8">
        <v>1665460000000</v>
      </c>
      <c r="AN3" s="8">
        <f t="shared" si="0"/>
        <v>0.00198146</v>
      </c>
      <c r="AO3" s="8">
        <f t="shared" si="1"/>
        <v>44952400000000</v>
      </c>
      <c r="AP3" s="8">
        <f t="shared" si="2"/>
        <v>44878200000000</v>
      </c>
      <c r="AQ3" s="8">
        <f t="shared" si="3"/>
        <v>45080500000000</v>
      </c>
      <c r="AR3" s="8">
        <f t="shared" si="4"/>
        <v>1617656666666.67</v>
      </c>
      <c r="AS3" s="8">
        <f t="shared" si="5"/>
        <v>1485860000000</v>
      </c>
      <c r="AT3" s="8">
        <f t="shared" si="6"/>
        <v>1701650000000</v>
      </c>
    </row>
    <row r="4" ht="17.25" customHeight="1" spans="1:46">
      <c r="A4" s="17">
        <v>0.0030397</v>
      </c>
      <c r="B4" s="8">
        <v>0.00374461</v>
      </c>
      <c r="C4" s="8">
        <v>46827900000000</v>
      </c>
      <c r="D4" s="8">
        <v>11341500000</v>
      </c>
      <c r="E4" s="8">
        <v>0</v>
      </c>
      <c r="F4" s="8">
        <v>0</v>
      </c>
      <c r="G4" s="8">
        <v>2</v>
      </c>
      <c r="H4" s="8">
        <v>10819900000000</v>
      </c>
      <c r="I4" s="8">
        <v>10996000000000</v>
      </c>
      <c r="J4" s="8">
        <v>10888900000000</v>
      </c>
      <c r="K4" s="8">
        <v>11765300000000</v>
      </c>
      <c r="L4" s="8">
        <v>2357800000000</v>
      </c>
      <c r="N4" s="18">
        <v>0.00301624</v>
      </c>
      <c r="O4" s="8">
        <v>0.00376962</v>
      </c>
      <c r="P4" s="8">
        <v>48489100000000</v>
      </c>
      <c r="Q4" s="8">
        <v>18197700000</v>
      </c>
      <c r="R4" s="8">
        <v>0</v>
      </c>
      <c r="S4" s="8">
        <v>0</v>
      </c>
      <c r="T4" s="8">
        <v>2</v>
      </c>
      <c r="U4" s="8">
        <v>11000400000000</v>
      </c>
      <c r="V4" s="8">
        <v>11129300000000</v>
      </c>
      <c r="W4" s="8">
        <v>11349300000000</v>
      </c>
      <c r="X4" s="8">
        <v>12362000000000</v>
      </c>
      <c r="Y4" s="8">
        <v>2648180000000</v>
      </c>
      <c r="AA4" s="8">
        <v>0.00302321</v>
      </c>
      <c r="AB4" s="8">
        <v>0.00375822</v>
      </c>
      <c r="AC4" s="8">
        <v>45679000000000</v>
      </c>
      <c r="AD4" s="8">
        <v>11935300000</v>
      </c>
      <c r="AE4" s="8">
        <v>0</v>
      </c>
      <c r="AF4" s="8">
        <v>0</v>
      </c>
      <c r="AG4" s="8">
        <v>2</v>
      </c>
      <c r="AH4" s="8">
        <v>10751100000000</v>
      </c>
      <c r="AI4" s="8">
        <v>11034200000000</v>
      </c>
      <c r="AJ4" s="8">
        <v>10927000000000</v>
      </c>
      <c r="AK4" s="8">
        <v>11037000000000</v>
      </c>
      <c r="AL4" s="8">
        <v>1929750000000</v>
      </c>
      <c r="AN4" s="8">
        <f t="shared" si="0"/>
        <v>0.00301624</v>
      </c>
      <c r="AO4" s="8">
        <f t="shared" si="1"/>
        <v>46998666666666.7</v>
      </c>
      <c r="AP4" s="8">
        <f t="shared" si="2"/>
        <v>45679000000000</v>
      </c>
      <c r="AQ4" s="8">
        <f t="shared" si="3"/>
        <v>48489100000000</v>
      </c>
      <c r="AR4" s="8">
        <f t="shared" si="4"/>
        <v>2311910000000</v>
      </c>
      <c r="AS4" s="8">
        <f t="shared" si="5"/>
        <v>1929750000000</v>
      </c>
      <c r="AT4" s="8">
        <f t="shared" si="6"/>
        <v>2648180000000</v>
      </c>
    </row>
    <row r="5" ht="17.25" customHeight="1" spans="1:46">
      <c r="A5" s="17">
        <v>0.00401209</v>
      </c>
      <c r="B5" s="8">
        <v>0.00479352</v>
      </c>
      <c r="C5" s="8">
        <v>48137500000000</v>
      </c>
      <c r="D5" s="8">
        <v>16983500000</v>
      </c>
      <c r="E5" s="8">
        <v>0</v>
      </c>
      <c r="F5" s="8">
        <v>0</v>
      </c>
      <c r="G5" s="8">
        <v>2</v>
      </c>
      <c r="H5" s="8">
        <v>11040600000000</v>
      </c>
      <c r="I5" s="8">
        <v>11340200000000</v>
      </c>
      <c r="J5" s="8">
        <v>10784800000000</v>
      </c>
      <c r="K5" s="8">
        <v>11903300000000</v>
      </c>
      <c r="L5" s="8">
        <v>3068430000000</v>
      </c>
      <c r="N5" s="18">
        <v>0.00402841</v>
      </c>
      <c r="O5" s="8">
        <v>0.00477916</v>
      </c>
      <c r="P5" s="8">
        <v>48818400000000</v>
      </c>
      <c r="Q5" s="8">
        <v>17668600000</v>
      </c>
      <c r="R5" s="8">
        <v>0</v>
      </c>
      <c r="S5" s="8">
        <v>0</v>
      </c>
      <c r="T5" s="8">
        <v>2</v>
      </c>
      <c r="U5" s="8">
        <v>11017500000000</v>
      </c>
      <c r="V5" s="8">
        <v>10860600000000</v>
      </c>
      <c r="W5" s="8">
        <v>11821000000000</v>
      </c>
      <c r="X5" s="8">
        <v>12224200000000</v>
      </c>
      <c r="Y5" s="8">
        <v>2895200000000</v>
      </c>
      <c r="AA5" s="8">
        <v>0.00398153</v>
      </c>
      <c r="AB5" s="8">
        <v>0.00474194</v>
      </c>
      <c r="AC5" s="8">
        <v>47240700000000</v>
      </c>
      <c r="AD5" s="8">
        <v>12771200000</v>
      </c>
      <c r="AE5" s="8">
        <v>0</v>
      </c>
      <c r="AF5" s="8">
        <v>0</v>
      </c>
      <c r="AG5" s="8">
        <v>2</v>
      </c>
      <c r="AH5" s="8">
        <v>11094800000000</v>
      </c>
      <c r="AI5" s="8">
        <v>11513000000000</v>
      </c>
      <c r="AJ5" s="8">
        <v>10960400000000</v>
      </c>
      <c r="AK5" s="8">
        <v>11139100000000</v>
      </c>
      <c r="AL5" s="8">
        <v>2533490000000</v>
      </c>
      <c r="AN5" s="8">
        <f t="shared" si="0"/>
        <v>0.00402841</v>
      </c>
      <c r="AO5" s="8">
        <f t="shared" si="1"/>
        <v>48065533333333.3</v>
      </c>
      <c r="AP5" s="8">
        <f t="shared" si="2"/>
        <v>47240700000000</v>
      </c>
      <c r="AQ5" s="8">
        <f t="shared" si="3"/>
        <v>48818400000000</v>
      </c>
      <c r="AR5" s="8">
        <f t="shared" si="4"/>
        <v>2832373333333.33</v>
      </c>
      <c r="AS5" s="8">
        <f t="shared" si="5"/>
        <v>2533490000000</v>
      </c>
      <c r="AT5" s="8">
        <f t="shared" si="6"/>
        <v>3068430000000</v>
      </c>
    </row>
    <row r="6" ht="17.25" customHeight="1" spans="1:46">
      <c r="A6" s="17">
        <v>0.00503251</v>
      </c>
      <c r="B6" s="8">
        <v>0.00579844</v>
      </c>
      <c r="C6" s="8">
        <v>49527400000000</v>
      </c>
      <c r="D6" s="8">
        <v>13382500000</v>
      </c>
      <c r="E6" s="8">
        <v>0</v>
      </c>
      <c r="F6" s="8">
        <v>0</v>
      </c>
      <c r="G6" s="8">
        <v>2</v>
      </c>
      <c r="H6" s="8">
        <v>10872300000000</v>
      </c>
      <c r="I6" s="8">
        <v>11889900000000</v>
      </c>
      <c r="J6" s="8">
        <v>10899900000000</v>
      </c>
      <c r="K6" s="8">
        <v>12833900000000</v>
      </c>
      <c r="L6" s="8">
        <v>3031320000000</v>
      </c>
      <c r="N6" s="18">
        <v>0.00502035</v>
      </c>
      <c r="O6" s="8">
        <v>0.00581481</v>
      </c>
      <c r="P6" s="8">
        <v>52156500000000</v>
      </c>
      <c r="Q6" s="8">
        <v>17790300000</v>
      </c>
      <c r="R6" s="8">
        <v>0</v>
      </c>
      <c r="S6" s="8">
        <v>0</v>
      </c>
      <c r="T6" s="8">
        <v>2</v>
      </c>
      <c r="U6" s="8">
        <v>11466900000000</v>
      </c>
      <c r="V6" s="8">
        <v>11324100000000</v>
      </c>
      <c r="W6" s="8">
        <v>13066800000000</v>
      </c>
      <c r="X6" s="8">
        <v>12061000000000</v>
      </c>
      <c r="Y6" s="8">
        <v>4237660000000</v>
      </c>
      <c r="AA6" s="8">
        <v>0.00502584</v>
      </c>
      <c r="AB6" s="8">
        <v>0.00577002</v>
      </c>
      <c r="AC6" s="8">
        <v>48752400000000</v>
      </c>
      <c r="AD6" s="8">
        <v>17144000000</v>
      </c>
      <c r="AE6" s="8">
        <v>0</v>
      </c>
      <c r="AF6" s="8">
        <v>0</v>
      </c>
      <c r="AG6" s="8">
        <v>2</v>
      </c>
      <c r="AH6" s="8">
        <v>11934100000000</v>
      </c>
      <c r="AI6" s="8">
        <v>11974100000000</v>
      </c>
      <c r="AJ6" s="8">
        <v>10792300000000</v>
      </c>
      <c r="AK6" s="8">
        <v>11339700000000</v>
      </c>
      <c r="AL6" s="8">
        <v>2712280000000</v>
      </c>
      <c r="AN6" s="8">
        <f t="shared" si="0"/>
        <v>0.00502035</v>
      </c>
      <c r="AO6" s="8">
        <f t="shared" si="1"/>
        <v>50145433333333.3</v>
      </c>
      <c r="AP6" s="8">
        <f t="shared" si="2"/>
        <v>48752400000000</v>
      </c>
      <c r="AQ6" s="8">
        <f t="shared" si="3"/>
        <v>52156500000000</v>
      </c>
      <c r="AR6" s="8">
        <f t="shared" si="4"/>
        <v>3327086666666.67</v>
      </c>
      <c r="AS6" s="8">
        <f t="shared" si="5"/>
        <v>2712280000000</v>
      </c>
      <c r="AT6" s="8">
        <f t="shared" si="6"/>
        <v>4237660000000</v>
      </c>
    </row>
    <row r="7" ht="17.25" customHeight="1" spans="1:46">
      <c r="A7" s="17">
        <v>0.00600189</v>
      </c>
      <c r="B7" s="8">
        <v>0.00676744</v>
      </c>
      <c r="C7" s="8">
        <v>50513600000000</v>
      </c>
      <c r="D7" s="8">
        <v>20472300000</v>
      </c>
      <c r="E7" s="8">
        <v>0</v>
      </c>
      <c r="F7" s="8">
        <v>0</v>
      </c>
      <c r="G7" s="8">
        <v>2</v>
      </c>
      <c r="H7" s="8">
        <v>11391000000000</v>
      </c>
      <c r="I7" s="8">
        <v>12124200000000</v>
      </c>
      <c r="J7" s="8">
        <v>11476000000000</v>
      </c>
      <c r="K7" s="8">
        <v>11653800000000</v>
      </c>
      <c r="L7" s="8">
        <v>3868780000000</v>
      </c>
      <c r="N7" s="18">
        <v>0.00601763</v>
      </c>
      <c r="O7" s="8">
        <v>0.0068109</v>
      </c>
      <c r="P7" s="8">
        <v>52182400000000</v>
      </c>
      <c r="Q7" s="8">
        <v>17412300000</v>
      </c>
      <c r="R7" s="8">
        <v>0</v>
      </c>
      <c r="S7" s="8">
        <v>0</v>
      </c>
      <c r="T7" s="8">
        <v>2</v>
      </c>
      <c r="U7" s="8">
        <v>11418100000000</v>
      </c>
      <c r="V7" s="8">
        <v>10852700000000</v>
      </c>
      <c r="W7" s="8">
        <v>12723300000000</v>
      </c>
      <c r="X7" s="8">
        <v>12314200000000</v>
      </c>
      <c r="Y7" s="8">
        <v>4874130000000</v>
      </c>
      <c r="AA7" s="8">
        <v>0.00600714</v>
      </c>
      <c r="AB7" s="8">
        <v>0.00677485</v>
      </c>
      <c r="AC7" s="8">
        <v>51282800000000</v>
      </c>
      <c r="AD7" s="8">
        <v>21708800000</v>
      </c>
      <c r="AE7" s="8">
        <v>0</v>
      </c>
      <c r="AF7" s="8">
        <v>0</v>
      </c>
      <c r="AG7" s="8">
        <v>2</v>
      </c>
      <c r="AH7" s="8">
        <v>11829200000000</v>
      </c>
      <c r="AI7" s="8">
        <v>12273700000000</v>
      </c>
      <c r="AJ7" s="8">
        <v>11991000000000</v>
      </c>
      <c r="AK7" s="8">
        <v>12007700000000</v>
      </c>
      <c r="AL7" s="8">
        <v>3181210000000</v>
      </c>
      <c r="AN7" s="8">
        <f t="shared" si="0"/>
        <v>0.00601763</v>
      </c>
      <c r="AO7" s="8">
        <f t="shared" si="1"/>
        <v>51326266666666.7</v>
      </c>
      <c r="AP7" s="8">
        <f t="shared" si="2"/>
        <v>50513600000000</v>
      </c>
      <c r="AQ7" s="8">
        <f t="shared" si="3"/>
        <v>52182400000000</v>
      </c>
      <c r="AR7" s="8">
        <f t="shared" si="4"/>
        <v>3974706666666.67</v>
      </c>
      <c r="AS7" s="8">
        <f t="shared" si="5"/>
        <v>3181210000000</v>
      </c>
      <c r="AT7" s="8">
        <f t="shared" si="6"/>
        <v>4874130000000</v>
      </c>
    </row>
    <row r="8" ht="17.25" customHeight="1" spans="1:46">
      <c r="A8" s="17">
        <v>0.00697987</v>
      </c>
      <c r="B8" s="8">
        <v>0.00780286</v>
      </c>
      <c r="C8" s="8">
        <v>51561200000000</v>
      </c>
      <c r="D8" s="8">
        <v>23381000000</v>
      </c>
      <c r="E8" s="8">
        <v>0</v>
      </c>
      <c r="F8" s="8">
        <v>0</v>
      </c>
      <c r="G8" s="8">
        <v>2</v>
      </c>
      <c r="H8" s="8">
        <v>11541600000000</v>
      </c>
      <c r="I8" s="8">
        <v>12351600000000</v>
      </c>
      <c r="J8" s="8">
        <v>11918100000000</v>
      </c>
      <c r="K8" s="8">
        <v>10970200000000</v>
      </c>
      <c r="L8" s="8">
        <v>4779700000000</v>
      </c>
      <c r="N8" s="18">
        <v>0.00699796</v>
      </c>
      <c r="O8" s="8">
        <v>0.00783552</v>
      </c>
      <c r="P8" s="8">
        <v>53626200000000</v>
      </c>
      <c r="Q8" s="8">
        <v>31037700000</v>
      </c>
      <c r="R8" s="8">
        <v>0</v>
      </c>
      <c r="S8" s="8">
        <v>0</v>
      </c>
      <c r="T8" s="8">
        <v>2</v>
      </c>
      <c r="U8" s="8">
        <v>11531700000000</v>
      </c>
      <c r="V8" s="8">
        <v>11638200000000</v>
      </c>
      <c r="W8" s="8">
        <v>12295300000000</v>
      </c>
      <c r="X8" s="8">
        <v>12466500000000</v>
      </c>
      <c r="Y8" s="8">
        <v>5694290000000</v>
      </c>
      <c r="AA8" s="8">
        <v>0.00697276</v>
      </c>
      <c r="AB8" s="8">
        <v>0.00772942</v>
      </c>
      <c r="AC8" s="8">
        <v>49877900000000</v>
      </c>
      <c r="AD8" s="8">
        <v>22473700000</v>
      </c>
      <c r="AE8" s="8">
        <v>0</v>
      </c>
      <c r="AF8" s="8">
        <v>0</v>
      </c>
      <c r="AG8" s="8">
        <v>2</v>
      </c>
      <c r="AH8" s="8">
        <v>11202800000000</v>
      </c>
      <c r="AI8" s="8">
        <v>11993000000000</v>
      </c>
      <c r="AJ8" s="8">
        <v>11853200000000</v>
      </c>
      <c r="AK8" s="8">
        <v>11569700000000</v>
      </c>
      <c r="AL8" s="8">
        <v>3259140000000</v>
      </c>
      <c r="AN8" s="8">
        <f t="shared" si="0"/>
        <v>0.00699796</v>
      </c>
      <c r="AO8" s="8">
        <f t="shared" si="1"/>
        <v>51688433333333.3</v>
      </c>
      <c r="AP8" s="8">
        <f t="shared" si="2"/>
        <v>49877900000000</v>
      </c>
      <c r="AQ8" s="8">
        <f t="shared" si="3"/>
        <v>53626200000000</v>
      </c>
      <c r="AR8" s="8">
        <f t="shared" si="4"/>
        <v>4577710000000</v>
      </c>
      <c r="AS8" s="8">
        <f t="shared" si="5"/>
        <v>3259140000000</v>
      </c>
      <c r="AT8" s="8">
        <f t="shared" si="6"/>
        <v>5694290000000</v>
      </c>
    </row>
    <row r="9" ht="17.25" customHeight="1" spans="1:46">
      <c r="A9" s="17">
        <v>0.00801645</v>
      </c>
      <c r="B9" s="8">
        <v>0.00880923</v>
      </c>
      <c r="C9" s="8">
        <v>54463300000000</v>
      </c>
      <c r="D9" s="8">
        <v>37939700000</v>
      </c>
      <c r="E9" s="8">
        <v>0</v>
      </c>
      <c r="F9" s="8">
        <v>0</v>
      </c>
      <c r="G9" s="8">
        <v>2</v>
      </c>
      <c r="H9" s="8">
        <v>10499600000000</v>
      </c>
      <c r="I9" s="8">
        <v>12826800000000</v>
      </c>
      <c r="J9" s="8">
        <v>12877200000000</v>
      </c>
      <c r="K9" s="8">
        <v>12346500000000</v>
      </c>
      <c r="L9" s="8">
        <v>5913330000000</v>
      </c>
      <c r="N9" s="18">
        <v>0.00796272</v>
      </c>
      <c r="O9" s="8">
        <v>0.00880306</v>
      </c>
      <c r="P9" s="8">
        <v>54219100000000</v>
      </c>
      <c r="Q9" s="8">
        <v>36617800000</v>
      </c>
      <c r="R9" s="8">
        <v>0</v>
      </c>
      <c r="S9" s="8">
        <v>0</v>
      </c>
      <c r="T9" s="8">
        <v>2</v>
      </c>
      <c r="U9" s="8">
        <v>11720900000000</v>
      </c>
      <c r="V9" s="8">
        <v>12526100000000</v>
      </c>
      <c r="W9" s="8">
        <v>11761400000000</v>
      </c>
      <c r="X9" s="8">
        <v>11348700000000</v>
      </c>
      <c r="Y9" s="8">
        <v>6861930000000</v>
      </c>
      <c r="AA9" s="8">
        <v>0.00803637</v>
      </c>
      <c r="AB9" s="8">
        <v>0.00882128</v>
      </c>
      <c r="AC9" s="8">
        <v>49211000000000</v>
      </c>
      <c r="AD9" s="8">
        <v>21797100000</v>
      </c>
      <c r="AE9" s="8">
        <v>0</v>
      </c>
      <c r="AF9" s="8">
        <v>0</v>
      </c>
      <c r="AG9" s="8">
        <v>2</v>
      </c>
      <c r="AH9" s="8">
        <v>10624300000000</v>
      </c>
      <c r="AI9" s="8">
        <v>11670400000000</v>
      </c>
      <c r="AJ9" s="8">
        <v>11478300000000</v>
      </c>
      <c r="AK9" s="8">
        <v>11667900000000</v>
      </c>
      <c r="AL9" s="8">
        <v>3770120000000</v>
      </c>
      <c r="AN9" s="8">
        <f t="shared" si="0"/>
        <v>0.00796272</v>
      </c>
      <c r="AO9" s="8">
        <f t="shared" si="1"/>
        <v>52631133333333.3</v>
      </c>
      <c r="AP9" s="8">
        <f t="shared" si="2"/>
        <v>49211000000000</v>
      </c>
      <c r="AQ9" s="8">
        <f t="shared" si="3"/>
        <v>54463300000000</v>
      </c>
      <c r="AR9" s="8">
        <f t="shared" si="4"/>
        <v>5515126666666.67</v>
      </c>
      <c r="AS9" s="8">
        <f t="shared" si="5"/>
        <v>3770120000000</v>
      </c>
      <c r="AT9" s="8">
        <f t="shared" si="6"/>
        <v>6861930000000</v>
      </c>
    </row>
    <row r="10" ht="17.25" customHeight="1" spans="1:46">
      <c r="A10" s="17">
        <v>0.00899478</v>
      </c>
      <c r="B10" s="8">
        <v>0.00984131</v>
      </c>
      <c r="C10" s="8">
        <v>55272500000000</v>
      </c>
      <c r="D10" s="8">
        <v>30040800000</v>
      </c>
      <c r="E10" s="8">
        <v>0</v>
      </c>
      <c r="F10" s="8">
        <v>0</v>
      </c>
      <c r="G10" s="8">
        <v>2</v>
      </c>
      <c r="H10" s="8">
        <v>11145000000000</v>
      </c>
      <c r="I10" s="8">
        <v>12362400000000</v>
      </c>
      <c r="J10" s="8">
        <v>11902200000000</v>
      </c>
      <c r="K10" s="8">
        <v>13406300000000</v>
      </c>
      <c r="L10" s="8">
        <v>6456660000000</v>
      </c>
      <c r="N10" s="18">
        <v>0.0090644</v>
      </c>
      <c r="O10" s="8">
        <v>0.00989872</v>
      </c>
      <c r="P10" s="8">
        <v>55072000000000</v>
      </c>
      <c r="Q10" s="8">
        <v>21976100000</v>
      </c>
      <c r="R10" s="8">
        <v>0</v>
      </c>
      <c r="S10" s="8">
        <v>0</v>
      </c>
      <c r="T10" s="8">
        <v>2</v>
      </c>
      <c r="U10" s="8">
        <v>10994000000000</v>
      </c>
      <c r="V10" s="8">
        <v>12902200000000</v>
      </c>
      <c r="W10" s="8">
        <v>11359000000000</v>
      </c>
      <c r="X10" s="8">
        <v>13202000000000</v>
      </c>
      <c r="Y10" s="8">
        <v>6614790000000</v>
      </c>
      <c r="AA10" s="8">
        <v>0.00903575</v>
      </c>
      <c r="AB10" s="8">
        <v>0.00983207</v>
      </c>
      <c r="AC10" s="8">
        <v>52175100000000</v>
      </c>
      <c r="AD10" s="8">
        <v>22517100000</v>
      </c>
      <c r="AE10" s="8">
        <v>0</v>
      </c>
      <c r="AF10" s="8">
        <v>0</v>
      </c>
      <c r="AG10" s="8">
        <v>2</v>
      </c>
      <c r="AH10" s="8">
        <v>11742100000000</v>
      </c>
      <c r="AI10" s="8">
        <v>12232900000000</v>
      </c>
      <c r="AJ10" s="8">
        <v>11544400000000</v>
      </c>
      <c r="AK10" s="8">
        <v>12132800000000</v>
      </c>
      <c r="AL10" s="8">
        <v>4522880000000</v>
      </c>
      <c r="AN10" s="8">
        <f t="shared" si="0"/>
        <v>0.0090644</v>
      </c>
      <c r="AO10" s="8">
        <f t="shared" si="1"/>
        <v>54173200000000</v>
      </c>
      <c r="AP10" s="8">
        <f t="shared" si="2"/>
        <v>52175100000000</v>
      </c>
      <c r="AQ10" s="8">
        <f t="shared" si="3"/>
        <v>55272500000000</v>
      </c>
      <c r="AR10" s="8">
        <f t="shared" si="4"/>
        <v>5864776666666.67</v>
      </c>
      <c r="AS10" s="8">
        <f t="shared" si="5"/>
        <v>4522880000000</v>
      </c>
      <c r="AT10" s="8">
        <f t="shared" si="6"/>
        <v>6614790000000</v>
      </c>
    </row>
    <row r="11" ht="17.25" customHeight="1" spans="1:46">
      <c r="A11" s="17">
        <v>0.0100591</v>
      </c>
      <c r="B11" s="8">
        <v>0.0108614</v>
      </c>
      <c r="C11" s="8">
        <v>57509100000000</v>
      </c>
      <c r="D11" s="8">
        <v>26921700000</v>
      </c>
      <c r="E11" s="8">
        <v>0</v>
      </c>
      <c r="F11" s="8">
        <v>0</v>
      </c>
      <c r="G11" s="8">
        <v>2</v>
      </c>
      <c r="H11" s="8">
        <v>11119600000000</v>
      </c>
      <c r="I11" s="8">
        <v>13379600000000</v>
      </c>
      <c r="J11" s="8">
        <v>12082600000000</v>
      </c>
      <c r="K11" s="8">
        <v>14081000000000</v>
      </c>
      <c r="L11" s="8">
        <v>6846350000000</v>
      </c>
      <c r="N11" s="18">
        <v>0.0100301</v>
      </c>
      <c r="O11" s="8">
        <v>0.010858</v>
      </c>
      <c r="P11" s="8">
        <v>55358500000000</v>
      </c>
      <c r="Q11" s="8">
        <v>29085600000</v>
      </c>
      <c r="R11" s="8">
        <v>0</v>
      </c>
      <c r="S11" s="8">
        <v>0</v>
      </c>
      <c r="T11" s="8">
        <v>2</v>
      </c>
      <c r="U11" s="8">
        <v>10754500000000</v>
      </c>
      <c r="V11" s="8">
        <v>13024100000000</v>
      </c>
      <c r="W11" s="8">
        <v>11055700000000</v>
      </c>
      <c r="X11" s="8">
        <v>13358300000000</v>
      </c>
      <c r="Y11" s="8">
        <v>7165310000000</v>
      </c>
      <c r="AA11" s="8">
        <v>0.0100164</v>
      </c>
      <c r="AB11" s="8">
        <v>0.0107931</v>
      </c>
      <c r="AC11" s="8">
        <v>53031800000000</v>
      </c>
      <c r="AD11" s="8">
        <v>24260800000</v>
      </c>
      <c r="AE11" s="8">
        <v>0</v>
      </c>
      <c r="AF11" s="8">
        <v>0</v>
      </c>
      <c r="AG11" s="8">
        <v>2</v>
      </c>
      <c r="AH11" s="8">
        <v>12567600000000</v>
      </c>
      <c r="AI11" s="8">
        <v>11721500000000</v>
      </c>
      <c r="AJ11" s="8">
        <v>12370500000000</v>
      </c>
      <c r="AK11" s="8">
        <v>11900700000000</v>
      </c>
      <c r="AL11" s="8">
        <v>4471520000000</v>
      </c>
      <c r="AN11" s="8">
        <f t="shared" si="0"/>
        <v>0.0100301</v>
      </c>
      <c r="AO11" s="8">
        <f t="shared" si="1"/>
        <v>55299800000000</v>
      </c>
      <c r="AP11" s="8">
        <f t="shared" si="2"/>
        <v>53031800000000</v>
      </c>
      <c r="AQ11" s="8">
        <f t="shared" si="3"/>
        <v>57509100000000</v>
      </c>
      <c r="AR11" s="8">
        <f t="shared" si="4"/>
        <v>6161060000000</v>
      </c>
      <c r="AS11" s="8">
        <f t="shared" si="5"/>
        <v>4471520000000</v>
      </c>
      <c r="AT11" s="8">
        <f t="shared" si="6"/>
        <v>7165310000000</v>
      </c>
    </row>
    <row r="12" ht="17.25" customHeight="1" spans="1:46">
      <c r="A12" s="17">
        <v>0.0109141</v>
      </c>
      <c r="B12" s="8">
        <v>0.0117432</v>
      </c>
      <c r="C12" s="8">
        <v>58562000000000</v>
      </c>
      <c r="D12" s="8">
        <v>26244200000</v>
      </c>
      <c r="E12" s="8">
        <v>0</v>
      </c>
      <c r="F12" s="8">
        <v>0</v>
      </c>
      <c r="G12" s="8">
        <v>2</v>
      </c>
      <c r="H12" s="8">
        <v>10439100000000</v>
      </c>
      <c r="I12" s="8">
        <v>13494300000000</v>
      </c>
      <c r="J12" s="8">
        <v>12431900000000</v>
      </c>
      <c r="K12" s="8">
        <v>15101300000000</v>
      </c>
      <c r="L12" s="8">
        <v>7095040000000</v>
      </c>
      <c r="N12" s="18">
        <v>0.0110056</v>
      </c>
      <c r="O12" s="8">
        <v>0.0118252</v>
      </c>
      <c r="P12" s="8">
        <v>54636300000000</v>
      </c>
      <c r="Q12" s="8">
        <v>41609300000</v>
      </c>
      <c r="R12" s="8">
        <v>0</v>
      </c>
      <c r="S12" s="8">
        <v>0</v>
      </c>
      <c r="T12" s="8">
        <v>2</v>
      </c>
      <c r="U12" s="8">
        <v>10355800000000</v>
      </c>
      <c r="V12" s="8">
        <v>12631600000000</v>
      </c>
      <c r="W12" s="8">
        <v>11940500000000</v>
      </c>
      <c r="X12" s="8">
        <v>12581100000000</v>
      </c>
      <c r="Y12" s="8">
        <v>7127190000000</v>
      </c>
      <c r="AA12" s="8">
        <v>0.0110178</v>
      </c>
      <c r="AB12" s="8">
        <v>0.0118047</v>
      </c>
      <c r="AC12" s="8">
        <v>54887700000000</v>
      </c>
      <c r="AD12" s="8">
        <v>17997800000</v>
      </c>
      <c r="AE12" s="8">
        <v>0</v>
      </c>
      <c r="AF12" s="8">
        <v>0</v>
      </c>
      <c r="AG12" s="8">
        <v>2</v>
      </c>
      <c r="AH12" s="8">
        <v>12866600000000</v>
      </c>
      <c r="AI12" s="8">
        <v>11095900000000</v>
      </c>
      <c r="AJ12" s="8">
        <v>12899900000000</v>
      </c>
      <c r="AK12" s="8">
        <v>13202000000000</v>
      </c>
      <c r="AL12" s="8">
        <v>4823150000000</v>
      </c>
      <c r="AN12" s="8">
        <f t="shared" si="0"/>
        <v>0.0110056</v>
      </c>
      <c r="AO12" s="8">
        <f t="shared" si="1"/>
        <v>56028666666666.7</v>
      </c>
      <c r="AP12" s="8">
        <f t="shared" si="2"/>
        <v>54636300000000</v>
      </c>
      <c r="AQ12" s="8">
        <f t="shared" si="3"/>
        <v>58562000000000</v>
      </c>
      <c r="AR12" s="8">
        <f t="shared" si="4"/>
        <v>6348460000000</v>
      </c>
      <c r="AS12" s="8">
        <f t="shared" si="5"/>
        <v>4823150000000</v>
      </c>
      <c r="AT12" s="8">
        <f t="shared" si="6"/>
        <v>7127190000000</v>
      </c>
    </row>
    <row r="13" ht="17.25" customHeight="1" spans="1:46">
      <c r="A13" s="17">
        <v>0.0120248</v>
      </c>
      <c r="B13" s="8">
        <v>0.0127958</v>
      </c>
      <c r="C13" s="8">
        <v>56234900000000</v>
      </c>
      <c r="D13" s="8">
        <v>23819700000</v>
      </c>
      <c r="E13" s="8">
        <v>0</v>
      </c>
      <c r="F13" s="8">
        <v>0</v>
      </c>
      <c r="G13" s="8">
        <v>2</v>
      </c>
      <c r="H13" s="8">
        <v>9545860000000</v>
      </c>
      <c r="I13" s="8">
        <v>13219300000000</v>
      </c>
      <c r="J13" s="8">
        <v>12834800000000</v>
      </c>
      <c r="K13" s="8">
        <v>13642300000000</v>
      </c>
      <c r="L13" s="8">
        <v>6992590000000</v>
      </c>
      <c r="N13" s="18">
        <v>0.0119554</v>
      </c>
      <c r="O13" s="8">
        <v>0.012723</v>
      </c>
      <c r="P13" s="8">
        <v>54183100000000</v>
      </c>
      <c r="Q13" s="8">
        <v>35882600000</v>
      </c>
      <c r="R13" s="8">
        <v>0</v>
      </c>
      <c r="S13" s="8">
        <v>0</v>
      </c>
      <c r="T13" s="8">
        <v>2</v>
      </c>
      <c r="U13" s="8">
        <v>10884600000000</v>
      </c>
      <c r="V13" s="8">
        <v>12466900000000</v>
      </c>
      <c r="W13" s="8">
        <v>11536500000000</v>
      </c>
      <c r="X13" s="8">
        <v>12350900000000</v>
      </c>
      <c r="Y13" s="8">
        <v>6944020000000</v>
      </c>
      <c r="AA13" s="8">
        <v>0.011999</v>
      </c>
      <c r="AB13" s="8">
        <v>0.0127663</v>
      </c>
      <c r="AC13" s="8">
        <v>53905400000000</v>
      </c>
      <c r="AD13" s="8">
        <v>32308700000</v>
      </c>
      <c r="AE13" s="8">
        <v>0</v>
      </c>
      <c r="AF13" s="8">
        <v>0</v>
      </c>
      <c r="AG13" s="8">
        <v>2</v>
      </c>
      <c r="AH13" s="8">
        <v>12953700000000</v>
      </c>
      <c r="AI13" s="8">
        <v>11229500000000</v>
      </c>
      <c r="AJ13" s="8">
        <v>12795500000000</v>
      </c>
      <c r="AK13" s="8">
        <v>11787300000000</v>
      </c>
      <c r="AL13" s="8">
        <v>5139410000000</v>
      </c>
      <c r="AN13" s="8">
        <f t="shared" si="0"/>
        <v>0.0119554</v>
      </c>
      <c r="AO13" s="8">
        <f t="shared" si="1"/>
        <v>54774466666666.7</v>
      </c>
      <c r="AP13" s="8">
        <f t="shared" si="2"/>
        <v>53905400000000</v>
      </c>
      <c r="AQ13" s="8">
        <f t="shared" si="3"/>
        <v>56234900000000</v>
      </c>
      <c r="AR13" s="8">
        <f t="shared" si="4"/>
        <v>6358673333333.33</v>
      </c>
      <c r="AS13" s="8">
        <f t="shared" si="5"/>
        <v>5139410000000</v>
      </c>
      <c r="AT13" s="8">
        <f t="shared" si="6"/>
        <v>6992590000000</v>
      </c>
    </row>
    <row r="14" ht="17.25" customHeight="1" spans="1:46">
      <c r="A14" s="17">
        <v>0.0129734</v>
      </c>
      <c r="B14" s="8">
        <v>0.0137926</v>
      </c>
      <c r="C14" s="8">
        <v>55856300000000</v>
      </c>
      <c r="D14" s="8">
        <v>22458800000</v>
      </c>
      <c r="E14" s="8">
        <v>0</v>
      </c>
      <c r="F14" s="8">
        <v>0</v>
      </c>
      <c r="G14" s="8">
        <v>2</v>
      </c>
      <c r="H14" s="8">
        <v>9402330000000</v>
      </c>
      <c r="I14" s="8">
        <v>12232700000000</v>
      </c>
      <c r="J14" s="8">
        <v>15214600000000</v>
      </c>
      <c r="K14" s="8">
        <v>12175100000000</v>
      </c>
      <c r="L14" s="8">
        <v>6831510000000</v>
      </c>
      <c r="N14" s="18">
        <v>0.0130504</v>
      </c>
      <c r="O14" s="8">
        <v>0.0138436</v>
      </c>
      <c r="P14" s="8">
        <v>55212400000000</v>
      </c>
      <c r="Q14" s="8">
        <v>23604500000</v>
      </c>
      <c r="R14" s="8">
        <v>0</v>
      </c>
      <c r="S14" s="8">
        <v>0</v>
      </c>
      <c r="T14" s="8">
        <v>2</v>
      </c>
      <c r="U14" s="8">
        <v>10802300000000</v>
      </c>
      <c r="V14" s="8">
        <v>14119800000000</v>
      </c>
      <c r="W14" s="8">
        <v>11084400000000</v>
      </c>
      <c r="X14" s="8">
        <v>12206400000000</v>
      </c>
      <c r="Y14" s="8">
        <v>6999370000000</v>
      </c>
      <c r="AA14" s="8">
        <v>0.0129744</v>
      </c>
      <c r="AB14" s="8">
        <v>0.013807</v>
      </c>
      <c r="AC14" s="8">
        <v>52928600000000</v>
      </c>
      <c r="AD14" s="8">
        <v>21873600000</v>
      </c>
      <c r="AE14" s="8">
        <v>0</v>
      </c>
      <c r="AF14" s="8">
        <v>0</v>
      </c>
      <c r="AG14" s="8">
        <v>2</v>
      </c>
      <c r="AH14" s="8">
        <v>12003000000000</v>
      </c>
      <c r="AI14" s="8">
        <v>11106500000000</v>
      </c>
      <c r="AJ14" s="8">
        <v>11966700000000</v>
      </c>
      <c r="AK14" s="8">
        <v>12314200000000</v>
      </c>
      <c r="AL14" s="8">
        <v>5538120000000</v>
      </c>
      <c r="AN14" s="8">
        <f t="shared" si="0"/>
        <v>0.0130504</v>
      </c>
      <c r="AO14" s="8">
        <f t="shared" si="1"/>
        <v>54665766666666.7</v>
      </c>
      <c r="AP14" s="8">
        <f t="shared" si="2"/>
        <v>52928600000000</v>
      </c>
      <c r="AQ14" s="8">
        <f t="shared" si="3"/>
        <v>55856300000000</v>
      </c>
      <c r="AR14" s="8">
        <f t="shared" si="4"/>
        <v>6456333333333.33</v>
      </c>
      <c r="AS14" s="8">
        <f t="shared" si="5"/>
        <v>5538120000000</v>
      </c>
      <c r="AT14" s="8">
        <f t="shared" si="6"/>
        <v>6999370000000</v>
      </c>
    </row>
    <row r="15" ht="17.25" customHeight="1" spans="1:46">
      <c r="A15" s="17">
        <v>0.0140469</v>
      </c>
      <c r="B15" s="8">
        <v>0.0147979</v>
      </c>
      <c r="C15" s="8">
        <v>56561400000000</v>
      </c>
      <c r="D15" s="8">
        <v>21531200000</v>
      </c>
      <c r="E15" s="8">
        <v>0</v>
      </c>
      <c r="F15" s="8">
        <v>0</v>
      </c>
      <c r="G15" s="8">
        <v>2</v>
      </c>
      <c r="H15" s="8">
        <v>9964200000000</v>
      </c>
      <c r="I15" s="8">
        <v>12184100000000</v>
      </c>
      <c r="J15" s="8">
        <v>15775100000000</v>
      </c>
      <c r="K15" s="8">
        <v>11450200000000</v>
      </c>
      <c r="L15" s="8">
        <v>7187860000000</v>
      </c>
      <c r="N15" s="18">
        <v>0.0140123</v>
      </c>
      <c r="O15" s="8">
        <v>0.0148616</v>
      </c>
      <c r="P15" s="8">
        <v>57351600000000</v>
      </c>
      <c r="Q15" s="8">
        <v>20702600000</v>
      </c>
      <c r="R15" s="8">
        <v>0</v>
      </c>
      <c r="S15" s="8">
        <v>0</v>
      </c>
      <c r="T15" s="8">
        <v>2</v>
      </c>
      <c r="U15" s="8">
        <v>11821300000000</v>
      </c>
      <c r="V15" s="8">
        <v>13917500000000</v>
      </c>
      <c r="W15" s="8">
        <v>11676700000000</v>
      </c>
      <c r="X15" s="8">
        <v>12946800000000</v>
      </c>
      <c r="Y15" s="8">
        <v>6989200000000</v>
      </c>
      <c r="AA15" s="8">
        <v>0.0140462</v>
      </c>
      <c r="AB15" s="8">
        <v>0.0148258</v>
      </c>
      <c r="AC15" s="8">
        <v>55813400000000</v>
      </c>
      <c r="AD15" s="8">
        <v>41009000000</v>
      </c>
      <c r="AE15" s="8">
        <v>0</v>
      </c>
      <c r="AF15" s="8">
        <v>0</v>
      </c>
      <c r="AG15" s="8">
        <v>2</v>
      </c>
      <c r="AH15" s="8">
        <v>12968200000000</v>
      </c>
      <c r="AI15" s="8">
        <v>11835800000000</v>
      </c>
      <c r="AJ15" s="8">
        <v>12232800000000</v>
      </c>
      <c r="AK15" s="8">
        <v>12687400000000</v>
      </c>
      <c r="AL15" s="8">
        <v>6089230000000</v>
      </c>
      <c r="AN15" s="8">
        <f t="shared" si="0"/>
        <v>0.0140123</v>
      </c>
      <c r="AO15" s="8">
        <f t="shared" si="1"/>
        <v>56575466666666.7</v>
      </c>
      <c r="AP15" s="8">
        <f t="shared" si="2"/>
        <v>55813400000000</v>
      </c>
      <c r="AQ15" s="8">
        <f t="shared" si="3"/>
        <v>57351600000000</v>
      </c>
      <c r="AR15" s="8">
        <f t="shared" si="4"/>
        <v>6755430000000</v>
      </c>
      <c r="AS15" s="8">
        <f t="shared" si="5"/>
        <v>6089230000000</v>
      </c>
      <c r="AT15" s="8">
        <f t="shared" si="6"/>
        <v>7187860000000</v>
      </c>
    </row>
    <row r="16" ht="17.25" customHeight="1" spans="1:46">
      <c r="A16" s="17">
        <v>0.0149845</v>
      </c>
      <c r="B16" s="8">
        <v>0.0157922</v>
      </c>
      <c r="C16" s="8">
        <v>54854900000000</v>
      </c>
      <c r="D16" s="8">
        <v>35471800000</v>
      </c>
      <c r="E16" s="8">
        <v>0</v>
      </c>
      <c r="F16" s="8">
        <v>0</v>
      </c>
      <c r="G16" s="8">
        <v>2</v>
      </c>
      <c r="H16" s="8">
        <v>10376000000000</v>
      </c>
      <c r="I16" s="8">
        <v>11569000000000</v>
      </c>
      <c r="J16" s="8">
        <v>14421900000000</v>
      </c>
      <c r="K16" s="8">
        <v>11425600000000</v>
      </c>
      <c r="L16" s="8">
        <v>7062470000000</v>
      </c>
      <c r="N16" s="18">
        <v>0.0150372</v>
      </c>
      <c r="O16" s="8">
        <v>0.015861</v>
      </c>
      <c r="P16" s="8">
        <v>58720200000000</v>
      </c>
      <c r="Q16" s="8">
        <v>35044900000</v>
      </c>
      <c r="R16" s="8">
        <v>0</v>
      </c>
      <c r="S16" s="8">
        <v>0</v>
      </c>
      <c r="T16" s="8">
        <v>2</v>
      </c>
      <c r="U16" s="8">
        <v>13639000000000</v>
      </c>
      <c r="V16" s="8">
        <v>13208200000000</v>
      </c>
      <c r="W16" s="8">
        <v>11721000000000</v>
      </c>
      <c r="X16" s="8">
        <v>12979900000000</v>
      </c>
      <c r="Y16" s="8">
        <v>7172100000000</v>
      </c>
      <c r="AA16" s="8">
        <v>0.0150106</v>
      </c>
      <c r="AB16" s="8">
        <v>0.0158306</v>
      </c>
      <c r="AC16" s="8">
        <v>56430600000000</v>
      </c>
      <c r="AD16" s="8">
        <v>25545300000</v>
      </c>
      <c r="AE16" s="8">
        <v>0</v>
      </c>
      <c r="AF16" s="8">
        <v>0</v>
      </c>
      <c r="AG16" s="8">
        <v>2</v>
      </c>
      <c r="AH16" s="8">
        <v>12555500000000</v>
      </c>
      <c r="AI16" s="8">
        <v>12102900000000</v>
      </c>
      <c r="AJ16" s="8">
        <v>12238300000000</v>
      </c>
      <c r="AK16" s="8">
        <v>13588400000000</v>
      </c>
      <c r="AL16" s="8">
        <v>5944820000000</v>
      </c>
      <c r="AN16" s="8">
        <f t="shared" si="0"/>
        <v>0.0150372</v>
      </c>
      <c r="AO16" s="8">
        <f t="shared" si="1"/>
        <v>56668566666666.7</v>
      </c>
      <c r="AP16" s="8">
        <f t="shared" si="2"/>
        <v>54854900000000</v>
      </c>
      <c r="AQ16" s="8">
        <f t="shared" si="3"/>
        <v>58720200000000</v>
      </c>
      <c r="AR16" s="8">
        <f t="shared" si="4"/>
        <v>6726463333333.33</v>
      </c>
      <c r="AS16" s="8">
        <f t="shared" si="5"/>
        <v>5944820000000</v>
      </c>
      <c r="AT16" s="8">
        <f t="shared" si="6"/>
        <v>7172100000000</v>
      </c>
    </row>
    <row r="17" ht="17.25" customHeight="1" spans="1:46">
      <c r="A17" s="17">
        <v>0.0160343</v>
      </c>
      <c r="B17" s="8">
        <v>0.0168405</v>
      </c>
      <c r="C17" s="8">
        <v>58379500000000</v>
      </c>
      <c r="D17" s="8">
        <v>28744700000</v>
      </c>
      <c r="E17" s="8">
        <v>0</v>
      </c>
      <c r="F17" s="8">
        <v>0</v>
      </c>
      <c r="G17" s="8">
        <v>2</v>
      </c>
      <c r="H17" s="8">
        <v>10344100000000</v>
      </c>
      <c r="I17" s="8">
        <v>11862300000000</v>
      </c>
      <c r="J17" s="8">
        <v>15384700000000</v>
      </c>
      <c r="K17" s="8">
        <v>13429500000000</v>
      </c>
      <c r="L17" s="8">
        <v>7358780000000</v>
      </c>
      <c r="N17" s="18">
        <v>0.0159988</v>
      </c>
      <c r="O17" s="8">
        <v>0.016875</v>
      </c>
      <c r="P17" s="8">
        <v>60441800000000</v>
      </c>
      <c r="Q17" s="8">
        <v>24805000000</v>
      </c>
      <c r="R17" s="8">
        <v>0</v>
      </c>
      <c r="S17" s="8">
        <v>0</v>
      </c>
      <c r="T17" s="8">
        <v>2</v>
      </c>
      <c r="U17" s="8">
        <v>12959400000000</v>
      </c>
      <c r="V17" s="8">
        <v>14073700000000</v>
      </c>
      <c r="W17" s="8">
        <v>12036400000000</v>
      </c>
      <c r="X17" s="8">
        <v>13685300000000</v>
      </c>
      <c r="Y17" s="8">
        <v>7686870000000</v>
      </c>
      <c r="AA17" s="8">
        <v>0.0160407</v>
      </c>
      <c r="AB17" s="8">
        <v>0.016874</v>
      </c>
      <c r="AC17" s="8">
        <v>57674000000000</v>
      </c>
      <c r="AD17" s="8">
        <v>17255000000</v>
      </c>
      <c r="AE17" s="8">
        <v>0</v>
      </c>
      <c r="AF17" s="8">
        <v>0</v>
      </c>
      <c r="AG17" s="8">
        <v>2</v>
      </c>
      <c r="AH17" s="8">
        <v>13337100000000</v>
      </c>
      <c r="AI17" s="8">
        <v>12042900000000</v>
      </c>
      <c r="AJ17" s="8">
        <v>12123200000000</v>
      </c>
      <c r="AK17" s="8">
        <v>13771100000000</v>
      </c>
      <c r="AL17" s="8">
        <v>6399610000000</v>
      </c>
      <c r="AN17" s="8">
        <f t="shared" si="0"/>
        <v>0.0159988</v>
      </c>
      <c r="AO17" s="8">
        <f t="shared" si="1"/>
        <v>58831766666666.7</v>
      </c>
      <c r="AP17" s="8">
        <f t="shared" si="2"/>
        <v>57674000000000</v>
      </c>
      <c r="AQ17" s="8">
        <f t="shared" si="3"/>
        <v>60441800000000</v>
      </c>
      <c r="AR17" s="8">
        <f t="shared" si="4"/>
        <v>7148420000000</v>
      </c>
      <c r="AS17" s="8">
        <f t="shared" si="5"/>
        <v>6399610000000</v>
      </c>
      <c r="AT17" s="8">
        <f t="shared" si="6"/>
        <v>7686870000000</v>
      </c>
    </row>
    <row r="18" ht="17.25" customHeight="1" spans="1:46">
      <c r="A18" s="17">
        <v>0.0169874</v>
      </c>
      <c r="B18" s="8">
        <v>0.0177622</v>
      </c>
      <c r="C18" s="8">
        <v>56935200000000</v>
      </c>
      <c r="D18" s="8">
        <v>30406400000</v>
      </c>
      <c r="E18" s="8">
        <v>0</v>
      </c>
      <c r="F18" s="8">
        <v>0</v>
      </c>
      <c r="G18" s="8">
        <v>2</v>
      </c>
      <c r="H18" s="8">
        <v>10845100000000</v>
      </c>
      <c r="I18" s="8">
        <v>12667000000000</v>
      </c>
      <c r="J18" s="8">
        <v>14027900000000</v>
      </c>
      <c r="K18" s="8">
        <v>12330700000000</v>
      </c>
      <c r="L18" s="8">
        <v>7063370000000</v>
      </c>
      <c r="N18" s="18">
        <v>0.0170456</v>
      </c>
      <c r="O18" s="8">
        <v>0.0178144</v>
      </c>
      <c r="P18" s="8">
        <v>62094200000000</v>
      </c>
      <c r="Q18" s="8">
        <v>60192000000</v>
      </c>
      <c r="R18" s="8">
        <v>0</v>
      </c>
      <c r="S18" s="8">
        <v>0</v>
      </c>
      <c r="T18" s="8">
        <v>2</v>
      </c>
      <c r="U18" s="8">
        <v>12991400000000</v>
      </c>
      <c r="V18" s="8">
        <v>13932900000000</v>
      </c>
      <c r="W18" s="8">
        <v>13435900000000</v>
      </c>
      <c r="X18" s="8">
        <v>13961000000000</v>
      </c>
      <c r="Y18" s="8">
        <v>7773010000000</v>
      </c>
      <c r="AA18" s="8">
        <v>0.0169689</v>
      </c>
      <c r="AB18" s="8">
        <v>0.0177975</v>
      </c>
      <c r="AC18" s="8">
        <v>57936300000000</v>
      </c>
      <c r="AD18" s="8">
        <v>29831900000</v>
      </c>
      <c r="AE18" s="8">
        <v>0</v>
      </c>
      <c r="AF18" s="8">
        <v>0</v>
      </c>
      <c r="AG18" s="8">
        <v>2</v>
      </c>
      <c r="AH18" s="8">
        <v>13247300000000</v>
      </c>
      <c r="AI18" s="8">
        <v>10987200000000</v>
      </c>
      <c r="AJ18" s="8">
        <v>13215700000000</v>
      </c>
      <c r="AK18" s="8">
        <v>13769700000000</v>
      </c>
      <c r="AL18" s="8">
        <v>6716340000000</v>
      </c>
      <c r="AN18" s="8">
        <f t="shared" si="0"/>
        <v>0.0170456</v>
      </c>
      <c r="AO18" s="8">
        <f t="shared" si="1"/>
        <v>58988566666666.7</v>
      </c>
      <c r="AP18" s="8">
        <f t="shared" si="2"/>
        <v>56935200000000</v>
      </c>
      <c r="AQ18" s="8">
        <f t="shared" si="3"/>
        <v>62094200000000</v>
      </c>
      <c r="AR18" s="8">
        <f t="shared" si="4"/>
        <v>7184240000000</v>
      </c>
      <c r="AS18" s="8">
        <f t="shared" si="5"/>
        <v>6716340000000</v>
      </c>
      <c r="AT18" s="8">
        <f t="shared" si="6"/>
        <v>7773010000000</v>
      </c>
    </row>
    <row r="19" ht="17.25" customHeight="1" spans="1:46">
      <c r="A19" s="17">
        <v>0.0179785</v>
      </c>
      <c r="B19" s="8">
        <v>0.0188144</v>
      </c>
      <c r="C19" s="8">
        <v>56102300000000</v>
      </c>
      <c r="D19" s="8">
        <v>21623600000</v>
      </c>
      <c r="E19" s="8">
        <v>0</v>
      </c>
      <c r="F19" s="8">
        <v>0</v>
      </c>
      <c r="G19" s="8">
        <v>2</v>
      </c>
      <c r="H19" s="8">
        <v>11247600000000</v>
      </c>
      <c r="I19" s="8">
        <v>13641600000000</v>
      </c>
      <c r="J19" s="8">
        <v>12897800000000</v>
      </c>
      <c r="K19" s="8">
        <v>11561500000000</v>
      </c>
      <c r="L19" s="8">
        <v>6753770000000</v>
      </c>
      <c r="N19" s="18">
        <v>0.0179584</v>
      </c>
      <c r="O19" s="8">
        <v>0.0188041</v>
      </c>
      <c r="P19" s="8">
        <v>60870200000000</v>
      </c>
      <c r="Q19" s="8">
        <v>28803900000</v>
      </c>
      <c r="R19" s="8">
        <v>0</v>
      </c>
      <c r="S19" s="8">
        <v>0</v>
      </c>
      <c r="T19" s="8">
        <v>2</v>
      </c>
      <c r="U19" s="8">
        <v>13036300000000</v>
      </c>
      <c r="V19" s="8">
        <v>13863300000000</v>
      </c>
      <c r="W19" s="8">
        <v>11254600000000</v>
      </c>
      <c r="X19" s="8">
        <v>14551900000000</v>
      </c>
      <c r="Y19" s="8">
        <v>8164130000000</v>
      </c>
      <c r="AA19" s="8">
        <v>0.0179876</v>
      </c>
      <c r="AB19" s="8">
        <v>0.0188033</v>
      </c>
      <c r="AC19" s="8">
        <v>57706800000000</v>
      </c>
      <c r="AD19" s="8">
        <v>34228500000</v>
      </c>
      <c r="AE19" s="8">
        <v>0</v>
      </c>
      <c r="AF19" s="8">
        <v>0</v>
      </c>
      <c r="AG19" s="8">
        <v>2</v>
      </c>
      <c r="AH19" s="8">
        <v>12744800000000</v>
      </c>
      <c r="AI19" s="8">
        <v>11276100000000</v>
      </c>
      <c r="AJ19" s="8">
        <v>13899300000000</v>
      </c>
      <c r="AK19" s="8">
        <v>13077600000000</v>
      </c>
      <c r="AL19" s="8">
        <v>6708980000000</v>
      </c>
      <c r="AN19" s="8">
        <f t="shared" si="0"/>
        <v>0.0179584</v>
      </c>
      <c r="AO19" s="8">
        <f t="shared" si="1"/>
        <v>58226433333333.3</v>
      </c>
      <c r="AP19" s="8">
        <f t="shared" si="2"/>
        <v>56102300000000</v>
      </c>
      <c r="AQ19" s="8">
        <f t="shared" si="3"/>
        <v>60870200000000</v>
      </c>
      <c r="AR19" s="8">
        <f t="shared" si="4"/>
        <v>7208960000000</v>
      </c>
      <c r="AS19" s="8">
        <f t="shared" si="5"/>
        <v>6708980000000</v>
      </c>
      <c r="AT19" s="8">
        <f t="shared" si="6"/>
        <v>8164130000000</v>
      </c>
    </row>
    <row r="20" ht="17.25" customHeight="1" spans="1:46">
      <c r="A20" s="17">
        <v>0.0189928</v>
      </c>
      <c r="B20" s="8">
        <v>0.0197891</v>
      </c>
      <c r="C20" s="8">
        <v>59503300000000</v>
      </c>
      <c r="D20" s="8">
        <v>34981800000</v>
      </c>
      <c r="E20" s="8">
        <v>0</v>
      </c>
      <c r="F20" s="8">
        <v>0</v>
      </c>
      <c r="G20" s="8">
        <v>2</v>
      </c>
      <c r="H20" s="8">
        <v>11620700000000</v>
      </c>
      <c r="I20" s="8">
        <v>16512800000000</v>
      </c>
      <c r="J20" s="8">
        <v>12660400000000</v>
      </c>
      <c r="K20" s="8">
        <v>11784100000000</v>
      </c>
      <c r="L20" s="8">
        <v>6925030000000</v>
      </c>
      <c r="N20" s="18">
        <v>0.0190197</v>
      </c>
      <c r="O20" s="8">
        <v>0.0198553</v>
      </c>
      <c r="P20" s="8">
        <v>59907500000000</v>
      </c>
      <c r="Q20" s="8">
        <v>43920600000</v>
      </c>
      <c r="R20" s="8">
        <v>0</v>
      </c>
      <c r="S20" s="8">
        <v>0</v>
      </c>
      <c r="T20" s="8">
        <v>2</v>
      </c>
      <c r="U20" s="8">
        <v>11673100000000</v>
      </c>
      <c r="V20" s="8">
        <v>13198400000000</v>
      </c>
      <c r="W20" s="8">
        <v>11791600000000</v>
      </c>
      <c r="X20" s="8">
        <v>15028700000000</v>
      </c>
      <c r="Y20" s="8">
        <v>8215700000000</v>
      </c>
      <c r="AA20" s="8">
        <v>0.0189815</v>
      </c>
      <c r="AB20" s="8">
        <v>0.0197889</v>
      </c>
      <c r="AC20" s="8">
        <v>57530100000000</v>
      </c>
      <c r="AD20" s="8">
        <v>24333700000</v>
      </c>
      <c r="AE20" s="8">
        <v>0</v>
      </c>
      <c r="AF20" s="8">
        <v>0</v>
      </c>
      <c r="AG20" s="8">
        <v>2</v>
      </c>
      <c r="AH20" s="8">
        <v>12433500000000</v>
      </c>
      <c r="AI20" s="8">
        <v>12148800000000</v>
      </c>
      <c r="AJ20" s="8">
        <v>13678000000000</v>
      </c>
      <c r="AK20" s="8">
        <v>12662400000000</v>
      </c>
      <c r="AL20" s="8">
        <v>6607340000000</v>
      </c>
      <c r="AN20" s="8">
        <f t="shared" si="0"/>
        <v>0.0190197</v>
      </c>
      <c r="AO20" s="8">
        <f t="shared" si="1"/>
        <v>58980300000000</v>
      </c>
      <c r="AP20" s="8">
        <f t="shared" si="2"/>
        <v>57530100000000</v>
      </c>
      <c r="AQ20" s="8">
        <f t="shared" si="3"/>
        <v>59907500000000</v>
      </c>
      <c r="AR20" s="8">
        <f t="shared" si="4"/>
        <v>7249356666666.67</v>
      </c>
      <c r="AS20" s="8">
        <f t="shared" si="5"/>
        <v>6607340000000</v>
      </c>
      <c r="AT20" s="8">
        <f t="shared" si="6"/>
        <v>8215700000000</v>
      </c>
    </row>
    <row r="21" ht="17.25" customHeight="1" spans="1:46">
      <c r="A21" s="17">
        <v>0.0200125</v>
      </c>
      <c r="B21" s="8">
        <v>0.0208446</v>
      </c>
      <c r="C21" s="8">
        <v>59373600000000</v>
      </c>
      <c r="D21" s="8">
        <v>35341300000</v>
      </c>
      <c r="E21" s="8">
        <v>0</v>
      </c>
      <c r="F21" s="8">
        <v>0</v>
      </c>
      <c r="G21" s="8">
        <v>2</v>
      </c>
      <c r="H21" s="8">
        <v>12015200000000</v>
      </c>
      <c r="I21" s="8">
        <v>14867400000000</v>
      </c>
      <c r="J21" s="8">
        <v>13319000000000</v>
      </c>
      <c r="K21" s="8">
        <v>12047100000000</v>
      </c>
      <c r="L21" s="8">
        <v>7124820000000</v>
      </c>
      <c r="N21" s="18">
        <v>0.0199671</v>
      </c>
      <c r="O21" s="8">
        <v>0.0207824</v>
      </c>
      <c r="P21" s="8">
        <v>59749100000000</v>
      </c>
      <c r="Q21" s="8">
        <v>28129300000</v>
      </c>
      <c r="R21" s="8">
        <v>0</v>
      </c>
      <c r="S21" s="8">
        <v>0</v>
      </c>
      <c r="T21" s="8">
        <v>2</v>
      </c>
      <c r="U21" s="8">
        <v>11605200000000</v>
      </c>
      <c r="V21" s="8">
        <v>13512900000000</v>
      </c>
      <c r="W21" s="8">
        <v>12547400000000</v>
      </c>
      <c r="X21" s="8">
        <v>14250300000000</v>
      </c>
      <c r="Y21" s="8">
        <v>7833080000000</v>
      </c>
      <c r="AA21" s="8">
        <v>0.0200014</v>
      </c>
      <c r="AB21" s="8">
        <v>0.020795</v>
      </c>
      <c r="AC21" s="8">
        <v>55760200000000</v>
      </c>
      <c r="AD21" s="8">
        <v>33481900000</v>
      </c>
      <c r="AE21" s="8">
        <v>0</v>
      </c>
      <c r="AF21" s="8">
        <v>0</v>
      </c>
      <c r="AG21" s="8">
        <v>2</v>
      </c>
      <c r="AH21" s="8">
        <v>11948400000000</v>
      </c>
      <c r="AI21" s="8">
        <v>11861900000000</v>
      </c>
      <c r="AJ21" s="8">
        <v>13387200000000</v>
      </c>
      <c r="AK21" s="8">
        <v>11841800000000</v>
      </c>
      <c r="AL21" s="8">
        <v>6720490000000</v>
      </c>
      <c r="AN21" s="8">
        <f t="shared" si="0"/>
        <v>0.0199671</v>
      </c>
      <c r="AO21" s="8">
        <f t="shared" si="1"/>
        <v>58294300000000</v>
      </c>
      <c r="AP21" s="8">
        <f t="shared" si="2"/>
        <v>55760200000000</v>
      </c>
      <c r="AQ21" s="8">
        <f t="shared" si="3"/>
        <v>59749100000000</v>
      </c>
      <c r="AR21" s="8">
        <f t="shared" si="4"/>
        <v>7226130000000</v>
      </c>
      <c r="AS21" s="8">
        <f t="shared" si="5"/>
        <v>6720490000000</v>
      </c>
      <c r="AT21" s="8">
        <f t="shared" si="6"/>
        <v>7833080000000</v>
      </c>
    </row>
    <row r="22" ht="17.25" customHeight="1" spans="1:46">
      <c r="A22" s="17">
        <v>0.0209558</v>
      </c>
      <c r="B22" s="8">
        <v>0.021744</v>
      </c>
      <c r="C22" s="8">
        <v>59867200000000</v>
      </c>
      <c r="D22" s="8">
        <v>14779900000</v>
      </c>
      <c r="E22" s="8">
        <v>0</v>
      </c>
      <c r="F22" s="8">
        <v>0</v>
      </c>
      <c r="G22" s="8">
        <v>2</v>
      </c>
      <c r="H22" s="8">
        <v>12181200000000</v>
      </c>
      <c r="I22" s="8">
        <v>14176100000000</v>
      </c>
      <c r="J22" s="8">
        <v>13164100000000</v>
      </c>
      <c r="K22" s="8">
        <v>13267500000000</v>
      </c>
      <c r="L22" s="8">
        <v>7078360000000</v>
      </c>
      <c r="N22" s="18">
        <v>0.0210252</v>
      </c>
      <c r="O22" s="8">
        <v>0.0218563</v>
      </c>
      <c r="P22" s="8">
        <v>62385800000000</v>
      </c>
      <c r="Q22" s="8">
        <v>36213100000</v>
      </c>
      <c r="R22" s="8">
        <v>0</v>
      </c>
      <c r="S22" s="8">
        <v>0</v>
      </c>
      <c r="T22" s="8">
        <v>2</v>
      </c>
      <c r="U22" s="8">
        <v>12251700000000</v>
      </c>
      <c r="V22" s="8">
        <v>13710100000000</v>
      </c>
      <c r="W22" s="8">
        <v>13906600000000</v>
      </c>
      <c r="X22" s="8">
        <v>14385500000000</v>
      </c>
      <c r="Y22" s="8">
        <v>8131760000000</v>
      </c>
      <c r="AA22" s="8">
        <v>0.0209995</v>
      </c>
      <c r="AB22" s="8">
        <v>0.0217922</v>
      </c>
      <c r="AC22" s="8">
        <v>55529300000000</v>
      </c>
      <c r="AD22" s="8">
        <v>29709900000</v>
      </c>
      <c r="AE22" s="8">
        <v>0</v>
      </c>
      <c r="AF22" s="8">
        <v>0</v>
      </c>
      <c r="AG22" s="8">
        <v>2</v>
      </c>
      <c r="AH22" s="8">
        <v>12575500000000</v>
      </c>
      <c r="AI22" s="8">
        <v>12032200000000</v>
      </c>
      <c r="AJ22" s="8">
        <v>13019200000000</v>
      </c>
      <c r="AK22" s="8">
        <v>11327400000000</v>
      </c>
      <c r="AL22" s="8">
        <v>6574760000000</v>
      </c>
      <c r="AN22" s="8">
        <f t="shared" si="0"/>
        <v>0.0210252</v>
      </c>
      <c r="AO22" s="8">
        <f t="shared" si="1"/>
        <v>59260766666666.7</v>
      </c>
      <c r="AP22" s="8">
        <f t="shared" si="2"/>
        <v>55529300000000</v>
      </c>
      <c r="AQ22" s="8">
        <f t="shared" si="3"/>
        <v>62385800000000</v>
      </c>
      <c r="AR22" s="8">
        <f t="shared" si="4"/>
        <v>7261626666666.67</v>
      </c>
      <c r="AS22" s="8">
        <f t="shared" si="5"/>
        <v>6574760000000</v>
      </c>
      <c r="AT22" s="8">
        <f t="shared" si="6"/>
        <v>8131760000000</v>
      </c>
    </row>
    <row r="23" ht="17.25" customHeight="1" spans="1:46">
      <c r="A23" s="17">
        <v>0.0219752</v>
      </c>
      <c r="B23" s="8">
        <v>0.0227817</v>
      </c>
      <c r="C23" s="8">
        <v>57066800000000</v>
      </c>
      <c r="D23" s="8">
        <v>21907800000</v>
      </c>
      <c r="E23" s="8">
        <v>0</v>
      </c>
      <c r="F23" s="8">
        <v>0</v>
      </c>
      <c r="G23" s="8">
        <v>2</v>
      </c>
      <c r="H23" s="8">
        <v>12214500000000</v>
      </c>
      <c r="I23" s="8">
        <v>13659000000000</v>
      </c>
      <c r="J23" s="8">
        <v>11620900000000</v>
      </c>
      <c r="K23" s="8">
        <v>12588400000000</v>
      </c>
      <c r="L23" s="8">
        <v>6983220000000</v>
      </c>
      <c r="N23" s="18">
        <v>0.0219862</v>
      </c>
      <c r="O23" s="8">
        <v>0.0228695</v>
      </c>
      <c r="P23" s="8">
        <v>61164500000000</v>
      </c>
      <c r="Q23" s="8">
        <v>44792600000</v>
      </c>
      <c r="R23" s="8">
        <v>0</v>
      </c>
      <c r="S23" s="8">
        <v>0</v>
      </c>
      <c r="T23" s="8">
        <v>2</v>
      </c>
      <c r="U23" s="8">
        <v>11338200000000</v>
      </c>
      <c r="V23" s="8">
        <v>12895600000000</v>
      </c>
      <c r="W23" s="8">
        <v>14859700000000</v>
      </c>
      <c r="X23" s="8">
        <v>13538000000000</v>
      </c>
      <c r="Y23" s="8">
        <v>8530670000000</v>
      </c>
      <c r="AA23" s="8">
        <v>0.0219478</v>
      </c>
      <c r="AB23" s="8">
        <v>0.022745</v>
      </c>
      <c r="AC23" s="8">
        <v>55447300000000</v>
      </c>
      <c r="AD23" s="8">
        <v>19015400000</v>
      </c>
      <c r="AE23" s="8">
        <v>0</v>
      </c>
      <c r="AF23" s="8">
        <v>0</v>
      </c>
      <c r="AG23" s="8">
        <v>2</v>
      </c>
      <c r="AH23" s="8">
        <v>12495000000000</v>
      </c>
      <c r="AI23" s="8">
        <v>12944100000000</v>
      </c>
      <c r="AJ23" s="8">
        <v>11897100000000</v>
      </c>
      <c r="AK23" s="8">
        <v>11463300000000</v>
      </c>
      <c r="AL23" s="8">
        <v>6647830000000</v>
      </c>
      <c r="AN23" s="8">
        <f t="shared" si="0"/>
        <v>0.0219862</v>
      </c>
      <c r="AO23" s="8">
        <f t="shared" si="1"/>
        <v>57892866666666.7</v>
      </c>
      <c r="AP23" s="8">
        <f t="shared" si="2"/>
        <v>55447300000000</v>
      </c>
      <c r="AQ23" s="8">
        <f t="shared" si="3"/>
        <v>61164500000000</v>
      </c>
      <c r="AR23" s="8">
        <f t="shared" si="4"/>
        <v>7387240000000</v>
      </c>
      <c r="AS23" s="8">
        <f t="shared" si="5"/>
        <v>6647830000000</v>
      </c>
      <c r="AT23" s="8">
        <f t="shared" si="6"/>
        <v>8530670000000</v>
      </c>
    </row>
    <row r="24" ht="17.25" customHeight="1" spans="1:46">
      <c r="A24" s="17">
        <v>0.0230098</v>
      </c>
      <c r="B24" s="8">
        <v>0.0238038</v>
      </c>
      <c r="C24" s="8">
        <v>59509900000000</v>
      </c>
      <c r="D24" s="8">
        <v>29246800000</v>
      </c>
      <c r="E24" s="8">
        <v>0</v>
      </c>
      <c r="F24" s="8">
        <v>0</v>
      </c>
      <c r="G24" s="8">
        <v>2</v>
      </c>
      <c r="H24" s="8">
        <v>14051900000000</v>
      </c>
      <c r="I24" s="8">
        <v>14469000000000</v>
      </c>
      <c r="J24" s="8">
        <v>11251600000000</v>
      </c>
      <c r="K24" s="8">
        <v>12904400000000</v>
      </c>
      <c r="L24" s="8">
        <v>6832140000000</v>
      </c>
      <c r="N24" s="18">
        <v>0.023052</v>
      </c>
      <c r="O24" s="8">
        <v>0.0238837</v>
      </c>
      <c r="P24" s="8">
        <v>60982900000000</v>
      </c>
      <c r="Q24" s="8">
        <v>20912200000</v>
      </c>
      <c r="R24" s="8">
        <v>0</v>
      </c>
      <c r="S24" s="8">
        <v>0</v>
      </c>
      <c r="T24" s="8">
        <v>2</v>
      </c>
      <c r="U24" s="8">
        <v>11671700000000</v>
      </c>
      <c r="V24" s="8">
        <v>11839200000000</v>
      </c>
      <c r="W24" s="8">
        <v>14770100000000</v>
      </c>
      <c r="X24" s="8">
        <v>14164900000000</v>
      </c>
      <c r="Y24" s="8">
        <v>8536960000000</v>
      </c>
      <c r="AA24" s="8">
        <v>0.0229874</v>
      </c>
      <c r="AB24" s="8">
        <v>0.023798</v>
      </c>
      <c r="AC24" s="8">
        <v>55787500000000</v>
      </c>
      <c r="AD24" s="8">
        <v>24071600000</v>
      </c>
      <c r="AE24" s="8">
        <v>0</v>
      </c>
      <c r="AF24" s="8">
        <v>0</v>
      </c>
      <c r="AG24" s="8">
        <v>2</v>
      </c>
      <c r="AH24" s="8">
        <v>13507700000000</v>
      </c>
      <c r="AI24" s="8">
        <v>12437400000000</v>
      </c>
      <c r="AJ24" s="8">
        <v>12269000000000</v>
      </c>
      <c r="AK24" s="8">
        <v>10924400000000</v>
      </c>
      <c r="AL24" s="8">
        <v>6648920000000</v>
      </c>
      <c r="AN24" s="8">
        <f t="shared" si="0"/>
        <v>0.023052</v>
      </c>
      <c r="AO24" s="8">
        <f t="shared" si="1"/>
        <v>58760100000000</v>
      </c>
      <c r="AP24" s="8">
        <f t="shared" si="2"/>
        <v>55787500000000</v>
      </c>
      <c r="AQ24" s="8">
        <f t="shared" si="3"/>
        <v>60982900000000</v>
      </c>
      <c r="AR24" s="8">
        <f t="shared" si="4"/>
        <v>7339340000000</v>
      </c>
      <c r="AS24" s="8">
        <f t="shared" si="5"/>
        <v>6648920000000</v>
      </c>
      <c r="AT24" s="8">
        <f t="shared" si="6"/>
        <v>8536960000000</v>
      </c>
    </row>
    <row r="25" ht="17.25" customHeight="1" spans="1:46">
      <c r="A25" s="17">
        <v>0.0239864</v>
      </c>
      <c r="B25" s="8">
        <v>0.0248167</v>
      </c>
      <c r="C25" s="8">
        <v>59985400000000</v>
      </c>
      <c r="D25" s="8">
        <v>33612100000</v>
      </c>
      <c r="E25" s="8">
        <v>0</v>
      </c>
      <c r="F25" s="8">
        <v>0</v>
      </c>
      <c r="G25" s="8">
        <v>2</v>
      </c>
      <c r="H25" s="8">
        <v>14698800000000</v>
      </c>
      <c r="I25" s="8">
        <v>15347300000000</v>
      </c>
      <c r="J25" s="8">
        <v>11346200000000</v>
      </c>
      <c r="K25" s="8">
        <v>11675900000000</v>
      </c>
      <c r="L25" s="8">
        <v>6916780000000</v>
      </c>
      <c r="N25" s="18">
        <v>0.0240452</v>
      </c>
      <c r="O25" s="8">
        <v>0.0248793</v>
      </c>
      <c r="P25" s="8">
        <v>62060500000000</v>
      </c>
      <c r="Q25" s="8">
        <v>27602500000</v>
      </c>
      <c r="R25" s="8">
        <v>0</v>
      </c>
      <c r="S25" s="8">
        <v>0</v>
      </c>
      <c r="T25" s="8">
        <v>2</v>
      </c>
      <c r="U25" s="8">
        <v>11825200000000</v>
      </c>
      <c r="V25" s="8">
        <v>12862800000000</v>
      </c>
      <c r="W25" s="8">
        <v>14436000000000</v>
      </c>
      <c r="X25" s="8">
        <v>14211800000000</v>
      </c>
      <c r="Y25" s="8">
        <v>8724390000000</v>
      </c>
      <c r="AA25" s="8">
        <v>0.0239634</v>
      </c>
      <c r="AB25" s="8">
        <v>0.0247603</v>
      </c>
      <c r="AC25" s="8">
        <v>55847600000000</v>
      </c>
      <c r="AD25" s="8">
        <v>24193400000</v>
      </c>
      <c r="AE25" s="8">
        <v>0</v>
      </c>
      <c r="AF25" s="8">
        <v>0</v>
      </c>
      <c r="AG25" s="8">
        <v>2</v>
      </c>
      <c r="AH25" s="8">
        <v>12520900000000</v>
      </c>
      <c r="AI25" s="8">
        <v>13995100000000</v>
      </c>
      <c r="AJ25" s="8">
        <v>12202300000000</v>
      </c>
      <c r="AK25" s="8">
        <v>10539200000000</v>
      </c>
      <c r="AL25" s="8">
        <v>6590140000000</v>
      </c>
      <c r="AN25" s="8">
        <f t="shared" si="0"/>
        <v>0.0240452</v>
      </c>
      <c r="AO25" s="8">
        <f t="shared" si="1"/>
        <v>59297833333333.3</v>
      </c>
      <c r="AP25" s="8">
        <f t="shared" si="2"/>
        <v>55847600000000</v>
      </c>
      <c r="AQ25" s="8">
        <f t="shared" si="3"/>
        <v>62060500000000</v>
      </c>
      <c r="AR25" s="8">
        <f t="shared" si="4"/>
        <v>7410436666666.67</v>
      </c>
      <c r="AS25" s="8">
        <f t="shared" si="5"/>
        <v>6590140000000</v>
      </c>
      <c r="AT25" s="8">
        <f t="shared" si="6"/>
        <v>8724390000000</v>
      </c>
    </row>
    <row r="26" ht="17.25" customHeight="1" spans="1:46">
      <c r="A26" s="17">
        <v>0.0250155</v>
      </c>
      <c r="B26" s="8">
        <v>0.0258567</v>
      </c>
      <c r="C26" s="8">
        <v>58057500000000</v>
      </c>
      <c r="D26" s="8">
        <v>28017300000</v>
      </c>
      <c r="E26" s="8">
        <v>0</v>
      </c>
      <c r="F26" s="8">
        <v>0</v>
      </c>
      <c r="G26" s="8">
        <v>2</v>
      </c>
      <c r="H26" s="8">
        <v>13910900000000</v>
      </c>
      <c r="I26" s="8">
        <v>14192800000000</v>
      </c>
      <c r="J26" s="8">
        <v>10473700000000</v>
      </c>
      <c r="K26" s="8">
        <v>12561500000000</v>
      </c>
      <c r="L26" s="8">
        <v>6918570000000</v>
      </c>
      <c r="N26" s="18">
        <v>0.0249719</v>
      </c>
      <c r="O26" s="8">
        <v>0.0257889</v>
      </c>
      <c r="P26" s="8">
        <v>62517900000000</v>
      </c>
      <c r="Q26" s="8">
        <v>31535900000</v>
      </c>
      <c r="R26" s="8">
        <v>0</v>
      </c>
      <c r="S26" s="8">
        <v>0</v>
      </c>
      <c r="T26" s="8">
        <v>2</v>
      </c>
      <c r="U26" s="8">
        <v>11311300000000</v>
      </c>
      <c r="V26" s="8">
        <v>13334000000000</v>
      </c>
      <c r="W26" s="8">
        <v>14419400000000</v>
      </c>
      <c r="X26" s="8">
        <v>14324900000000</v>
      </c>
      <c r="Y26" s="8">
        <v>9128290000000</v>
      </c>
      <c r="AA26" s="8">
        <v>0.0249324</v>
      </c>
      <c r="AB26" s="8">
        <v>0.025738</v>
      </c>
      <c r="AC26" s="8">
        <v>59226000000000</v>
      </c>
      <c r="AD26" s="8">
        <v>18302800000</v>
      </c>
      <c r="AE26" s="8">
        <v>0</v>
      </c>
      <c r="AF26" s="8">
        <v>0</v>
      </c>
      <c r="AG26" s="8">
        <v>2</v>
      </c>
      <c r="AH26" s="8">
        <v>13066800000000</v>
      </c>
      <c r="AI26" s="8">
        <v>13493100000000</v>
      </c>
      <c r="AJ26" s="8">
        <v>15874100000000</v>
      </c>
      <c r="AK26" s="8">
        <v>10346400000000</v>
      </c>
      <c r="AL26" s="8">
        <v>6445680000000</v>
      </c>
      <c r="AN26" s="8">
        <f t="shared" si="0"/>
        <v>0.0249719</v>
      </c>
      <c r="AO26" s="8">
        <f t="shared" si="1"/>
        <v>59933800000000</v>
      </c>
      <c r="AP26" s="8">
        <f t="shared" si="2"/>
        <v>58057500000000</v>
      </c>
      <c r="AQ26" s="8">
        <f t="shared" si="3"/>
        <v>62517900000000</v>
      </c>
      <c r="AR26" s="8">
        <f t="shared" si="4"/>
        <v>7497513333333.33</v>
      </c>
      <c r="AS26" s="8">
        <f t="shared" si="5"/>
        <v>6445680000000</v>
      </c>
      <c r="AT26" s="8">
        <f t="shared" si="6"/>
        <v>9128290000000</v>
      </c>
    </row>
    <row r="27" ht="17.25" customHeight="1" spans="1:46">
      <c r="A27" s="17">
        <v>0.0259857</v>
      </c>
      <c r="B27" s="8">
        <v>0.0268338</v>
      </c>
      <c r="C27" s="8">
        <v>57977900000000</v>
      </c>
      <c r="D27" s="8">
        <v>27964800000</v>
      </c>
      <c r="E27" s="8">
        <v>0</v>
      </c>
      <c r="F27" s="8">
        <v>0</v>
      </c>
      <c r="G27" s="8">
        <v>2</v>
      </c>
      <c r="H27" s="8">
        <v>12919400000000</v>
      </c>
      <c r="I27" s="8">
        <v>14094500000000</v>
      </c>
      <c r="J27" s="8">
        <v>10877100000000</v>
      </c>
      <c r="K27" s="8">
        <v>12892900000000</v>
      </c>
      <c r="L27" s="8">
        <v>7193980000000</v>
      </c>
      <c r="N27" s="18">
        <v>0.0259899</v>
      </c>
      <c r="O27" s="8">
        <v>0.0268909</v>
      </c>
      <c r="P27" s="8">
        <v>62001800000000</v>
      </c>
      <c r="Q27" s="8">
        <v>40875100000</v>
      </c>
      <c r="R27" s="8">
        <v>0</v>
      </c>
      <c r="S27" s="8">
        <v>0</v>
      </c>
      <c r="T27" s="8">
        <v>2</v>
      </c>
      <c r="U27" s="8">
        <v>12373400000000</v>
      </c>
      <c r="V27" s="8">
        <v>13469500000000</v>
      </c>
      <c r="W27" s="8">
        <v>14186600000000</v>
      </c>
      <c r="X27" s="8">
        <v>13764200000000</v>
      </c>
      <c r="Y27" s="8">
        <v>8208060000000</v>
      </c>
      <c r="AA27" s="8">
        <v>0.0259631</v>
      </c>
      <c r="AB27" s="8">
        <v>0.0267786</v>
      </c>
      <c r="AC27" s="8">
        <v>57902300000000</v>
      </c>
      <c r="AD27" s="8">
        <v>27248200000</v>
      </c>
      <c r="AE27" s="8">
        <v>0</v>
      </c>
      <c r="AF27" s="8">
        <v>0</v>
      </c>
      <c r="AG27" s="8">
        <v>2</v>
      </c>
      <c r="AH27" s="8">
        <v>13577000000000</v>
      </c>
      <c r="AI27" s="8">
        <v>12959400000000</v>
      </c>
      <c r="AJ27" s="8">
        <v>14972100000000</v>
      </c>
      <c r="AK27" s="8">
        <v>9661820000000</v>
      </c>
      <c r="AL27" s="8">
        <v>6731920000000</v>
      </c>
      <c r="AN27" s="8">
        <f t="shared" si="0"/>
        <v>0.0259899</v>
      </c>
      <c r="AO27" s="8">
        <f t="shared" si="1"/>
        <v>59294000000000</v>
      </c>
      <c r="AP27" s="8">
        <f t="shared" si="2"/>
        <v>57902300000000</v>
      </c>
      <c r="AQ27" s="8">
        <f t="shared" si="3"/>
        <v>62001800000000</v>
      </c>
      <c r="AR27" s="8">
        <f t="shared" si="4"/>
        <v>7377986666666.67</v>
      </c>
      <c r="AS27" s="8">
        <f t="shared" si="5"/>
        <v>6731920000000</v>
      </c>
      <c r="AT27" s="8">
        <f t="shared" si="6"/>
        <v>8208060000000</v>
      </c>
    </row>
    <row r="28" ht="17.25" customHeight="1" spans="1:46">
      <c r="A28" s="17">
        <v>0.0270298</v>
      </c>
      <c r="B28" s="8">
        <v>0.0279066</v>
      </c>
      <c r="C28" s="8">
        <v>59701800000000</v>
      </c>
      <c r="D28" s="8">
        <v>37946400000</v>
      </c>
      <c r="E28" s="8">
        <v>0</v>
      </c>
      <c r="F28" s="8">
        <v>0</v>
      </c>
      <c r="G28" s="8">
        <v>2</v>
      </c>
      <c r="H28" s="8">
        <v>12852900000000</v>
      </c>
      <c r="I28" s="8">
        <v>13887700000000</v>
      </c>
      <c r="J28" s="8">
        <v>12805200000000</v>
      </c>
      <c r="K28" s="8">
        <v>12297500000000</v>
      </c>
      <c r="L28" s="8">
        <v>7858480000000</v>
      </c>
      <c r="N28" s="18">
        <v>0.0270199</v>
      </c>
      <c r="O28" s="8">
        <v>0.0278612</v>
      </c>
      <c r="P28" s="8">
        <v>61800700000000</v>
      </c>
      <c r="Q28" s="8">
        <v>41296900000</v>
      </c>
      <c r="R28" s="8">
        <v>0</v>
      </c>
      <c r="S28" s="8">
        <v>0</v>
      </c>
      <c r="T28" s="8">
        <v>2</v>
      </c>
      <c r="U28" s="8">
        <v>13161000000000</v>
      </c>
      <c r="V28" s="8">
        <v>13554500000000</v>
      </c>
      <c r="W28" s="8">
        <v>13931500000000</v>
      </c>
      <c r="X28" s="8">
        <v>13346000000000</v>
      </c>
      <c r="Y28" s="8">
        <v>7807640000000</v>
      </c>
      <c r="AA28" s="8">
        <v>0.0270352</v>
      </c>
      <c r="AB28" s="8">
        <v>0.027852</v>
      </c>
      <c r="AC28" s="8">
        <v>57350500000000</v>
      </c>
      <c r="AD28" s="8">
        <v>31721600000</v>
      </c>
      <c r="AE28" s="8">
        <v>0</v>
      </c>
      <c r="AF28" s="8">
        <v>0</v>
      </c>
      <c r="AG28" s="8">
        <v>2</v>
      </c>
      <c r="AH28" s="8">
        <v>13582300000000</v>
      </c>
      <c r="AI28" s="8">
        <v>12264600000000</v>
      </c>
      <c r="AJ28" s="8">
        <v>13739500000000</v>
      </c>
      <c r="AK28" s="8">
        <v>10353200000000</v>
      </c>
      <c r="AL28" s="8">
        <v>7410930000000</v>
      </c>
      <c r="AN28" s="8">
        <f t="shared" si="0"/>
        <v>0.0270199</v>
      </c>
      <c r="AO28" s="8">
        <f t="shared" si="1"/>
        <v>59617666666666.7</v>
      </c>
      <c r="AP28" s="8">
        <f t="shared" si="2"/>
        <v>57350500000000</v>
      </c>
      <c r="AQ28" s="8">
        <f t="shared" si="3"/>
        <v>61800700000000</v>
      </c>
      <c r="AR28" s="8">
        <f t="shared" si="4"/>
        <v>7692350000000</v>
      </c>
      <c r="AS28" s="8">
        <f t="shared" si="5"/>
        <v>7410930000000</v>
      </c>
      <c r="AT28" s="8">
        <f t="shared" si="6"/>
        <v>7858480000000</v>
      </c>
    </row>
    <row r="29" ht="17.25" customHeight="1" spans="1:46">
      <c r="A29" s="17">
        <v>0.0280543</v>
      </c>
      <c r="B29" s="8">
        <v>0.0288899</v>
      </c>
      <c r="C29" s="8">
        <v>59756900000000</v>
      </c>
      <c r="D29" s="8">
        <v>39297000000</v>
      </c>
      <c r="E29" s="8">
        <v>0</v>
      </c>
      <c r="F29" s="8">
        <v>0</v>
      </c>
      <c r="G29" s="8">
        <v>2</v>
      </c>
      <c r="H29" s="8">
        <v>13309000000000</v>
      </c>
      <c r="I29" s="8">
        <v>12811900000000</v>
      </c>
      <c r="J29" s="8">
        <v>13467200000000</v>
      </c>
      <c r="K29" s="8">
        <v>12572900000000</v>
      </c>
      <c r="L29" s="8">
        <v>7595840000000</v>
      </c>
      <c r="N29" s="18">
        <v>0.0279694</v>
      </c>
      <c r="O29" s="8">
        <v>0.0288102</v>
      </c>
      <c r="P29" s="8">
        <v>60649300000000</v>
      </c>
      <c r="Q29" s="8">
        <v>40993300000</v>
      </c>
      <c r="R29" s="8">
        <v>0</v>
      </c>
      <c r="S29" s="8">
        <v>0</v>
      </c>
      <c r="T29" s="8">
        <v>2</v>
      </c>
      <c r="U29" s="8">
        <v>12195300000000</v>
      </c>
      <c r="V29" s="8">
        <v>13067100000000</v>
      </c>
      <c r="W29" s="8">
        <v>14093100000000</v>
      </c>
      <c r="X29" s="8">
        <v>13396500000000</v>
      </c>
      <c r="Y29" s="8">
        <v>7896780000000</v>
      </c>
      <c r="AA29" s="8">
        <v>0.0280493</v>
      </c>
      <c r="AB29" s="8">
        <v>0.0288552</v>
      </c>
      <c r="AC29" s="8">
        <v>59518200000000</v>
      </c>
      <c r="AD29" s="8">
        <v>26355100000</v>
      </c>
      <c r="AE29" s="8">
        <v>0</v>
      </c>
      <c r="AF29" s="8">
        <v>0</v>
      </c>
      <c r="AG29" s="8">
        <v>2</v>
      </c>
      <c r="AH29" s="8">
        <v>12821300000000</v>
      </c>
      <c r="AI29" s="8">
        <v>13659300000000</v>
      </c>
      <c r="AJ29" s="8">
        <v>13861500000000</v>
      </c>
      <c r="AK29" s="8">
        <v>11478400000000</v>
      </c>
      <c r="AL29" s="8">
        <v>7697300000000</v>
      </c>
      <c r="AN29" s="8">
        <f t="shared" si="0"/>
        <v>0.0279694</v>
      </c>
      <c r="AO29" s="8">
        <f t="shared" si="1"/>
        <v>59974800000000</v>
      </c>
      <c r="AP29" s="8">
        <f t="shared" si="2"/>
        <v>59518200000000</v>
      </c>
      <c r="AQ29" s="8">
        <f t="shared" si="3"/>
        <v>60649300000000</v>
      </c>
      <c r="AR29" s="8">
        <f t="shared" si="4"/>
        <v>7729973333333.33</v>
      </c>
      <c r="AS29" s="8">
        <f t="shared" si="5"/>
        <v>7595840000000</v>
      </c>
      <c r="AT29" s="8">
        <f t="shared" si="6"/>
        <v>7896780000000</v>
      </c>
    </row>
    <row r="30" ht="17.25" customHeight="1" spans="1:46">
      <c r="A30" s="17">
        <v>0.0290126</v>
      </c>
      <c r="B30" s="8">
        <v>0.0298672</v>
      </c>
      <c r="C30" s="8">
        <v>58411100000000</v>
      </c>
      <c r="D30" s="8">
        <v>30936000000</v>
      </c>
      <c r="E30" s="8">
        <v>0</v>
      </c>
      <c r="F30" s="8">
        <v>0</v>
      </c>
      <c r="G30" s="8">
        <v>2</v>
      </c>
      <c r="H30" s="8">
        <v>13092100000000</v>
      </c>
      <c r="I30" s="8">
        <v>12081600000000</v>
      </c>
      <c r="J30" s="8">
        <v>12787900000000</v>
      </c>
      <c r="K30" s="8">
        <v>13346000000000</v>
      </c>
      <c r="L30" s="8">
        <v>7103560000000</v>
      </c>
      <c r="N30" s="18">
        <v>0.0287795</v>
      </c>
      <c r="O30" s="8">
        <v>0.0296173</v>
      </c>
      <c r="P30" s="8">
        <v>60186000000000</v>
      </c>
      <c r="Q30" s="8">
        <v>38294700000</v>
      </c>
      <c r="R30" s="8">
        <v>0</v>
      </c>
      <c r="S30" s="8">
        <v>0</v>
      </c>
      <c r="T30" s="8">
        <v>2</v>
      </c>
      <c r="U30" s="8">
        <v>12855400000000</v>
      </c>
      <c r="V30" s="8">
        <v>12879900000000</v>
      </c>
      <c r="W30" s="8">
        <v>13828900000000</v>
      </c>
      <c r="X30" s="8">
        <v>13095900000000</v>
      </c>
      <c r="Y30" s="8">
        <v>7525940000000</v>
      </c>
      <c r="AA30" s="8">
        <v>0.0289376</v>
      </c>
      <c r="AB30" s="8">
        <v>0.0297529</v>
      </c>
      <c r="AC30" s="8">
        <v>57496300000000</v>
      </c>
      <c r="AD30" s="8">
        <v>22074400000</v>
      </c>
      <c r="AE30" s="8">
        <v>0</v>
      </c>
      <c r="AF30" s="8">
        <v>0</v>
      </c>
      <c r="AG30" s="8">
        <v>2</v>
      </c>
      <c r="AH30" s="8">
        <v>11429900000000</v>
      </c>
      <c r="AI30" s="8">
        <v>12910400000000</v>
      </c>
      <c r="AJ30" s="8">
        <v>13873700000000</v>
      </c>
      <c r="AK30" s="8">
        <v>12050100000000</v>
      </c>
      <c r="AL30" s="8">
        <v>7229880000000</v>
      </c>
      <c r="AN30" s="8">
        <f t="shared" si="0"/>
        <v>0.0287795</v>
      </c>
      <c r="AO30" s="8">
        <f t="shared" si="1"/>
        <v>58697800000000</v>
      </c>
      <c r="AP30" s="8">
        <f t="shared" si="2"/>
        <v>57496300000000</v>
      </c>
      <c r="AQ30" s="8">
        <f t="shared" si="3"/>
        <v>60186000000000</v>
      </c>
      <c r="AR30" s="8">
        <f t="shared" si="4"/>
        <v>7286460000000</v>
      </c>
      <c r="AS30" s="8">
        <f t="shared" si="5"/>
        <v>7103560000000</v>
      </c>
      <c r="AT30" s="8">
        <f t="shared" si="6"/>
        <v>7525940000000</v>
      </c>
    </row>
    <row r="31" ht="17.25" customHeight="1" spans="1:46">
      <c r="A31" s="17">
        <v>0.029978</v>
      </c>
      <c r="B31" s="8">
        <v>0.0308143</v>
      </c>
      <c r="C31" s="8">
        <v>58702000000000</v>
      </c>
      <c r="D31" s="8">
        <v>43539900000</v>
      </c>
      <c r="E31" s="8">
        <v>0</v>
      </c>
      <c r="F31" s="8">
        <v>0</v>
      </c>
      <c r="G31" s="8">
        <v>2</v>
      </c>
      <c r="H31" s="8">
        <v>12834500000000</v>
      </c>
      <c r="I31" s="8">
        <v>13397800000000</v>
      </c>
      <c r="J31" s="8">
        <v>13315500000000</v>
      </c>
      <c r="K31" s="8">
        <v>12438800000000</v>
      </c>
      <c r="L31" s="8">
        <v>6715410000000</v>
      </c>
      <c r="N31" s="1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8">
        <v>0.0300001</v>
      </c>
      <c r="AB31" s="8">
        <v>0.0308064</v>
      </c>
      <c r="AC31" s="8">
        <v>57672900000000</v>
      </c>
      <c r="AD31" s="8">
        <v>21436300000</v>
      </c>
      <c r="AE31" s="8">
        <v>0</v>
      </c>
      <c r="AF31" s="8">
        <v>0</v>
      </c>
      <c r="AG31" s="8">
        <v>2</v>
      </c>
      <c r="AH31" s="8">
        <v>10886600000000</v>
      </c>
      <c r="AI31" s="8">
        <v>11764700000000</v>
      </c>
      <c r="AJ31" s="8">
        <v>14433600000000</v>
      </c>
      <c r="AK31" s="8">
        <v>13220300000000</v>
      </c>
      <c r="AL31" s="8">
        <v>7367570000000</v>
      </c>
      <c r="AN31" s="8">
        <f t="shared" si="0"/>
        <v>0</v>
      </c>
      <c r="AO31" s="8">
        <f t="shared" si="1"/>
        <v>58187450000000</v>
      </c>
      <c r="AP31" s="8">
        <f t="shared" si="2"/>
        <v>57672900000000</v>
      </c>
      <c r="AQ31" s="8">
        <f t="shared" si="3"/>
        <v>58702000000000</v>
      </c>
      <c r="AR31" s="8">
        <f t="shared" si="4"/>
        <v>7041490000000</v>
      </c>
      <c r="AS31" s="8">
        <f t="shared" si="5"/>
        <v>6715410000000</v>
      </c>
      <c r="AT31" s="8">
        <f t="shared" si="6"/>
        <v>7367570000000</v>
      </c>
    </row>
    <row r="32" ht="17.25" customHeight="1" spans="1:46">
      <c r="A32" s="1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N32" s="1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8">
        <v>0.0309944</v>
      </c>
      <c r="AB32" s="8">
        <v>0.031799</v>
      </c>
      <c r="AC32" s="8">
        <v>57337600000000</v>
      </c>
      <c r="AD32" s="8">
        <v>23663800000</v>
      </c>
      <c r="AE32" s="8">
        <v>0</v>
      </c>
      <c r="AF32" s="8">
        <v>0</v>
      </c>
      <c r="AG32" s="8">
        <v>2</v>
      </c>
      <c r="AH32" s="8">
        <v>10193900000000</v>
      </c>
      <c r="AI32" s="8">
        <v>11013000000000</v>
      </c>
      <c r="AJ32" s="8">
        <v>14381800000000</v>
      </c>
      <c r="AK32" s="8">
        <v>13777800000000</v>
      </c>
      <c r="AL32" s="8">
        <v>7969420000000</v>
      </c>
      <c r="AN32" s="8">
        <f t="shared" si="0"/>
        <v>0</v>
      </c>
      <c r="AO32" s="8">
        <f t="shared" si="1"/>
        <v>57337600000000</v>
      </c>
      <c r="AP32" s="8">
        <f t="shared" si="2"/>
        <v>57337600000000</v>
      </c>
      <c r="AQ32" s="8">
        <f t="shared" si="3"/>
        <v>57337600000000</v>
      </c>
      <c r="AR32" s="8">
        <f t="shared" si="4"/>
        <v>7969420000000</v>
      </c>
      <c r="AS32" s="8">
        <f t="shared" si="5"/>
        <v>7969420000000</v>
      </c>
      <c r="AT32" s="8">
        <f t="shared" si="6"/>
        <v>7969420000000</v>
      </c>
    </row>
    <row r="33" ht="17.25" customHeight="1" spans="1:46">
      <c r="A33" s="1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N33" s="1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N33" s="8"/>
      <c r="AO33" s="8"/>
      <c r="AP33" s="8"/>
      <c r="AQ33" s="8"/>
      <c r="AR33" s="8"/>
      <c r="AS33" s="8"/>
      <c r="AT33" s="8"/>
    </row>
    <row r="34" ht="17.25" customHeight="1" spans="1:46">
      <c r="A34" s="1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N34" s="1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N34" s="8"/>
      <c r="AO34" s="8"/>
      <c r="AP34" s="8"/>
      <c r="AQ34" s="8"/>
      <c r="AR34" s="8"/>
      <c r="AS34" s="8"/>
      <c r="AT34" s="8"/>
    </row>
    <row r="35" ht="17.25" customHeight="1" spans="1:4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N35" s="1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N35" s="8"/>
      <c r="AO35" s="8"/>
      <c r="AP35" s="8"/>
      <c r="AQ35" s="8"/>
      <c r="AR35" s="8"/>
      <c r="AS35" s="8"/>
      <c r="AT35" s="8"/>
    </row>
    <row r="36" ht="17.25" customHeight="1" spans="1:4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N36" s="1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N36" s="8"/>
      <c r="AO36" s="8"/>
      <c r="AP36" s="8"/>
      <c r="AQ36" s="8"/>
      <c r="AR36" s="8"/>
      <c r="AS36" s="8"/>
      <c r="AT36" s="8"/>
    </row>
    <row r="37" ht="17.25" customHeight="1" spans="1:4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N37" s="1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N37" s="8"/>
      <c r="AO37" s="8"/>
      <c r="AP37" s="8"/>
      <c r="AQ37" s="8"/>
      <c r="AR37" s="8"/>
      <c r="AS37" s="8"/>
      <c r="AT37" s="8"/>
    </row>
    <row r="38" ht="17.25" customHeight="1" spans="1:4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N38" s="1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N38" s="8"/>
      <c r="AO38" s="8"/>
      <c r="AP38" s="8"/>
      <c r="AQ38" s="8"/>
      <c r="AR38" s="8"/>
      <c r="AS38" s="8"/>
      <c r="AT38" s="8"/>
    </row>
    <row r="39" ht="17.25" customHeight="1" spans="1:4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N39" s="1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N39" s="8"/>
      <c r="AO39" s="8"/>
      <c r="AP39" s="8"/>
      <c r="AQ39" s="8"/>
      <c r="AR39" s="8"/>
      <c r="AS39" s="8"/>
      <c r="AT39" s="8"/>
    </row>
    <row r="40" ht="17.25" customHeight="1" spans="1:4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N40" s="1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N40" s="8"/>
      <c r="AO40" s="8"/>
      <c r="AP40" s="8"/>
      <c r="AQ40" s="8"/>
      <c r="AR40" s="8"/>
      <c r="AS40" s="8"/>
      <c r="AT40" s="8"/>
    </row>
    <row r="41" ht="17.25" customHeight="1" spans="1:4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N41" s="1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N41" s="8"/>
      <c r="AO41" s="8"/>
      <c r="AP41" s="8"/>
      <c r="AQ41" s="8"/>
      <c r="AR41" s="8"/>
      <c r="AS41" s="8"/>
      <c r="AT41" s="8"/>
    </row>
    <row r="42" ht="17.25" customHeight="1" spans="1:4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N42" s="1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N42" s="8"/>
      <c r="AO42" s="8"/>
      <c r="AP42" s="8"/>
      <c r="AQ42" s="8"/>
      <c r="AR42" s="8"/>
      <c r="AS42" s="8"/>
      <c r="AT42" s="8"/>
    </row>
    <row r="43" ht="17.25" customHeight="1" spans="1:4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N43" s="1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N43" s="8"/>
      <c r="AO43" s="8"/>
      <c r="AP43" s="8"/>
      <c r="AQ43" s="8"/>
      <c r="AR43" s="8"/>
      <c r="AS43" s="8"/>
      <c r="AT43" s="8"/>
    </row>
    <row r="44" ht="17.25" customHeight="1" spans="1:4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N44" s="1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N44" s="8"/>
      <c r="AO44" s="8"/>
      <c r="AP44" s="8"/>
      <c r="AQ44" s="8"/>
      <c r="AR44" s="8"/>
      <c r="AS44" s="8"/>
      <c r="AT44" s="8"/>
    </row>
    <row r="45" ht="17.25" customHeight="1" spans="1:4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N45" s="1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N45" s="8"/>
      <c r="AO45" s="8"/>
      <c r="AP45" s="8"/>
      <c r="AQ45" s="8"/>
      <c r="AR45" s="8"/>
      <c r="AS45" s="8"/>
      <c r="AT45" s="8"/>
    </row>
    <row r="46" ht="17.25" customHeight="1" spans="1: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N46" s="1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N46" s="8"/>
      <c r="AO46" s="8"/>
      <c r="AP46" s="8"/>
      <c r="AQ46" s="8"/>
      <c r="AR46" s="8"/>
      <c r="AS46" s="8"/>
      <c r="AT46" s="8"/>
    </row>
    <row r="47" ht="17.25" customHeight="1" spans="1:4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N47" s="1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N47" s="8"/>
      <c r="AO47" s="8"/>
      <c r="AP47" s="8"/>
      <c r="AQ47" s="8"/>
      <c r="AR47" s="8"/>
      <c r="AS47" s="8"/>
      <c r="AT47" s="8"/>
    </row>
    <row r="48" ht="17.25" customHeight="1" spans="1:4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N48" s="1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N48" s="8"/>
      <c r="AO48" s="8"/>
      <c r="AP48" s="8"/>
      <c r="AQ48" s="8"/>
      <c r="AR48" s="8"/>
      <c r="AS48" s="8"/>
      <c r="AT48" s="8"/>
    </row>
    <row r="49" ht="17.25" customHeight="1" spans="1:4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N49" s="1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N49" s="8"/>
      <c r="AO49" s="8"/>
      <c r="AP49" s="8"/>
      <c r="AQ49" s="8"/>
      <c r="AR49" s="8"/>
      <c r="AS49" s="8"/>
      <c r="AT49" s="8"/>
    </row>
    <row r="50" ht="17.25" customHeight="1" spans="1:4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N50" s="1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N50" s="8"/>
      <c r="AO50" s="8"/>
      <c r="AP50" s="8"/>
      <c r="AQ50" s="8"/>
      <c r="AR50" s="8"/>
      <c r="AS50" s="8"/>
      <c r="AT50" s="8"/>
    </row>
    <row r="51" ht="17.25" customHeight="1" spans="1:4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N51" s="1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N51" s="8"/>
      <c r="AO51" s="8"/>
      <c r="AP51" s="8"/>
      <c r="AQ51" s="8"/>
      <c r="AR51" s="8"/>
      <c r="AS51" s="8"/>
      <c r="AT51" s="8"/>
    </row>
    <row r="52" ht="17.25" customHeight="1" spans="1:4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N52" s="1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N52" s="8"/>
      <c r="AO52" s="8"/>
      <c r="AP52" s="8"/>
      <c r="AQ52" s="8"/>
      <c r="AR52" s="8"/>
      <c r="AS52" s="8"/>
      <c r="AT52" s="8"/>
    </row>
    <row r="53" ht="17.25" customHeight="1" spans="1:4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N53" s="1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N53" s="9"/>
      <c r="AO53" s="9"/>
      <c r="AP53" s="9"/>
      <c r="AQ53" s="9"/>
      <c r="AR53" s="9"/>
      <c r="AS53" s="9"/>
      <c r="AT53" s="9"/>
    </row>
    <row r="54" ht="17.25" customHeight="1" spans="1:4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N54" s="1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N54" s="9"/>
      <c r="AO54" s="9"/>
      <c r="AP54" s="9"/>
      <c r="AQ54" s="9"/>
      <c r="AR54" s="9"/>
      <c r="AS54" s="9"/>
      <c r="AT54" s="9"/>
    </row>
    <row r="55" ht="17.25" customHeight="1" spans="1:4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N55" s="1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N55" s="9"/>
      <c r="AO55" s="9"/>
      <c r="AP55" s="9"/>
      <c r="AQ55" s="9"/>
      <c r="AR55" s="9"/>
      <c r="AS55" s="9"/>
      <c r="AT55" s="9"/>
    </row>
  </sheetData>
  <mergeCells count="3">
    <mergeCell ref="A1:L1"/>
    <mergeCell ref="N1:Y1"/>
    <mergeCell ref="AA1:AL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55"/>
  <sheetViews>
    <sheetView workbookViewId="0">
      <selection activeCell="A1" sqref="A1:B1"/>
    </sheetView>
  </sheetViews>
  <sheetFormatPr defaultColWidth="8.68148148148148" defaultRowHeight="15" customHeight="1"/>
  <cols>
    <col min="1" max="1" width="12.4296296296296" style="11" customWidth="1"/>
    <col min="2" max="2" width="8.86666666666667" style="11" customWidth="1"/>
    <col min="3" max="3" width="12.4296296296296" style="1" customWidth="1"/>
    <col min="4" max="4" width="12.4296296296296" style="3" customWidth="1"/>
    <col min="5" max="5" width="8.86666666666667" style="3" customWidth="1"/>
    <col min="6" max="6" width="12.4296296296296" style="1" customWidth="1"/>
    <col min="7" max="7" width="11.0074074074074" style="11" customWidth="1"/>
    <col min="8" max="8" width="8.86666666666667" style="11" customWidth="1"/>
    <col min="9" max="11" width="12.4296296296296" style="1" customWidth="1"/>
    <col min="12" max="12" width="9.14074074074074" style="20" customWidth="1"/>
    <col min="13" max="14" width="8.86666666666667" style="11" customWidth="1"/>
    <col min="15" max="20" width="12.4296296296296" style="20" customWidth="1"/>
  </cols>
  <sheetData>
    <row r="1" ht="17.25" customHeight="1" spans="1:20">
      <c r="A1" s="16" t="s">
        <v>1</v>
      </c>
      <c r="B1" s="16"/>
      <c r="D1" s="16" t="s">
        <v>2</v>
      </c>
      <c r="E1" s="16"/>
      <c r="G1" s="16" t="s">
        <v>3</v>
      </c>
      <c r="H1" s="16"/>
      <c r="K1" s="19" t="s">
        <v>4</v>
      </c>
      <c r="L1" s="19"/>
      <c r="M1" s="9"/>
      <c r="N1" s="9"/>
      <c r="O1" s="7"/>
      <c r="P1" s="7"/>
      <c r="Q1" s="13"/>
      <c r="R1" s="13"/>
      <c r="S1" s="13"/>
      <c r="T1" s="7"/>
    </row>
    <row r="2" ht="17.25" customHeight="1" spans="1:20">
      <c r="A2" s="21">
        <v>0.000961428</v>
      </c>
      <c r="B2" s="8">
        <v>297615000</v>
      </c>
      <c r="D2" s="18">
        <v>0.000978781</v>
      </c>
      <c r="E2" s="8">
        <v>297508000</v>
      </c>
      <c r="G2" s="8">
        <v>0.000946522</v>
      </c>
      <c r="H2" s="8">
        <v>293675000</v>
      </c>
      <c r="L2" s="23" t="s">
        <v>5</v>
      </c>
      <c r="M2" s="14" t="s">
        <v>6</v>
      </c>
      <c r="N2" s="14" t="s">
        <v>7</v>
      </c>
      <c r="O2" s="15" t="s">
        <v>8</v>
      </c>
      <c r="P2" s="15" t="s">
        <v>9</v>
      </c>
      <c r="Q2" s="23" t="s">
        <v>10</v>
      </c>
      <c r="R2" s="23" t="s">
        <v>11</v>
      </c>
      <c r="S2" s="23" t="s">
        <v>12</v>
      </c>
      <c r="T2" s="15" t="s">
        <v>13</v>
      </c>
    </row>
    <row r="3" ht="17.25" customHeight="1" spans="1:20">
      <c r="A3" s="21">
        <v>0.00197879</v>
      </c>
      <c r="B3" s="8">
        <v>293360000</v>
      </c>
      <c r="D3" s="18">
        <v>0.0020169</v>
      </c>
      <c r="E3" s="8">
        <v>289740000</v>
      </c>
      <c r="G3" s="18">
        <v>0.00195901</v>
      </c>
      <c r="H3" s="8">
        <v>288650000</v>
      </c>
      <c r="K3" s="1" t="s">
        <v>14</v>
      </c>
      <c r="L3" s="7">
        <f>AVERAGE(B27:B31)/1000000</f>
        <v>242.842</v>
      </c>
      <c r="M3" s="8">
        <f>AVERAGE('400K_SR1e4'!L28:L32)</f>
        <v>4298785000000</v>
      </c>
      <c r="N3" s="8">
        <f>AVERAGE('400K_SR1e4'!C28:C32)</f>
        <v>78952675000000</v>
      </c>
      <c r="O3" s="7">
        <f>Graphs!$B$1*80.9*0.248*SQRT(M3)/1000000</f>
        <v>20.7990294176135</v>
      </c>
      <c r="P3" s="7">
        <f>Graphs!$B$2*80.9*0.248*SQRT(N3)/1000000</f>
        <v>8.91361005966895</v>
      </c>
      <c r="Q3" s="7">
        <f>SQRT(O3^2+P3^2)</f>
        <v>22.6285675421707</v>
      </c>
      <c r="R3" s="7">
        <f>L3*0.4395</f>
        <v>106.729059</v>
      </c>
      <c r="S3" s="7">
        <f>R3/Q3</f>
        <v>4.71656276081547</v>
      </c>
      <c r="T3" s="7">
        <f>M3/N3</f>
        <v>0.0544476168793521</v>
      </c>
    </row>
    <row r="4" ht="17.25" customHeight="1" spans="1:20">
      <c r="A4" s="21">
        <v>0.0029856</v>
      </c>
      <c r="B4" s="8">
        <v>270817000</v>
      </c>
      <c r="D4" s="18">
        <v>0.00306237</v>
      </c>
      <c r="E4" s="8">
        <v>268566000</v>
      </c>
      <c r="G4" s="18">
        <v>0.0030105</v>
      </c>
      <c r="H4" s="8">
        <v>263250000</v>
      </c>
      <c r="K4" s="1" t="s">
        <v>15</v>
      </c>
      <c r="L4" s="7">
        <f>AVERAGE(E28:E32)/1000000</f>
        <v>244.0168</v>
      </c>
      <c r="M4" s="8">
        <f>AVERAGE('400K_SR1e4'!Y28:Y32)</f>
        <v>5893312000000</v>
      </c>
      <c r="N4" s="8">
        <f>AVERAGE('400K_SR1e4'!P28:P32)</f>
        <v>83760920000000</v>
      </c>
      <c r="O4" s="7">
        <f>Graphs!$B$1*80.9*0.248*SQRT(M4)/1000000</f>
        <v>24.3528572863562</v>
      </c>
      <c r="P4" s="7">
        <f>Graphs!$B$2*80.9*0.248*SQRT(N4)/1000000</f>
        <v>9.18101984626124</v>
      </c>
      <c r="Q4" s="7">
        <f>SQRT(O4^2+P4^2)</f>
        <v>26.0260020638413</v>
      </c>
      <c r="R4" s="7">
        <f>L4*0.4395</f>
        <v>107.2453836</v>
      </c>
      <c r="S4" s="7">
        <f>R4/Q4</f>
        <v>4.12070141764105</v>
      </c>
      <c r="T4" s="7">
        <f>M4/N4</f>
        <v>0.0703587305392539</v>
      </c>
    </row>
    <row r="5" ht="17.25" customHeight="1" spans="1:20">
      <c r="A5" s="21">
        <v>0.0040217</v>
      </c>
      <c r="B5" s="8">
        <v>248573000</v>
      </c>
      <c r="D5" s="18">
        <v>0.00401287</v>
      </c>
      <c r="E5" s="8">
        <v>267113000</v>
      </c>
      <c r="G5" s="18">
        <v>0.00402887</v>
      </c>
      <c r="H5" s="8">
        <v>243432000</v>
      </c>
      <c r="K5" s="1" t="s">
        <v>3</v>
      </c>
      <c r="L5" s="7">
        <f>AVERAGE(H27:H31)/1000000</f>
        <v>235.3676</v>
      </c>
      <c r="M5" s="8">
        <f>AVERAGE('400K_SR1e4'!AL28:AL32)</f>
        <v>6053390000000</v>
      </c>
      <c r="N5" s="8">
        <f>AVERAGE('400K_SR1e4'!AC28:AC32)</f>
        <v>86374625000000</v>
      </c>
      <c r="O5" s="7">
        <f>Graphs!$B$1*80.9*0.248*SQRT(M5)/1000000</f>
        <v>24.6813854382836</v>
      </c>
      <c r="P5" s="7">
        <f>Graphs!$B$2*80.9*0.248*SQRT(N5)/1000000</f>
        <v>9.32316336510604</v>
      </c>
      <c r="Q5" s="7">
        <f>SQRT(O5^2+P5^2)</f>
        <v>26.383558559936</v>
      </c>
      <c r="R5" s="7">
        <f>L5*0.4395</f>
        <v>103.4440602</v>
      </c>
      <c r="S5" s="7">
        <f>R5/Q5</f>
        <v>3.92077740252529</v>
      </c>
      <c r="T5" s="7">
        <f>M5/N5</f>
        <v>0.0700829670751103</v>
      </c>
    </row>
    <row r="6" ht="17.25" customHeight="1" spans="1:20">
      <c r="A6" s="21">
        <v>0.00501896</v>
      </c>
      <c r="B6" s="8">
        <v>258475000</v>
      </c>
      <c r="D6" s="18">
        <v>0.0049895</v>
      </c>
      <c r="E6" s="8">
        <v>260332000</v>
      </c>
      <c r="G6" s="18">
        <v>0.00500115</v>
      </c>
      <c r="H6" s="8">
        <v>238593000</v>
      </c>
      <c r="L6" s="13"/>
      <c r="M6" s="9"/>
      <c r="N6" s="9"/>
      <c r="O6" s="13"/>
      <c r="P6" s="13"/>
      <c r="Q6" s="13"/>
      <c r="R6" s="13"/>
      <c r="S6" s="13"/>
      <c r="T6" s="13"/>
    </row>
    <row r="7" ht="17.25" customHeight="1" spans="1:20">
      <c r="A7" s="21">
        <v>0.00600786</v>
      </c>
      <c r="B7" s="8">
        <v>259737000</v>
      </c>
      <c r="D7" s="18">
        <v>0.00599212</v>
      </c>
      <c r="E7" s="8">
        <v>257539000</v>
      </c>
      <c r="G7" s="18">
        <v>0.00598643</v>
      </c>
      <c r="H7" s="8">
        <v>248724000</v>
      </c>
      <c r="L7" s="13"/>
      <c r="M7" s="9"/>
      <c r="N7" s="9"/>
      <c r="O7" s="13"/>
      <c r="P7" s="13"/>
      <c r="Q7" s="13"/>
      <c r="R7" s="13"/>
      <c r="S7" s="13"/>
      <c r="T7" s="13"/>
    </row>
    <row r="8" ht="17.25" customHeight="1" spans="1:20">
      <c r="A8" s="21">
        <v>0.00701564</v>
      </c>
      <c r="B8" s="8">
        <v>243262000</v>
      </c>
      <c r="D8" s="18">
        <v>0.00701721</v>
      </c>
      <c r="E8" s="8">
        <v>241310000</v>
      </c>
      <c r="G8" s="18">
        <v>0.0070246</v>
      </c>
      <c r="H8" s="8">
        <v>243077000</v>
      </c>
      <c r="L8" s="13"/>
      <c r="M8" s="9"/>
      <c r="N8" s="9"/>
      <c r="O8" s="13"/>
      <c r="P8" s="13"/>
      <c r="Q8" s="13"/>
      <c r="R8" s="13"/>
      <c r="S8" s="13"/>
      <c r="T8" s="13"/>
    </row>
    <row r="9" ht="17.25" customHeight="1" spans="1:20">
      <c r="A9" s="21">
        <v>0.0079717</v>
      </c>
      <c r="B9" s="8">
        <v>235536000</v>
      </c>
      <c r="D9" s="18">
        <v>0.00802938</v>
      </c>
      <c r="E9" s="8">
        <v>235785000</v>
      </c>
      <c r="G9" s="18">
        <v>0.00801348</v>
      </c>
      <c r="H9" s="8">
        <v>240348000</v>
      </c>
      <c r="K9" s="1" t="s">
        <v>14</v>
      </c>
      <c r="L9" s="7">
        <f>AVERAGE(B12:B16)/1000000</f>
        <v>243.199</v>
      </c>
      <c r="M9" s="8">
        <f>AVERAGE('400K_SR1e4'!L12:L16)</f>
        <v>3041830000000</v>
      </c>
      <c r="N9" s="8">
        <f>AVERAGE('400K_SR1e4'!C12:C16)</f>
        <v>70358500000000</v>
      </c>
      <c r="O9" s="7">
        <f>Graphs!$B$1*80.9*0.248*SQRT(M9)/1000000</f>
        <v>17.4959559330082</v>
      </c>
      <c r="P9" s="7">
        <f>Graphs!$B$2*80.9*0.248*SQRT(N9)/1000000</f>
        <v>8.41450344891709</v>
      </c>
      <c r="Q9" s="7">
        <f>SQRT(O9^2+P9^2)</f>
        <v>19.4142304071421</v>
      </c>
      <c r="R9" s="7">
        <f>L9*0.4395</f>
        <v>106.8859605</v>
      </c>
      <c r="S9" s="7">
        <f>R9/Q9</f>
        <v>5.5055471300412</v>
      </c>
      <c r="T9" s="7">
        <f>M9/N9</f>
        <v>0.0432332980379059</v>
      </c>
    </row>
    <row r="10" ht="17.25" customHeight="1" spans="1:20">
      <c r="A10" s="21">
        <v>0.00896568</v>
      </c>
      <c r="B10" s="8">
        <v>243701000</v>
      </c>
      <c r="D10" s="18">
        <v>0.00899431</v>
      </c>
      <c r="E10" s="8">
        <v>236535000</v>
      </c>
      <c r="G10" s="18">
        <v>0.00904093</v>
      </c>
      <c r="H10" s="8">
        <v>238786000</v>
      </c>
      <c r="K10" s="1" t="s">
        <v>15</v>
      </c>
      <c r="L10" s="7">
        <f>AVERAGE(E12:E16)/1000000</f>
        <v>241.7604</v>
      </c>
      <c r="M10" s="8">
        <f>AVERAGE('400K_SR1e4'!Y12:Y16)</f>
        <v>3263398000000</v>
      </c>
      <c r="N10" s="8">
        <f>AVERAGE('400K_SR1e4'!P12:P16)</f>
        <v>71139400000000</v>
      </c>
      <c r="O10" s="7">
        <f>Graphs!$B$1*80.9*0.248*SQRT(M10)/1000000</f>
        <v>18.1219625381664</v>
      </c>
      <c r="P10" s="7">
        <f>Graphs!$B$2*80.9*0.248*SQRT(N10)/1000000</f>
        <v>8.46107034467819</v>
      </c>
      <c r="Q10" s="7">
        <f>SQRT(O10^2+P10^2)</f>
        <v>19.9998809399531</v>
      </c>
      <c r="R10" s="7">
        <f>L10*0.4395</f>
        <v>106.2536958</v>
      </c>
      <c r="S10" s="7">
        <f>R10/Q10</f>
        <v>5.31271641661328</v>
      </c>
      <c r="T10" s="7">
        <f>M10/N10</f>
        <v>0.0458732854086484</v>
      </c>
    </row>
    <row r="11" ht="17.25" customHeight="1" spans="1:20">
      <c r="A11" s="21">
        <v>0.0100662</v>
      </c>
      <c r="B11" s="8">
        <v>246270000</v>
      </c>
      <c r="D11" s="18">
        <v>0.00996707</v>
      </c>
      <c r="E11" s="8">
        <v>248510000</v>
      </c>
      <c r="G11" s="18">
        <v>0.0100069</v>
      </c>
      <c r="H11" s="8">
        <v>244496000</v>
      </c>
      <c r="K11" s="1" t="s">
        <v>3</v>
      </c>
      <c r="L11" s="7">
        <f>AVERAGE(H13:H17)/1000000</f>
        <v>237.5146</v>
      </c>
      <c r="M11" s="8">
        <f>AVERAGE('400K_SR1e4'!AL12:AL16)</f>
        <v>4194138000000</v>
      </c>
      <c r="N11" s="8">
        <f>AVERAGE('400K_SR1e4'!AC12:AC16)</f>
        <v>81286700000000</v>
      </c>
      <c r="O11" s="7">
        <f>Graphs!$B$1*80.9*0.248*SQRT(M11)/1000000</f>
        <v>20.5443102418758</v>
      </c>
      <c r="P11" s="7">
        <f>Graphs!$B$2*80.9*0.248*SQRT(N11)/1000000</f>
        <v>9.04440399586792</v>
      </c>
      <c r="Q11" s="7">
        <f>SQRT(O11^2+P11^2)</f>
        <v>22.4470471767427</v>
      </c>
      <c r="R11" s="7">
        <f>L11*0.4395</f>
        <v>104.3876667</v>
      </c>
      <c r="S11" s="7">
        <f>R11/Q11</f>
        <v>4.65039636964614</v>
      </c>
      <c r="T11" s="7">
        <f>M11/N11</f>
        <v>0.0515968540979029</v>
      </c>
    </row>
    <row r="12" ht="17.25" customHeight="1" spans="1:20">
      <c r="A12" s="21">
        <v>0.0110177</v>
      </c>
      <c r="B12" s="8">
        <v>242741000</v>
      </c>
      <c r="D12" s="18">
        <v>0.010985</v>
      </c>
      <c r="E12" s="8">
        <v>247536000</v>
      </c>
      <c r="G12" s="18">
        <v>0.0110519</v>
      </c>
      <c r="H12" s="8">
        <v>246549000</v>
      </c>
      <c r="L12" s="13"/>
      <c r="M12" s="9"/>
      <c r="N12" s="9"/>
      <c r="O12" s="13"/>
      <c r="P12" s="13"/>
      <c r="Q12" s="13"/>
      <c r="R12" s="13"/>
      <c r="S12" s="13"/>
      <c r="T12" s="13"/>
    </row>
    <row r="13" ht="17.25" customHeight="1" spans="1:20">
      <c r="A13" s="21">
        <v>0.0119777</v>
      </c>
      <c r="B13" s="8">
        <v>247326000</v>
      </c>
      <c r="D13" s="18">
        <v>0.0119994</v>
      </c>
      <c r="E13" s="8">
        <v>244581000</v>
      </c>
      <c r="G13" s="18">
        <v>0.0120312</v>
      </c>
      <c r="H13" s="8">
        <v>236618000</v>
      </c>
      <c r="L13" s="13"/>
      <c r="M13" s="9"/>
      <c r="N13" s="9"/>
      <c r="O13" s="13"/>
      <c r="P13" s="13"/>
      <c r="Q13" s="13"/>
      <c r="R13" s="13"/>
      <c r="S13" s="13"/>
      <c r="T13" s="13"/>
    </row>
    <row r="14" ht="17.25" customHeight="1" spans="1:20">
      <c r="A14" s="21">
        <v>0.0130337</v>
      </c>
      <c r="B14" s="8">
        <v>241249000</v>
      </c>
      <c r="D14" s="18">
        <v>0.0130508</v>
      </c>
      <c r="E14" s="8">
        <v>240522000</v>
      </c>
      <c r="G14" s="18">
        <v>0.0130173</v>
      </c>
      <c r="H14" s="8">
        <v>228877000</v>
      </c>
      <c r="L14" s="13"/>
      <c r="M14" s="9"/>
      <c r="N14" s="9"/>
      <c r="O14" s="13"/>
      <c r="P14" s="13"/>
      <c r="Q14" s="13"/>
      <c r="R14" s="13"/>
      <c r="S14" s="13"/>
      <c r="T14" s="13"/>
    </row>
    <row r="15" ht="17.25" customHeight="1" spans="1:20">
      <c r="A15" s="21">
        <v>0.0139843</v>
      </c>
      <c r="B15" s="8">
        <v>246352000</v>
      </c>
      <c r="D15" s="18">
        <v>0.013985</v>
      </c>
      <c r="E15" s="8">
        <v>238499000</v>
      </c>
      <c r="G15" s="18">
        <v>0.014003</v>
      </c>
      <c r="H15" s="8">
        <v>242878000</v>
      </c>
      <c r="L15" s="13"/>
      <c r="M15" s="9"/>
      <c r="N15" s="9"/>
      <c r="O15" s="13"/>
      <c r="P15" s="13"/>
      <c r="Q15" s="13"/>
      <c r="R15" s="13"/>
      <c r="S15" s="13"/>
      <c r="T15" s="13"/>
    </row>
    <row r="16" ht="17.25" customHeight="1" spans="1:20">
      <c r="A16" s="21">
        <v>0.014958</v>
      </c>
      <c r="B16" s="8">
        <v>238327000</v>
      </c>
      <c r="D16" s="18">
        <v>0.0150039</v>
      </c>
      <c r="E16" s="8">
        <v>237664000</v>
      </c>
      <c r="G16" s="18">
        <v>0.0150174</v>
      </c>
      <c r="H16" s="8">
        <v>242358000</v>
      </c>
      <c r="L16" s="13"/>
      <c r="M16" s="9"/>
      <c r="N16" s="9"/>
      <c r="O16" s="13"/>
      <c r="P16" s="13"/>
      <c r="Q16" s="13"/>
      <c r="R16" s="13"/>
      <c r="S16" s="13"/>
      <c r="T16" s="13"/>
    </row>
    <row r="17" ht="17.25" customHeight="1" spans="1:20">
      <c r="A17" s="21">
        <v>0.0159657</v>
      </c>
      <c r="B17" s="8">
        <v>238916000</v>
      </c>
      <c r="D17" s="18">
        <v>0.0160319</v>
      </c>
      <c r="E17" s="8">
        <v>249307000</v>
      </c>
      <c r="G17" s="18">
        <v>0.0159718</v>
      </c>
      <c r="H17" s="8">
        <v>236842000</v>
      </c>
      <c r="L17" s="13"/>
      <c r="M17" s="9"/>
      <c r="N17" s="9"/>
      <c r="O17" s="13"/>
      <c r="P17" s="13"/>
      <c r="Q17" s="13"/>
      <c r="R17" s="13"/>
      <c r="S17" s="13"/>
      <c r="T17" s="13"/>
    </row>
    <row r="18" ht="17.25" customHeight="1" spans="1:20">
      <c r="A18" s="21">
        <v>0.0169862</v>
      </c>
      <c r="B18" s="8">
        <v>229034000</v>
      </c>
      <c r="D18" s="18">
        <v>0.0170604</v>
      </c>
      <c r="E18" s="8">
        <v>250872000</v>
      </c>
      <c r="G18" s="18">
        <v>0.0170214</v>
      </c>
      <c r="H18" s="8">
        <v>239481000</v>
      </c>
      <c r="L18" s="13"/>
      <c r="M18" s="9"/>
      <c r="N18" s="9"/>
      <c r="O18" s="13"/>
      <c r="P18" s="13"/>
      <c r="Q18" s="13"/>
      <c r="R18" s="13"/>
      <c r="S18" s="13"/>
      <c r="T18" s="13"/>
    </row>
    <row r="19" ht="17.25" customHeight="1" spans="1:20">
      <c r="A19" s="21">
        <v>0.0179816</v>
      </c>
      <c r="B19" s="8">
        <v>244942000</v>
      </c>
      <c r="D19" s="18">
        <v>0.018023</v>
      </c>
      <c r="E19" s="8">
        <v>253546000</v>
      </c>
      <c r="G19" s="18">
        <v>0.0180214</v>
      </c>
      <c r="H19" s="8">
        <v>233182000</v>
      </c>
      <c r="L19" s="13"/>
      <c r="M19" s="9"/>
      <c r="N19" s="9"/>
      <c r="O19" s="13"/>
      <c r="P19" s="13"/>
      <c r="Q19" s="13"/>
      <c r="R19" s="13"/>
      <c r="S19" s="13"/>
      <c r="T19" s="13"/>
    </row>
    <row r="20" ht="17.25" customHeight="1" spans="1:20">
      <c r="A20" s="21">
        <v>0.0190311</v>
      </c>
      <c r="B20" s="8">
        <v>243496000</v>
      </c>
      <c r="D20" s="18">
        <v>0.0190245</v>
      </c>
      <c r="E20" s="8">
        <v>239709000</v>
      </c>
      <c r="G20" s="18">
        <v>0.0189707</v>
      </c>
      <c r="H20" s="8">
        <v>236000000</v>
      </c>
      <c r="L20" s="13"/>
      <c r="M20" s="9"/>
      <c r="N20" s="9"/>
      <c r="O20" s="13"/>
      <c r="P20" s="13"/>
      <c r="Q20" s="13"/>
      <c r="R20" s="13"/>
      <c r="S20" s="13"/>
      <c r="T20" s="13"/>
    </row>
    <row r="21" ht="17.25" customHeight="1" spans="1:20">
      <c r="A21" s="21">
        <v>0.0200388</v>
      </c>
      <c r="B21" s="8">
        <v>241171000</v>
      </c>
      <c r="D21" s="18">
        <v>0.020046</v>
      </c>
      <c r="E21" s="8">
        <v>226939000</v>
      </c>
      <c r="G21" s="18">
        <v>0.0199824</v>
      </c>
      <c r="H21" s="8">
        <v>247667000</v>
      </c>
      <c r="L21" s="13"/>
      <c r="M21" s="9"/>
      <c r="N21" s="9"/>
      <c r="O21" s="13"/>
      <c r="P21" s="13"/>
      <c r="Q21" s="13"/>
      <c r="R21" s="13"/>
      <c r="S21" s="13"/>
      <c r="T21" s="13"/>
    </row>
    <row r="22" ht="17.25" customHeight="1" spans="1:20">
      <c r="A22" s="21">
        <v>0.0210071</v>
      </c>
      <c r="B22" s="8">
        <v>233179000</v>
      </c>
      <c r="D22" s="18">
        <v>0.0209945</v>
      </c>
      <c r="E22" s="8">
        <v>243088000</v>
      </c>
      <c r="G22" s="18">
        <v>0.0209949</v>
      </c>
      <c r="H22" s="8">
        <v>243026000</v>
      </c>
      <c r="L22" s="13"/>
      <c r="M22" s="9"/>
      <c r="N22" s="9"/>
      <c r="O22" s="13"/>
      <c r="P22" s="13"/>
      <c r="Q22" s="13"/>
      <c r="R22" s="13"/>
      <c r="S22" s="13"/>
      <c r="T22" s="13"/>
    </row>
    <row r="23" ht="17.25" customHeight="1" spans="1:20">
      <c r="A23" s="21">
        <v>0.0219919</v>
      </c>
      <c r="B23" s="8">
        <v>251392000</v>
      </c>
      <c r="D23" s="18">
        <v>0.0220655</v>
      </c>
      <c r="E23" s="8">
        <v>235498000</v>
      </c>
      <c r="G23" s="18">
        <v>0.0219581</v>
      </c>
      <c r="H23" s="8">
        <v>241524000</v>
      </c>
      <c r="L23" s="13"/>
      <c r="M23" s="9"/>
      <c r="N23" s="9"/>
      <c r="O23" s="13"/>
      <c r="P23" s="13"/>
      <c r="Q23" s="13"/>
      <c r="R23" s="13"/>
      <c r="S23" s="13"/>
      <c r="T23" s="13"/>
    </row>
    <row r="24" ht="17.25" customHeight="1" spans="1:20">
      <c r="A24" s="21">
        <v>0.023031</v>
      </c>
      <c r="B24" s="8">
        <v>251092000</v>
      </c>
      <c r="D24" s="18">
        <v>0.0230311</v>
      </c>
      <c r="E24" s="8">
        <v>236057000</v>
      </c>
      <c r="G24" s="18">
        <v>0.0229693</v>
      </c>
      <c r="H24" s="8">
        <v>240933000</v>
      </c>
      <c r="L24" s="13"/>
      <c r="M24" s="9"/>
      <c r="N24" s="9"/>
      <c r="O24" s="13"/>
      <c r="P24" s="13"/>
      <c r="Q24" s="13"/>
      <c r="R24" s="13"/>
      <c r="S24" s="13"/>
      <c r="T24" s="13"/>
    </row>
    <row r="25" ht="17.25" customHeight="1" spans="1:20">
      <c r="A25" s="21">
        <v>0.0240038</v>
      </c>
      <c r="B25" s="8">
        <v>237209000</v>
      </c>
      <c r="D25" s="18">
        <v>0.0240047</v>
      </c>
      <c r="E25" s="8">
        <v>245400000</v>
      </c>
      <c r="G25" s="18">
        <v>0.0239916</v>
      </c>
      <c r="H25" s="8">
        <v>240940000</v>
      </c>
      <c r="L25" s="13"/>
      <c r="M25" s="9"/>
      <c r="N25" s="9"/>
      <c r="O25" s="13"/>
      <c r="P25" s="13"/>
      <c r="Q25" s="13"/>
      <c r="R25" s="13"/>
      <c r="S25" s="13"/>
      <c r="T25" s="13"/>
    </row>
    <row r="26" ht="17.25" customHeight="1" spans="1:20">
      <c r="A26" s="21">
        <v>0.0249717</v>
      </c>
      <c r="B26" s="8">
        <v>241254000</v>
      </c>
      <c r="D26" s="18">
        <v>0.0249807</v>
      </c>
      <c r="E26" s="8">
        <v>240575000</v>
      </c>
      <c r="G26" s="18">
        <v>0.0250279</v>
      </c>
      <c r="H26" s="8">
        <v>237882000</v>
      </c>
      <c r="L26" s="13"/>
      <c r="M26" s="9"/>
      <c r="N26" s="9"/>
      <c r="O26" s="13"/>
      <c r="P26" s="13"/>
      <c r="Q26" s="13"/>
      <c r="R26" s="13"/>
      <c r="S26" s="13"/>
      <c r="T26" s="13"/>
    </row>
    <row r="27" ht="17.25" customHeight="1" spans="1:20">
      <c r="A27" s="21">
        <v>0.0259966</v>
      </c>
      <c r="B27" s="8">
        <v>240405000</v>
      </c>
      <c r="D27" s="18">
        <v>0.0259889</v>
      </c>
      <c r="E27" s="8">
        <v>237687000</v>
      </c>
      <c r="G27" s="18">
        <v>0.0260715</v>
      </c>
      <c r="H27" s="8">
        <v>229642000</v>
      </c>
      <c r="L27" s="13"/>
      <c r="M27" s="9"/>
      <c r="N27" s="9"/>
      <c r="O27" s="13"/>
      <c r="P27" s="13"/>
      <c r="Q27" s="13"/>
      <c r="R27" s="13"/>
      <c r="S27" s="13"/>
      <c r="T27" s="13"/>
    </row>
    <row r="28" ht="17.25" customHeight="1" spans="1:20">
      <c r="A28" s="21">
        <v>0.0270438</v>
      </c>
      <c r="B28" s="8">
        <v>245425000</v>
      </c>
      <c r="D28" s="18">
        <v>0.0269924</v>
      </c>
      <c r="E28" s="8">
        <v>245670000</v>
      </c>
      <c r="G28" s="18">
        <v>0.0270388</v>
      </c>
      <c r="H28" s="8">
        <v>232335000</v>
      </c>
      <c r="L28" s="13"/>
      <c r="M28" s="9"/>
      <c r="N28" s="9"/>
      <c r="O28" s="13"/>
      <c r="P28" s="13"/>
      <c r="Q28" s="13"/>
      <c r="R28" s="13"/>
      <c r="S28" s="13"/>
      <c r="T28" s="13"/>
    </row>
    <row r="29" ht="17.25" customHeight="1" spans="1:20">
      <c r="A29" s="21">
        <v>0.0279699</v>
      </c>
      <c r="B29" s="8">
        <v>250292000</v>
      </c>
      <c r="D29" s="18">
        <v>0.0279601</v>
      </c>
      <c r="E29" s="8">
        <v>255404000</v>
      </c>
      <c r="G29" s="18">
        <v>0.0280232</v>
      </c>
      <c r="H29" s="8">
        <v>240639000</v>
      </c>
      <c r="L29" s="13"/>
      <c r="M29" s="9"/>
      <c r="N29" s="9"/>
      <c r="O29" s="13"/>
      <c r="P29" s="13"/>
      <c r="Q29" s="13"/>
      <c r="R29" s="13"/>
      <c r="S29" s="13"/>
      <c r="T29" s="13"/>
    </row>
    <row r="30" ht="17.25" customHeight="1" spans="1:20">
      <c r="A30" s="21">
        <v>0.0289961</v>
      </c>
      <c r="B30" s="8">
        <v>241733000</v>
      </c>
      <c r="D30" s="18">
        <v>0.0289875</v>
      </c>
      <c r="E30" s="8">
        <v>244800000</v>
      </c>
      <c r="G30" s="18">
        <v>0.0290058</v>
      </c>
      <c r="H30" s="8">
        <v>244015000</v>
      </c>
      <c r="L30" s="13"/>
      <c r="M30" s="9"/>
      <c r="N30" s="9"/>
      <c r="O30" s="13"/>
      <c r="P30" s="13"/>
      <c r="Q30" s="13"/>
      <c r="R30" s="13"/>
      <c r="S30" s="13"/>
      <c r="T30" s="13"/>
    </row>
    <row r="31" ht="17.25" customHeight="1" spans="1:20">
      <c r="A31" s="21">
        <v>0.0300293</v>
      </c>
      <c r="B31" s="8">
        <v>236355000</v>
      </c>
      <c r="D31" s="18">
        <v>0.0299898</v>
      </c>
      <c r="E31" s="8">
        <v>235547000</v>
      </c>
      <c r="G31" s="18">
        <v>0.0300149</v>
      </c>
      <c r="H31" s="8">
        <v>230207000</v>
      </c>
      <c r="L31" s="13"/>
      <c r="M31" s="9"/>
      <c r="N31" s="9"/>
      <c r="O31" s="13"/>
      <c r="P31" s="13"/>
      <c r="Q31" s="13"/>
      <c r="R31" s="13"/>
      <c r="S31" s="13"/>
      <c r="T31" s="13"/>
    </row>
    <row r="32" ht="17.25" customHeight="1" spans="1:20">
      <c r="A32" s="21">
        <v>0.0309655</v>
      </c>
      <c r="B32" s="8">
        <v>233177000</v>
      </c>
      <c r="D32" s="18">
        <v>0.0309618</v>
      </c>
      <c r="E32" s="8">
        <v>238663000</v>
      </c>
      <c r="G32" s="18"/>
      <c r="H32" s="9"/>
      <c r="L32" s="13"/>
      <c r="M32" s="9"/>
      <c r="N32" s="9"/>
      <c r="O32" s="13"/>
      <c r="P32" s="13"/>
      <c r="Q32" s="13"/>
      <c r="R32" s="13"/>
      <c r="S32" s="13"/>
      <c r="T32" s="13"/>
    </row>
    <row r="33" ht="17.25" customHeight="1" spans="1:20">
      <c r="A33" s="21"/>
      <c r="B33" s="8"/>
      <c r="D33" s="18"/>
      <c r="E33" s="8"/>
      <c r="G33" s="18"/>
      <c r="H33" s="8"/>
      <c r="L33" s="13"/>
      <c r="M33" s="9"/>
      <c r="N33" s="9"/>
      <c r="O33" s="13"/>
      <c r="P33" s="13"/>
      <c r="Q33" s="13"/>
      <c r="R33" s="13"/>
      <c r="S33" s="13"/>
      <c r="T33" s="13"/>
    </row>
    <row r="34" ht="17.25" customHeight="1" spans="1:20">
      <c r="A34" s="21"/>
      <c r="B34" s="8"/>
      <c r="D34" s="18"/>
      <c r="E34" s="8"/>
      <c r="G34" s="18"/>
      <c r="H34" s="8"/>
      <c r="L34" s="13"/>
      <c r="M34" s="9"/>
      <c r="N34" s="9"/>
      <c r="O34" s="13"/>
      <c r="P34" s="13"/>
      <c r="Q34" s="13"/>
      <c r="R34" s="13"/>
      <c r="S34" s="13"/>
      <c r="T34" s="13"/>
    </row>
    <row r="35" ht="17.25" customHeight="1" spans="1:20">
      <c r="A35" s="21"/>
      <c r="B35" s="8"/>
      <c r="D35" s="18"/>
      <c r="E35" s="8"/>
      <c r="G35" s="18"/>
      <c r="H35" s="8"/>
      <c r="L35" s="13"/>
      <c r="M35" s="9"/>
      <c r="N35" s="9"/>
      <c r="O35" s="13"/>
      <c r="P35" s="13"/>
      <c r="Q35" s="13"/>
      <c r="R35" s="13"/>
      <c r="S35" s="13"/>
      <c r="T35" s="13"/>
    </row>
    <row r="36" ht="17.25" customHeight="1" spans="1:20">
      <c r="A36" s="21"/>
      <c r="B36" s="8"/>
      <c r="D36" s="18"/>
      <c r="E36" s="8"/>
      <c r="G36" s="18"/>
      <c r="H36" s="8"/>
      <c r="L36" s="13"/>
      <c r="M36" s="9"/>
      <c r="N36" s="9"/>
      <c r="O36" s="13"/>
      <c r="P36" s="13"/>
      <c r="Q36" s="13"/>
      <c r="R36" s="13"/>
      <c r="S36" s="13"/>
      <c r="T36" s="13"/>
    </row>
    <row r="37" ht="17.25" customHeight="1" spans="1:20">
      <c r="A37" s="21"/>
      <c r="B37" s="8"/>
      <c r="D37" s="18"/>
      <c r="E37" s="8"/>
      <c r="G37" s="18"/>
      <c r="H37" s="8"/>
      <c r="L37" s="13"/>
      <c r="M37" s="9"/>
      <c r="N37" s="9"/>
      <c r="O37" s="13"/>
      <c r="P37" s="13"/>
      <c r="Q37" s="13"/>
      <c r="R37" s="13"/>
      <c r="S37" s="13"/>
      <c r="T37" s="13"/>
    </row>
    <row r="38" ht="17.25" customHeight="1" spans="1:20">
      <c r="A38" s="21"/>
      <c r="B38" s="8"/>
      <c r="D38" s="18"/>
      <c r="E38" s="8"/>
      <c r="G38" s="18"/>
      <c r="H38" s="8"/>
      <c r="L38" s="13"/>
      <c r="M38" s="9"/>
      <c r="N38" s="9"/>
      <c r="O38" s="13"/>
      <c r="P38" s="13"/>
      <c r="Q38" s="13"/>
      <c r="R38" s="13"/>
      <c r="S38" s="13"/>
      <c r="T38" s="13"/>
    </row>
    <row r="39" ht="17.25" customHeight="1" spans="1:20">
      <c r="A39" s="21"/>
      <c r="B39" s="8"/>
      <c r="D39" s="18"/>
      <c r="E39" s="8"/>
      <c r="G39" s="18"/>
      <c r="H39" s="8"/>
      <c r="L39" s="13"/>
      <c r="M39" s="9"/>
      <c r="N39" s="9"/>
      <c r="O39" s="13"/>
      <c r="P39" s="13"/>
      <c r="Q39" s="13"/>
      <c r="R39" s="13"/>
      <c r="S39" s="13"/>
      <c r="T39" s="13"/>
    </row>
    <row r="40" ht="17.25" customHeight="1" spans="1:20">
      <c r="A40" s="21"/>
      <c r="B40" s="8"/>
      <c r="D40" s="18"/>
      <c r="E40" s="8"/>
      <c r="G40" s="18"/>
      <c r="H40" s="8"/>
      <c r="L40" s="13"/>
      <c r="M40" s="9"/>
      <c r="N40" s="9"/>
      <c r="O40" s="13"/>
      <c r="P40" s="13"/>
      <c r="Q40" s="13"/>
      <c r="R40" s="13"/>
      <c r="S40" s="13"/>
      <c r="T40" s="13"/>
    </row>
    <row r="41" ht="17.25" customHeight="1" spans="1:20">
      <c r="A41" s="21"/>
      <c r="B41" s="8"/>
      <c r="D41" s="18"/>
      <c r="E41" s="8"/>
      <c r="G41" s="18"/>
      <c r="H41" s="8"/>
      <c r="L41" s="13"/>
      <c r="M41" s="9"/>
      <c r="N41" s="9"/>
      <c r="O41" s="13"/>
      <c r="P41" s="13"/>
      <c r="Q41" s="13"/>
      <c r="R41" s="13"/>
      <c r="S41" s="13"/>
      <c r="T41" s="13"/>
    </row>
    <row r="42" ht="17.25" customHeight="1" spans="1:20">
      <c r="A42" s="21"/>
      <c r="B42" s="8"/>
      <c r="D42" s="18"/>
      <c r="E42" s="8"/>
      <c r="G42" s="18"/>
      <c r="H42" s="8"/>
      <c r="L42" s="13"/>
      <c r="M42" s="9"/>
      <c r="N42" s="9"/>
      <c r="O42" s="13"/>
      <c r="P42" s="13"/>
      <c r="Q42" s="13"/>
      <c r="R42" s="13"/>
      <c r="S42" s="13"/>
      <c r="T42" s="13"/>
    </row>
    <row r="43" ht="17.25" customHeight="1" spans="1:20">
      <c r="A43" s="21"/>
      <c r="B43" s="8"/>
      <c r="D43" s="18"/>
      <c r="E43" s="8"/>
      <c r="G43" s="18"/>
      <c r="H43" s="8"/>
      <c r="L43" s="13"/>
      <c r="M43" s="9"/>
      <c r="N43" s="9"/>
      <c r="O43" s="13"/>
      <c r="P43" s="13"/>
      <c r="Q43" s="13"/>
      <c r="R43" s="13"/>
      <c r="S43" s="13"/>
      <c r="T43" s="13"/>
    </row>
    <row r="44" ht="17.25" customHeight="1" spans="1:20">
      <c r="A44" s="21"/>
      <c r="B44" s="8"/>
      <c r="D44" s="18"/>
      <c r="E44" s="8"/>
      <c r="G44" s="18"/>
      <c r="H44" s="8"/>
      <c r="L44" s="13"/>
      <c r="M44" s="9"/>
      <c r="N44" s="9"/>
      <c r="O44" s="13"/>
      <c r="P44" s="13"/>
      <c r="Q44" s="13"/>
      <c r="R44" s="13"/>
      <c r="S44" s="13"/>
      <c r="T44" s="13"/>
    </row>
    <row r="45" ht="17.25" customHeight="1" spans="1:20">
      <c r="A45" s="22"/>
      <c r="B45" s="8"/>
      <c r="D45" s="18"/>
      <c r="E45" s="8"/>
      <c r="G45" s="18"/>
      <c r="H45" s="8"/>
      <c r="L45" s="13"/>
      <c r="M45" s="9"/>
      <c r="N45" s="9"/>
      <c r="O45" s="13"/>
      <c r="P45" s="13"/>
      <c r="Q45" s="13"/>
      <c r="R45" s="13"/>
      <c r="S45" s="13"/>
      <c r="T45" s="13"/>
    </row>
    <row r="46" ht="17.25" customHeight="1" spans="1:20">
      <c r="A46" s="22"/>
      <c r="B46" s="8"/>
      <c r="D46" s="18"/>
      <c r="E46" s="8"/>
      <c r="G46" s="18"/>
      <c r="H46" s="8"/>
      <c r="L46" s="13"/>
      <c r="M46" s="9"/>
      <c r="N46" s="9"/>
      <c r="O46" s="13"/>
      <c r="P46" s="13"/>
      <c r="Q46" s="13"/>
      <c r="R46" s="13"/>
      <c r="S46" s="13"/>
      <c r="T46" s="13"/>
    </row>
    <row r="47" ht="17.25" customHeight="1" spans="1:20">
      <c r="A47" s="22"/>
      <c r="B47" s="8"/>
      <c r="D47" s="18"/>
      <c r="E47" s="8"/>
      <c r="G47" s="18"/>
      <c r="H47" s="8"/>
      <c r="L47" s="13"/>
      <c r="M47" s="9"/>
      <c r="N47" s="9"/>
      <c r="O47" s="13"/>
      <c r="P47" s="13"/>
      <c r="Q47" s="13"/>
      <c r="R47" s="13"/>
      <c r="S47" s="13"/>
      <c r="T47" s="13"/>
    </row>
    <row r="48" ht="17.25" customHeight="1" spans="1:20">
      <c r="A48" s="22"/>
      <c r="B48" s="8"/>
      <c r="D48" s="18"/>
      <c r="E48" s="8"/>
      <c r="G48" s="18"/>
      <c r="H48" s="8"/>
      <c r="L48" s="13"/>
      <c r="M48" s="9"/>
      <c r="N48" s="9"/>
      <c r="O48" s="13"/>
      <c r="P48" s="13"/>
      <c r="Q48" s="13"/>
      <c r="R48" s="13"/>
      <c r="S48" s="13"/>
      <c r="T48" s="13"/>
    </row>
    <row r="49" ht="17.25" customHeight="1" spans="1:20">
      <c r="A49" s="22"/>
      <c r="B49" s="8"/>
      <c r="D49" s="18"/>
      <c r="E49" s="8"/>
      <c r="G49" s="18"/>
      <c r="H49" s="8"/>
      <c r="L49" s="13"/>
      <c r="M49" s="9"/>
      <c r="N49" s="9"/>
      <c r="O49" s="13"/>
      <c r="P49" s="13"/>
      <c r="Q49" s="13"/>
      <c r="R49" s="13"/>
      <c r="S49" s="13"/>
      <c r="T49" s="13"/>
    </row>
    <row r="50" ht="17.25" customHeight="1" spans="1:20">
      <c r="A50" s="22"/>
      <c r="B50" s="8"/>
      <c r="D50" s="18"/>
      <c r="E50" s="8"/>
      <c r="G50" s="18"/>
      <c r="H50" s="8"/>
      <c r="L50" s="13"/>
      <c r="M50" s="9"/>
      <c r="N50" s="9"/>
      <c r="O50" s="13"/>
      <c r="P50" s="13"/>
      <c r="Q50" s="13"/>
      <c r="R50" s="13"/>
      <c r="S50" s="13"/>
      <c r="T50" s="13"/>
    </row>
    <row r="51" ht="17.25" customHeight="1" spans="1:20">
      <c r="A51" s="22"/>
      <c r="B51" s="8"/>
      <c r="D51" s="18"/>
      <c r="E51" s="8"/>
      <c r="G51" s="18"/>
      <c r="H51" s="8"/>
      <c r="L51" s="13"/>
      <c r="M51" s="9"/>
      <c r="N51" s="9"/>
      <c r="O51" s="13"/>
      <c r="P51" s="13"/>
      <c r="Q51" s="13"/>
      <c r="R51" s="13"/>
      <c r="S51" s="13"/>
      <c r="T51" s="13"/>
    </row>
    <row r="52" ht="17.25" customHeight="1" spans="1:20">
      <c r="A52" s="22"/>
      <c r="B52" s="8"/>
      <c r="D52" s="18"/>
      <c r="E52" s="8"/>
      <c r="G52" s="18"/>
      <c r="H52" s="8"/>
      <c r="L52" s="13"/>
      <c r="M52" s="9"/>
      <c r="N52" s="9"/>
      <c r="O52" s="13"/>
      <c r="P52" s="13"/>
      <c r="Q52" s="13"/>
      <c r="R52" s="13"/>
      <c r="S52" s="13"/>
      <c r="T52" s="13"/>
    </row>
    <row r="53" ht="17.25" customHeight="1" spans="1:20">
      <c r="A53" s="9"/>
      <c r="B53" s="9"/>
      <c r="D53" s="8"/>
      <c r="E53" s="8"/>
      <c r="G53" s="18"/>
      <c r="H53" s="8"/>
      <c r="L53" s="13"/>
      <c r="M53" s="9"/>
      <c r="N53" s="9"/>
      <c r="O53" s="13"/>
      <c r="P53" s="13"/>
      <c r="Q53" s="13"/>
      <c r="R53" s="13"/>
      <c r="S53" s="13"/>
      <c r="T53" s="13"/>
    </row>
    <row r="54" ht="17.25" customHeight="1" spans="1:20">
      <c r="A54" s="9"/>
      <c r="B54" s="9"/>
      <c r="D54" s="8"/>
      <c r="E54" s="8"/>
      <c r="G54" s="9"/>
      <c r="H54" s="9"/>
      <c r="L54" s="13"/>
      <c r="M54" s="9"/>
      <c r="N54" s="9"/>
      <c r="O54" s="13"/>
      <c r="P54" s="13"/>
      <c r="Q54" s="13"/>
      <c r="R54" s="13"/>
      <c r="S54" s="13"/>
      <c r="T54" s="13"/>
    </row>
    <row r="55" ht="17.25" customHeight="1" spans="1:20">
      <c r="A55" s="9"/>
      <c r="B55" s="9"/>
      <c r="D55" s="8"/>
      <c r="E55" s="8"/>
      <c r="G55" s="9"/>
      <c r="H55" s="9"/>
      <c r="L55" s="13"/>
      <c r="M55" s="9"/>
      <c r="N55" s="9"/>
      <c r="O55" s="13"/>
      <c r="P55" s="13"/>
      <c r="Q55" s="13"/>
      <c r="R55" s="13"/>
      <c r="S55" s="13"/>
      <c r="T55" s="13"/>
    </row>
  </sheetData>
  <mergeCells count="4">
    <mergeCell ref="A1:B1"/>
    <mergeCell ref="D1:E1"/>
    <mergeCell ref="G1:H1"/>
    <mergeCell ref="K1:L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T55"/>
  <sheetViews>
    <sheetView workbookViewId="0">
      <selection activeCell="A1" sqref="A1:L1"/>
    </sheetView>
  </sheetViews>
  <sheetFormatPr defaultColWidth="8.68148148148148" defaultRowHeight="15" customHeight="1"/>
  <cols>
    <col min="1" max="2" width="12.4296296296296" style="11" customWidth="1"/>
    <col min="3" max="12" width="8.86666666666667" style="11" customWidth="1"/>
    <col min="13" max="13" width="12.4296296296296" style="1" customWidth="1"/>
    <col min="14" max="15" width="12.4296296296296" style="3" customWidth="1"/>
    <col min="16" max="25" width="8.86666666666667" style="3" customWidth="1"/>
    <col min="26" max="26" width="12.4296296296296" style="1" customWidth="1"/>
    <col min="27" max="28" width="12.4296296296296" style="11" customWidth="1"/>
    <col min="29" max="38" width="8.86666666666667" style="11" customWidth="1"/>
    <col min="39" max="46" width="12.4296296296296" style="1" customWidth="1"/>
  </cols>
  <sheetData>
    <row r="1" ht="17.25" customHeight="1" spans="1:46">
      <c r="A1" s="16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N1" s="16" t="s">
        <v>15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AA1" s="16" t="s">
        <v>3</v>
      </c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N1" s="19" t="s">
        <v>17</v>
      </c>
      <c r="AO1" s="19" t="s">
        <v>18</v>
      </c>
      <c r="AP1" s="19" t="s">
        <v>19</v>
      </c>
      <c r="AQ1" s="19" t="s">
        <v>20</v>
      </c>
      <c r="AR1" s="12" t="s">
        <v>21</v>
      </c>
      <c r="AS1" s="12" t="s">
        <v>22</v>
      </c>
      <c r="AT1" s="12" t="s">
        <v>23</v>
      </c>
    </row>
    <row r="2" ht="17.25" customHeight="1" spans="1:46">
      <c r="A2" s="17">
        <v>0.000961428</v>
      </c>
      <c r="B2" s="8">
        <v>0.00237981</v>
      </c>
      <c r="C2" s="8">
        <v>45221900000000</v>
      </c>
      <c r="D2" s="8">
        <v>35507800000</v>
      </c>
      <c r="E2" s="8">
        <v>0</v>
      </c>
      <c r="F2" s="8">
        <v>0</v>
      </c>
      <c r="G2" s="8">
        <v>2</v>
      </c>
      <c r="H2" s="8">
        <v>11419100000000</v>
      </c>
      <c r="I2" s="8">
        <v>11462200000000</v>
      </c>
      <c r="J2" s="8">
        <v>10945200000000</v>
      </c>
      <c r="K2" s="8">
        <v>11100100000000</v>
      </c>
      <c r="L2" s="8">
        <v>295276000000</v>
      </c>
      <c r="N2" s="18">
        <v>0.000978781</v>
      </c>
      <c r="O2" s="8">
        <v>0.00239662</v>
      </c>
      <c r="P2" s="8">
        <v>45708600000000</v>
      </c>
      <c r="Q2" s="8">
        <v>38143100000</v>
      </c>
      <c r="R2" s="8">
        <v>0</v>
      </c>
      <c r="S2" s="8">
        <v>0</v>
      </c>
      <c r="T2" s="8">
        <v>2</v>
      </c>
      <c r="U2" s="8">
        <v>11480600000000</v>
      </c>
      <c r="V2" s="8">
        <v>11585700000000</v>
      </c>
      <c r="W2" s="8">
        <v>11010800000000</v>
      </c>
      <c r="X2" s="8">
        <v>11321400000000</v>
      </c>
      <c r="Y2" s="8">
        <v>310161000000</v>
      </c>
      <c r="AA2" s="8">
        <v>0.000946522</v>
      </c>
      <c r="AB2" s="8">
        <v>0.00234608</v>
      </c>
      <c r="AC2" s="8">
        <v>45003900000000</v>
      </c>
      <c r="AD2" s="8">
        <v>30805100000</v>
      </c>
      <c r="AE2" s="8">
        <v>0</v>
      </c>
      <c r="AF2" s="8">
        <v>0</v>
      </c>
      <c r="AG2" s="8">
        <v>2</v>
      </c>
      <c r="AH2" s="8">
        <v>11043500000000</v>
      </c>
      <c r="AI2" s="8">
        <v>10803200000000</v>
      </c>
      <c r="AJ2" s="8">
        <v>10994400000000</v>
      </c>
      <c r="AK2" s="8">
        <v>11824700000000</v>
      </c>
      <c r="AL2" s="8">
        <v>338164000000</v>
      </c>
      <c r="AN2" s="8">
        <f t="shared" ref="AN2:AN31" si="0">N2</f>
        <v>0.000978781</v>
      </c>
      <c r="AO2" s="8">
        <f t="shared" ref="AO2:AO31" si="1">AVERAGE(P2,C2,AC2)</f>
        <v>45311466666666.7</v>
      </c>
      <c r="AP2" s="8">
        <f t="shared" ref="AP2:AP31" si="2">MIN(C2,P2,AC2)</f>
        <v>45003900000000</v>
      </c>
      <c r="AQ2" s="8">
        <f t="shared" ref="AQ2:AQ31" si="3">MAX(C2,P2,AC2)</f>
        <v>45708600000000</v>
      </c>
      <c r="AR2" s="8">
        <f t="shared" ref="AR2:AR31" si="4">AVERAGE(L2,Y2,AL2)</f>
        <v>314533666666.667</v>
      </c>
      <c r="AS2" s="8">
        <f t="shared" ref="AS2:AS31" si="5">MIN(L2,Y2,AL2)</f>
        <v>295276000000</v>
      </c>
      <c r="AT2" s="8">
        <f t="shared" ref="AT2:AT31" si="6">MAX(L2,Y2,AL2)</f>
        <v>338164000000</v>
      </c>
    </row>
    <row r="3" ht="17.25" customHeight="1" spans="1:46">
      <c r="A3" s="17">
        <v>0.00197879</v>
      </c>
      <c r="B3" s="8">
        <v>0.00337683</v>
      </c>
      <c r="C3" s="8">
        <v>51777800000000</v>
      </c>
      <c r="D3" s="8">
        <v>35815200000</v>
      </c>
      <c r="E3" s="8">
        <v>0</v>
      </c>
      <c r="F3" s="8">
        <v>0</v>
      </c>
      <c r="G3" s="8">
        <v>2</v>
      </c>
      <c r="H3" s="8">
        <v>12829800000000</v>
      </c>
      <c r="I3" s="8">
        <v>14131000000000</v>
      </c>
      <c r="J3" s="8">
        <v>12407900000000</v>
      </c>
      <c r="K3" s="8">
        <v>11865500000000</v>
      </c>
      <c r="L3" s="8">
        <v>543547000000</v>
      </c>
      <c r="N3" s="18">
        <v>0.0020169</v>
      </c>
      <c r="O3" s="8">
        <v>0.00339772</v>
      </c>
      <c r="P3" s="8">
        <v>53275900000000</v>
      </c>
      <c r="Q3" s="8">
        <v>55579000000</v>
      </c>
      <c r="R3" s="8">
        <v>0</v>
      </c>
      <c r="S3" s="8">
        <v>0</v>
      </c>
      <c r="T3" s="8">
        <v>2</v>
      </c>
      <c r="U3" s="8">
        <v>13072500000000</v>
      </c>
      <c r="V3" s="8">
        <v>14418800000000</v>
      </c>
      <c r="W3" s="8">
        <v>12289800000000</v>
      </c>
      <c r="X3" s="8">
        <v>12669100000000</v>
      </c>
      <c r="Y3" s="8">
        <v>825653000000</v>
      </c>
      <c r="AA3" s="8">
        <v>0.00195901</v>
      </c>
      <c r="AB3" s="8">
        <v>0.00333461</v>
      </c>
      <c r="AC3" s="8">
        <v>55627700000000</v>
      </c>
      <c r="AD3" s="8">
        <v>49652200000</v>
      </c>
      <c r="AE3" s="8">
        <v>0</v>
      </c>
      <c r="AF3" s="8">
        <v>0</v>
      </c>
      <c r="AG3" s="8">
        <v>2</v>
      </c>
      <c r="AH3" s="8">
        <v>13536400000000</v>
      </c>
      <c r="AI3" s="8">
        <v>12766200000000</v>
      </c>
      <c r="AJ3" s="8">
        <v>13548500000000</v>
      </c>
      <c r="AK3" s="8">
        <v>14885700000000</v>
      </c>
      <c r="AL3" s="8">
        <v>890933000000</v>
      </c>
      <c r="AN3" s="8">
        <f t="shared" si="0"/>
        <v>0.0020169</v>
      </c>
      <c r="AO3" s="8">
        <f t="shared" si="1"/>
        <v>53560466666666.7</v>
      </c>
      <c r="AP3" s="8">
        <f t="shared" si="2"/>
        <v>51777800000000</v>
      </c>
      <c r="AQ3" s="8">
        <f t="shared" si="3"/>
        <v>55627700000000</v>
      </c>
      <c r="AR3" s="8">
        <f t="shared" si="4"/>
        <v>753377666666.667</v>
      </c>
      <c r="AS3" s="8">
        <f t="shared" si="5"/>
        <v>543547000000</v>
      </c>
      <c r="AT3" s="8">
        <f t="shared" si="6"/>
        <v>890933000000</v>
      </c>
    </row>
    <row r="4" ht="17.25" customHeight="1" spans="1:46">
      <c r="A4" s="17">
        <v>0.0029856</v>
      </c>
      <c r="B4" s="8">
        <v>0.00427629</v>
      </c>
      <c r="C4" s="8">
        <v>59566800000000</v>
      </c>
      <c r="D4" s="8">
        <v>39237600000</v>
      </c>
      <c r="E4" s="8">
        <v>0</v>
      </c>
      <c r="F4" s="8">
        <v>0</v>
      </c>
      <c r="G4" s="8">
        <v>2</v>
      </c>
      <c r="H4" s="8">
        <v>15648500000000</v>
      </c>
      <c r="I4" s="8">
        <v>16634600000000</v>
      </c>
      <c r="J4" s="8">
        <v>13293700000000</v>
      </c>
      <c r="K4" s="8">
        <v>12971800000000</v>
      </c>
      <c r="L4" s="8">
        <v>1018230000000</v>
      </c>
      <c r="N4" s="18">
        <v>0.00306237</v>
      </c>
      <c r="O4" s="8">
        <v>0.00434224</v>
      </c>
      <c r="P4" s="8">
        <v>60878300000000</v>
      </c>
      <c r="Q4" s="8">
        <v>63807400000</v>
      </c>
      <c r="R4" s="8">
        <v>0</v>
      </c>
      <c r="S4" s="8">
        <v>0</v>
      </c>
      <c r="T4" s="8">
        <v>2</v>
      </c>
      <c r="U4" s="8">
        <v>12959600000000</v>
      </c>
      <c r="V4" s="8">
        <v>16864700000000</v>
      </c>
      <c r="W4" s="8">
        <v>13380300000000</v>
      </c>
      <c r="X4" s="8">
        <v>16213400000000</v>
      </c>
      <c r="Y4" s="8">
        <v>1460230000000</v>
      </c>
      <c r="AA4" s="8">
        <v>0.0030105</v>
      </c>
      <c r="AB4" s="8">
        <v>0.00426503</v>
      </c>
      <c r="AC4" s="8">
        <v>67464900000000</v>
      </c>
      <c r="AD4" s="8">
        <v>92394700000</v>
      </c>
      <c r="AE4" s="8">
        <v>0</v>
      </c>
      <c r="AF4" s="8">
        <v>0</v>
      </c>
      <c r="AG4" s="8">
        <v>2</v>
      </c>
      <c r="AH4" s="8">
        <v>16742100000000</v>
      </c>
      <c r="AI4" s="8">
        <v>16667300000000</v>
      </c>
      <c r="AJ4" s="8">
        <v>15287200000000</v>
      </c>
      <c r="AK4" s="8">
        <v>17087900000000</v>
      </c>
      <c r="AL4" s="8">
        <v>1680380000000</v>
      </c>
      <c r="AN4" s="8">
        <f t="shared" si="0"/>
        <v>0.00306237</v>
      </c>
      <c r="AO4" s="8">
        <f t="shared" si="1"/>
        <v>62636666666666.7</v>
      </c>
      <c r="AP4" s="8">
        <f t="shared" si="2"/>
        <v>59566800000000</v>
      </c>
      <c r="AQ4" s="8">
        <f t="shared" si="3"/>
        <v>67464900000000</v>
      </c>
      <c r="AR4" s="8">
        <f t="shared" si="4"/>
        <v>1386280000000</v>
      </c>
      <c r="AS4" s="8">
        <f t="shared" si="5"/>
        <v>1018230000000</v>
      </c>
      <c r="AT4" s="8">
        <f t="shared" si="6"/>
        <v>1680380000000</v>
      </c>
    </row>
    <row r="5" ht="17.25" customHeight="1" spans="1:46">
      <c r="A5" s="17">
        <v>0.0040217</v>
      </c>
      <c r="B5" s="8">
        <v>0.0052063</v>
      </c>
      <c r="C5" s="8">
        <v>61392100000000</v>
      </c>
      <c r="D5" s="8">
        <v>93816000000</v>
      </c>
      <c r="E5" s="8">
        <v>0</v>
      </c>
      <c r="F5" s="8">
        <v>0</v>
      </c>
      <c r="G5" s="8">
        <v>2</v>
      </c>
      <c r="H5" s="8">
        <v>15662500000000</v>
      </c>
      <c r="I5" s="8">
        <v>15285000000000</v>
      </c>
      <c r="J5" s="8">
        <v>13864200000000</v>
      </c>
      <c r="K5" s="8">
        <v>14922700000000</v>
      </c>
      <c r="L5" s="8">
        <v>1657760000000</v>
      </c>
      <c r="N5" s="18">
        <v>0.00401287</v>
      </c>
      <c r="O5" s="8">
        <v>0.00528588</v>
      </c>
      <c r="P5" s="8">
        <v>63607200000000</v>
      </c>
      <c r="Q5" s="8">
        <v>93477100000</v>
      </c>
      <c r="R5" s="8">
        <v>0</v>
      </c>
      <c r="S5" s="8">
        <v>0</v>
      </c>
      <c r="T5" s="8">
        <v>2</v>
      </c>
      <c r="U5" s="8">
        <v>12537800000000</v>
      </c>
      <c r="V5" s="8">
        <v>17539400000000</v>
      </c>
      <c r="W5" s="8">
        <v>13864200000000</v>
      </c>
      <c r="X5" s="8">
        <v>17393100000000</v>
      </c>
      <c r="Y5" s="8">
        <v>2272640000000</v>
      </c>
      <c r="AA5" s="8">
        <v>0.00402887</v>
      </c>
      <c r="AB5" s="8">
        <v>0.00518901</v>
      </c>
      <c r="AC5" s="8">
        <v>68468800000000</v>
      </c>
      <c r="AD5" s="8">
        <v>130795000000</v>
      </c>
      <c r="AE5" s="8">
        <v>0</v>
      </c>
      <c r="AF5" s="8">
        <v>0</v>
      </c>
      <c r="AG5" s="8">
        <v>2</v>
      </c>
      <c r="AH5" s="8">
        <v>17291300000000</v>
      </c>
      <c r="AI5" s="8">
        <v>19225700000000</v>
      </c>
      <c r="AJ5" s="8">
        <v>13839900000000</v>
      </c>
      <c r="AK5" s="8">
        <v>16029200000000</v>
      </c>
      <c r="AL5" s="8">
        <v>2082740000000</v>
      </c>
      <c r="AN5" s="8">
        <f t="shared" si="0"/>
        <v>0.00401287</v>
      </c>
      <c r="AO5" s="8">
        <f t="shared" si="1"/>
        <v>64489366666666.7</v>
      </c>
      <c r="AP5" s="8">
        <f t="shared" si="2"/>
        <v>61392100000000</v>
      </c>
      <c r="AQ5" s="8">
        <f t="shared" si="3"/>
        <v>68468800000000</v>
      </c>
      <c r="AR5" s="8">
        <f t="shared" si="4"/>
        <v>2004380000000</v>
      </c>
      <c r="AS5" s="8">
        <f t="shared" si="5"/>
        <v>1657760000000</v>
      </c>
      <c r="AT5" s="8">
        <f t="shared" si="6"/>
        <v>2272640000000</v>
      </c>
    </row>
    <row r="6" ht="17.25" customHeight="1" spans="1:46">
      <c r="A6" s="17">
        <v>0.00501896</v>
      </c>
      <c r="B6" s="8">
        <v>0.00625072</v>
      </c>
      <c r="C6" s="8">
        <v>62269600000000</v>
      </c>
      <c r="D6" s="8">
        <v>85480800000</v>
      </c>
      <c r="E6" s="8">
        <v>0</v>
      </c>
      <c r="F6" s="8">
        <v>0</v>
      </c>
      <c r="G6" s="8">
        <v>2</v>
      </c>
      <c r="H6" s="8">
        <v>16102800000000</v>
      </c>
      <c r="I6" s="8">
        <v>13989000000000</v>
      </c>
      <c r="J6" s="8">
        <v>13237900000000</v>
      </c>
      <c r="K6" s="8">
        <v>16943400000000</v>
      </c>
      <c r="L6" s="8">
        <v>1996510000000</v>
      </c>
      <c r="N6" s="18">
        <v>0.0049895</v>
      </c>
      <c r="O6" s="8">
        <v>0.00623016</v>
      </c>
      <c r="P6" s="8">
        <v>63416600000000</v>
      </c>
      <c r="Q6" s="8">
        <v>69668100000</v>
      </c>
      <c r="R6" s="8">
        <v>0</v>
      </c>
      <c r="S6" s="8">
        <v>0</v>
      </c>
      <c r="T6" s="8">
        <v>2</v>
      </c>
      <c r="U6" s="8">
        <v>12854900000000</v>
      </c>
      <c r="V6" s="8">
        <v>17809300000000</v>
      </c>
      <c r="W6" s="8">
        <v>13983100000000</v>
      </c>
      <c r="X6" s="8">
        <v>16440900000000</v>
      </c>
      <c r="Y6" s="8">
        <v>2328450000000</v>
      </c>
      <c r="AA6" s="8">
        <v>0.00500115</v>
      </c>
      <c r="AB6" s="8">
        <v>0.00613823</v>
      </c>
      <c r="AC6" s="8">
        <v>67579300000000</v>
      </c>
      <c r="AD6" s="8">
        <v>77106300000</v>
      </c>
      <c r="AE6" s="8">
        <v>0</v>
      </c>
      <c r="AF6" s="8">
        <v>0</v>
      </c>
      <c r="AG6" s="8">
        <v>2</v>
      </c>
      <c r="AH6" s="8">
        <v>15485000000000</v>
      </c>
      <c r="AI6" s="8">
        <v>20324600000000</v>
      </c>
      <c r="AJ6" s="8">
        <v>14515700000000</v>
      </c>
      <c r="AK6" s="8">
        <v>15038700000000</v>
      </c>
      <c r="AL6" s="8">
        <v>2215170000000</v>
      </c>
      <c r="AN6" s="8">
        <f t="shared" si="0"/>
        <v>0.0049895</v>
      </c>
      <c r="AO6" s="8">
        <f t="shared" si="1"/>
        <v>64421833333333.3</v>
      </c>
      <c r="AP6" s="8">
        <f t="shared" si="2"/>
        <v>62269600000000</v>
      </c>
      <c r="AQ6" s="8">
        <f t="shared" si="3"/>
        <v>67579300000000</v>
      </c>
      <c r="AR6" s="8">
        <f t="shared" si="4"/>
        <v>2180043333333.33</v>
      </c>
      <c r="AS6" s="8">
        <f t="shared" si="5"/>
        <v>1996510000000</v>
      </c>
      <c r="AT6" s="8">
        <f t="shared" si="6"/>
        <v>2328450000000</v>
      </c>
    </row>
    <row r="7" ht="17.25" customHeight="1" spans="1:46">
      <c r="A7" s="17">
        <v>0.00600786</v>
      </c>
      <c r="B7" s="8">
        <v>0.00724567</v>
      </c>
      <c r="C7" s="8">
        <v>66487800000000</v>
      </c>
      <c r="D7" s="8">
        <v>112385000000</v>
      </c>
      <c r="E7" s="8">
        <v>0</v>
      </c>
      <c r="F7" s="8">
        <v>0</v>
      </c>
      <c r="G7" s="8">
        <v>2</v>
      </c>
      <c r="H7" s="8">
        <v>17182300000000</v>
      </c>
      <c r="I7" s="8">
        <v>13218700000000</v>
      </c>
      <c r="J7" s="8">
        <v>14198000000000</v>
      </c>
      <c r="K7" s="8">
        <v>19631600000000</v>
      </c>
      <c r="L7" s="8">
        <v>2257270000000</v>
      </c>
      <c r="N7" s="18">
        <v>0.00599212</v>
      </c>
      <c r="O7" s="8">
        <v>0.00721949</v>
      </c>
      <c r="P7" s="8">
        <v>67388600000000</v>
      </c>
      <c r="Q7" s="8">
        <v>96212400000</v>
      </c>
      <c r="R7" s="8">
        <v>0</v>
      </c>
      <c r="S7" s="8">
        <v>0</v>
      </c>
      <c r="T7" s="8">
        <v>2</v>
      </c>
      <c r="U7" s="8">
        <v>14907200000000</v>
      </c>
      <c r="V7" s="8">
        <v>17587100000000</v>
      </c>
      <c r="W7" s="8">
        <v>15260500000000</v>
      </c>
      <c r="X7" s="8">
        <v>17512200000000</v>
      </c>
      <c r="Y7" s="8">
        <v>2121680000000</v>
      </c>
      <c r="AA7" s="8">
        <v>0.00598643</v>
      </c>
      <c r="AB7" s="8">
        <v>0.00717172</v>
      </c>
      <c r="AC7" s="8">
        <v>68603900000000</v>
      </c>
      <c r="AD7" s="8">
        <v>98533900000</v>
      </c>
      <c r="AE7" s="8">
        <v>0</v>
      </c>
      <c r="AF7" s="8">
        <v>0</v>
      </c>
      <c r="AG7" s="8">
        <v>2</v>
      </c>
      <c r="AH7" s="8">
        <v>14529300000000</v>
      </c>
      <c r="AI7" s="8">
        <v>19655000000000</v>
      </c>
      <c r="AJ7" s="8">
        <v>17006100000000</v>
      </c>
      <c r="AK7" s="8">
        <v>15071000000000</v>
      </c>
      <c r="AL7" s="8">
        <v>2342600000000</v>
      </c>
      <c r="AN7" s="8">
        <f t="shared" si="0"/>
        <v>0.00599212</v>
      </c>
      <c r="AO7" s="8">
        <f t="shared" si="1"/>
        <v>67493433333333.3</v>
      </c>
      <c r="AP7" s="8">
        <f t="shared" si="2"/>
        <v>66487800000000</v>
      </c>
      <c r="AQ7" s="8">
        <f t="shared" si="3"/>
        <v>68603900000000</v>
      </c>
      <c r="AR7" s="8">
        <f t="shared" si="4"/>
        <v>2240516666666.67</v>
      </c>
      <c r="AS7" s="8">
        <f t="shared" si="5"/>
        <v>2121680000000</v>
      </c>
      <c r="AT7" s="8">
        <f t="shared" si="6"/>
        <v>2342600000000</v>
      </c>
    </row>
    <row r="8" ht="17.25" customHeight="1" spans="1:46">
      <c r="A8" s="17">
        <v>0.00701564</v>
      </c>
      <c r="B8" s="8">
        <v>0.00817495</v>
      </c>
      <c r="C8" s="8">
        <v>67811100000000</v>
      </c>
      <c r="D8" s="8">
        <v>102216000000</v>
      </c>
      <c r="E8" s="8">
        <v>0</v>
      </c>
      <c r="F8" s="8">
        <v>0</v>
      </c>
      <c r="G8" s="8">
        <v>2</v>
      </c>
      <c r="H8" s="8">
        <v>16290200000000</v>
      </c>
      <c r="I8" s="8">
        <v>13740700000000</v>
      </c>
      <c r="J8" s="8">
        <v>14475600000000</v>
      </c>
      <c r="K8" s="8">
        <v>20923800000000</v>
      </c>
      <c r="L8" s="8">
        <v>2380890000000</v>
      </c>
      <c r="N8" s="18">
        <v>0.00701721</v>
      </c>
      <c r="O8" s="8">
        <v>0.00816723</v>
      </c>
      <c r="P8" s="8">
        <v>72283000000000</v>
      </c>
      <c r="Q8" s="8">
        <v>83405900000</v>
      </c>
      <c r="R8" s="8">
        <v>0</v>
      </c>
      <c r="S8" s="8">
        <v>0</v>
      </c>
      <c r="T8" s="8">
        <v>2</v>
      </c>
      <c r="U8" s="8">
        <v>17958800000000</v>
      </c>
      <c r="V8" s="8">
        <v>17242100000000</v>
      </c>
      <c r="W8" s="8">
        <v>17896500000000</v>
      </c>
      <c r="X8" s="8">
        <v>16790000000000</v>
      </c>
      <c r="Y8" s="8">
        <v>2395580000000</v>
      </c>
      <c r="AA8" s="8">
        <v>0.0070246</v>
      </c>
      <c r="AB8" s="8">
        <v>0.008183</v>
      </c>
      <c r="AC8" s="8">
        <v>71783700000000</v>
      </c>
      <c r="AD8" s="8">
        <v>76494900000</v>
      </c>
      <c r="AE8" s="8">
        <v>0</v>
      </c>
      <c r="AF8" s="8">
        <v>0</v>
      </c>
      <c r="AG8" s="8">
        <v>2</v>
      </c>
      <c r="AH8" s="8">
        <v>15046600000000</v>
      </c>
      <c r="AI8" s="8">
        <v>20011400000000</v>
      </c>
      <c r="AJ8" s="8">
        <v>18851500000000</v>
      </c>
      <c r="AK8" s="8">
        <v>15487200000000</v>
      </c>
      <c r="AL8" s="8">
        <v>2386970000000</v>
      </c>
      <c r="AN8" s="8">
        <f t="shared" si="0"/>
        <v>0.00701721</v>
      </c>
      <c r="AO8" s="8">
        <f t="shared" si="1"/>
        <v>70625933333333.3</v>
      </c>
      <c r="AP8" s="8">
        <f t="shared" si="2"/>
        <v>67811100000000</v>
      </c>
      <c r="AQ8" s="8">
        <f t="shared" si="3"/>
        <v>72283000000000</v>
      </c>
      <c r="AR8" s="8">
        <f t="shared" si="4"/>
        <v>2387813333333.33</v>
      </c>
      <c r="AS8" s="8">
        <f t="shared" si="5"/>
        <v>2380890000000</v>
      </c>
      <c r="AT8" s="8">
        <f t="shared" si="6"/>
        <v>2395580000000</v>
      </c>
    </row>
    <row r="9" ht="17.25" customHeight="1" spans="1:46">
      <c r="A9" s="17">
        <v>0.0079717</v>
      </c>
      <c r="B9" s="8">
        <v>0.00909423</v>
      </c>
      <c r="C9" s="8">
        <v>66189100000000</v>
      </c>
      <c r="D9" s="8">
        <v>76242900000</v>
      </c>
      <c r="E9" s="8">
        <v>0</v>
      </c>
      <c r="F9" s="8">
        <v>0</v>
      </c>
      <c r="G9" s="8">
        <v>2</v>
      </c>
      <c r="H9" s="8">
        <v>15327700000000</v>
      </c>
      <c r="I9" s="8">
        <v>15065100000000</v>
      </c>
      <c r="J9" s="8">
        <v>15424900000000</v>
      </c>
      <c r="K9" s="8">
        <v>17810900000000</v>
      </c>
      <c r="L9" s="8">
        <v>2560510000000</v>
      </c>
      <c r="N9" s="18">
        <v>0.00802938</v>
      </c>
      <c r="O9" s="8">
        <v>0.00915307</v>
      </c>
      <c r="P9" s="8">
        <v>73534000000000</v>
      </c>
      <c r="Q9" s="8">
        <v>72317300000</v>
      </c>
      <c r="R9" s="8">
        <v>0</v>
      </c>
      <c r="S9" s="8">
        <v>0</v>
      </c>
      <c r="T9" s="8">
        <v>2</v>
      </c>
      <c r="U9" s="8">
        <v>20334800000000</v>
      </c>
      <c r="V9" s="8">
        <v>17957800000000</v>
      </c>
      <c r="W9" s="8">
        <v>15969500000000</v>
      </c>
      <c r="X9" s="8">
        <v>16601500000000</v>
      </c>
      <c r="Y9" s="8">
        <v>2670470000000</v>
      </c>
      <c r="AA9" s="8">
        <v>0.00801348</v>
      </c>
      <c r="AB9" s="8">
        <v>0.00915894</v>
      </c>
      <c r="AC9" s="8">
        <v>71890100000000</v>
      </c>
      <c r="AD9" s="8">
        <v>98596400000</v>
      </c>
      <c r="AE9" s="8">
        <v>0</v>
      </c>
      <c r="AF9" s="8">
        <v>0</v>
      </c>
      <c r="AG9" s="8">
        <v>2</v>
      </c>
      <c r="AH9" s="8">
        <v>16429900000000</v>
      </c>
      <c r="AI9" s="8">
        <v>19116100000000</v>
      </c>
      <c r="AJ9" s="8">
        <v>19073500000000</v>
      </c>
      <c r="AK9" s="8">
        <v>14385600000000</v>
      </c>
      <c r="AL9" s="8">
        <v>2884880000000</v>
      </c>
      <c r="AN9" s="8">
        <f t="shared" si="0"/>
        <v>0.00802938</v>
      </c>
      <c r="AO9" s="8">
        <f t="shared" si="1"/>
        <v>70537733333333.3</v>
      </c>
      <c r="AP9" s="8">
        <f t="shared" si="2"/>
        <v>66189100000000</v>
      </c>
      <c r="AQ9" s="8">
        <f t="shared" si="3"/>
        <v>73534000000000</v>
      </c>
      <c r="AR9" s="8">
        <f t="shared" si="4"/>
        <v>2705286666666.67</v>
      </c>
      <c r="AS9" s="8">
        <f t="shared" si="5"/>
        <v>2560510000000</v>
      </c>
      <c r="AT9" s="8">
        <f t="shared" si="6"/>
        <v>2884880000000</v>
      </c>
    </row>
    <row r="10" ht="17.25" customHeight="1" spans="1:46">
      <c r="A10" s="17">
        <v>0.00896568</v>
      </c>
      <c r="B10" s="8">
        <v>0.0101271</v>
      </c>
      <c r="C10" s="8">
        <v>70640100000000</v>
      </c>
      <c r="D10" s="8">
        <v>108695000000</v>
      </c>
      <c r="E10" s="8">
        <v>0</v>
      </c>
      <c r="F10" s="8">
        <v>0</v>
      </c>
      <c r="G10" s="8">
        <v>2</v>
      </c>
      <c r="H10" s="8">
        <v>16642300000000</v>
      </c>
      <c r="I10" s="8">
        <v>15802000000000</v>
      </c>
      <c r="J10" s="8">
        <v>16730300000000</v>
      </c>
      <c r="K10" s="8">
        <v>18774700000000</v>
      </c>
      <c r="L10" s="8">
        <v>2690780000000</v>
      </c>
      <c r="N10" s="18">
        <v>0.00899431</v>
      </c>
      <c r="O10" s="8">
        <v>0.0101216</v>
      </c>
      <c r="P10" s="8">
        <v>69022500000000</v>
      </c>
      <c r="Q10" s="8">
        <v>100333000000</v>
      </c>
      <c r="R10" s="8">
        <v>0</v>
      </c>
      <c r="S10" s="8">
        <v>0</v>
      </c>
      <c r="T10" s="8">
        <v>2</v>
      </c>
      <c r="U10" s="8">
        <v>20321800000000</v>
      </c>
      <c r="V10" s="8">
        <v>15370700000000</v>
      </c>
      <c r="W10" s="8">
        <v>15462000000000</v>
      </c>
      <c r="X10" s="8">
        <v>15125700000000</v>
      </c>
      <c r="Y10" s="8">
        <v>2742310000000</v>
      </c>
      <c r="AA10" s="8">
        <v>0.00904093</v>
      </c>
      <c r="AB10" s="8">
        <v>0.0101789</v>
      </c>
      <c r="AC10" s="8">
        <v>75066000000000</v>
      </c>
      <c r="AD10" s="8">
        <v>104573000000</v>
      </c>
      <c r="AE10" s="8">
        <v>0</v>
      </c>
      <c r="AF10" s="8">
        <v>0</v>
      </c>
      <c r="AG10" s="8">
        <v>2</v>
      </c>
      <c r="AH10" s="8">
        <v>18769100000000</v>
      </c>
      <c r="AI10" s="8">
        <v>18866000000000</v>
      </c>
      <c r="AJ10" s="8">
        <v>19500000000000</v>
      </c>
      <c r="AK10" s="8">
        <v>14636900000000</v>
      </c>
      <c r="AL10" s="8">
        <v>3293950000000</v>
      </c>
      <c r="AN10" s="8">
        <f t="shared" si="0"/>
        <v>0.00899431</v>
      </c>
      <c r="AO10" s="8">
        <f t="shared" si="1"/>
        <v>71576200000000</v>
      </c>
      <c r="AP10" s="8">
        <f t="shared" si="2"/>
        <v>69022500000000</v>
      </c>
      <c r="AQ10" s="8">
        <f t="shared" si="3"/>
        <v>75066000000000</v>
      </c>
      <c r="AR10" s="8">
        <f t="shared" si="4"/>
        <v>2909013333333.33</v>
      </c>
      <c r="AS10" s="8">
        <f t="shared" si="5"/>
        <v>2690780000000</v>
      </c>
      <c r="AT10" s="8">
        <f t="shared" si="6"/>
        <v>3293950000000</v>
      </c>
    </row>
    <row r="11" ht="17.25" customHeight="1" spans="1:46">
      <c r="A11" s="17">
        <v>0.0100662</v>
      </c>
      <c r="B11" s="8">
        <v>0.0112398</v>
      </c>
      <c r="C11" s="8">
        <v>70563500000000</v>
      </c>
      <c r="D11" s="8">
        <v>103500000000</v>
      </c>
      <c r="E11" s="8">
        <v>0</v>
      </c>
      <c r="F11" s="8">
        <v>0</v>
      </c>
      <c r="G11" s="8">
        <v>2</v>
      </c>
      <c r="H11" s="8">
        <v>17240200000000</v>
      </c>
      <c r="I11" s="8">
        <v>14578800000000</v>
      </c>
      <c r="J11" s="8">
        <v>17008600000000</v>
      </c>
      <c r="K11" s="8">
        <v>18811500000000</v>
      </c>
      <c r="L11" s="8">
        <v>2924490000000</v>
      </c>
      <c r="N11" s="18">
        <v>0.00996707</v>
      </c>
      <c r="O11" s="8">
        <v>0.0111513</v>
      </c>
      <c r="P11" s="8">
        <v>68576900000000</v>
      </c>
      <c r="Q11" s="8">
        <v>81443400000</v>
      </c>
      <c r="R11" s="8">
        <v>0</v>
      </c>
      <c r="S11" s="8">
        <v>0</v>
      </c>
      <c r="T11" s="8">
        <v>2</v>
      </c>
      <c r="U11" s="8">
        <v>18861200000000</v>
      </c>
      <c r="V11" s="8">
        <v>15116600000000</v>
      </c>
      <c r="W11" s="8">
        <v>16225900000000</v>
      </c>
      <c r="X11" s="8">
        <v>15571100000000</v>
      </c>
      <c r="Y11" s="8">
        <v>2802210000000</v>
      </c>
      <c r="AA11" s="8">
        <v>0.0100069</v>
      </c>
      <c r="AB11" s="8">
        <v>0.0111721</v>
      </c>
      <c r="AC11" s="8">
        <v>69863200000000</v>
      </c>
      <c r="AD11" s="8">
        <v>109981000000</v>
      </c>
      <c r="AE11" s="8">
        <v>0</v>
      </c>
      <c r="AF11" s="8">
        <v>0</v>
      </c>
      <c r="AG11" s="8">
        <v>2</v>
      </c>
      <c r="AH11" s="8">
        <v>17154200000000</v>
      </c>
      <c r="AI11" s="8">
        <v>17169400000000</v>
      </c>
      <c r="AJ11" s="8">
        <v>18036700000000</v>
      </c>
      <c r="AK11" s="8">
        <v>14188700000000</v>
      </c>
      <c r="AL11" s="8">
        <v>3314230000000</v>
      </c>
      <c r="AN11" s="8">
        <f t="shared" si="0"/>
        <v>0.00996707</v>
      </c>
      <c r="AO11" s="8">
        <f t="shared" si="1"/>
        <v>69667866666666.7</v>
      </c>
      <c r="AP11" s="8">
        <f t="shared" si="2"/>
        <v>68576900000000</v>
      </c>
      <c r="AQ11" s="8">
        <f t="shared" si="3"/>
        <v>70563500000000</v>
      </c>
      <c r="AR11" s="8">
        <f t="shared" si="4"/>
        <v>3013643333333.33</v>
      </c>
      <c r="AS11" s="8">
        <f t="shared" si="5"/>
        <v>2802210000000</v>
      </c>
      <c r="AT11" s="8">
        <f t="shared" si="6"/>
        <v>3314230000000</v>
      </c>
    </row>
    <row r="12" ht="17.25" customHeight="1" spans="1:46">
      <c r="A12" s="17">
        <v>0.0110177</v>
      </c>
      <c r="B12" s="8">
        <v>0.0121745</v>
      </c>
      <c r="C12" s="8">
        <v>71380200000000</v>
      </c>
      <c r="D12" s="8">
        <v>122146000000</v>
      </c>
      <c r="E12" s="8">
        <v>0</v>
      </c>
      <c r="F12" s="8">
        <v>0</v>
      </c>
      <c r="G12" s="8">
        <v>2</v>
      </c>
      <c r="H12" s="8">
        <v>16918700000000</v>
      </c>
      <c r="I12" s="8">
        <v>14887500000000</v>
      </c>
      <c r="J12" s="8">
        <v>17697000000000</v>
      </c>
      <c r="K12" s="8">
        <v>19003200000000</v>
      </c>
      <c r="L12" s="8">
        <v>2873820000000</v>
      </c>
      <c r="N12" s="18">
        <v>0.010985</v>
      </c>
      <c r="O12" s="8">
        <v>0.0121646</v>
      </c>
      <c r="P12" s="8">
        <v>67993600000000</v>
      </c>
      <c r="Q12" s="8">
        <v>111573000000</v>
      </c>
      <c r="R12" s="8">
        <v>0</v>
      </c>
      <c r="S12" s="8">
        <v>0</v>
      </c>
      <c r="T12" s="8">
        <v>2</v>
      </c>
      <c r="U12" s="8">
        <v>18375500000000</v>
      </c>
      <c r="V12" s="8">
        <v>15916700000000</v>
      </c>
      <c r="W12" s="8">
        <v>15496500000000</v>
      </c>
      <c r="X12" s="8">
        <v>15491800000000</v>
      </c>
      <c r="Y12" s="8">
        <v>2712850000000</v>
      </c>
      <c r="AA12" s="8">
        <v>0.0110519</v>
      </c>
      <c r="AB12" s="8">
        <v>0.0122269</v>
      </c>
      <c r="AC12" s="8">
        <v>78103800000000</v>
      </c>
      <c r="AD12" s="8">
        <v>129367000000</v>
      </c>
      <c r="AE12" s="8">
        <v>0</v>
      </c>
      <c r="AF12" s="8">
        <v>0</v>
      </c>
      <c r="AG12" s="8">
        <v>2</v>
      </c>
      <c r="AH12" s="8">
        <v>18482200000000</v>
      </c>
      <c r="AI12" s="8">
        <v>20360200000000</v>
      </c>
      <c r="AJ12" s="8">
        <v>21063200000000</v>
      </c>
      <c r="AK12" s="8">
        <v>14704900000000</v>
      </c>
      <c r="AL12" s="8">
        <v>3493130000000</v>
      </c>
      <c r="AN12" s="8">
        <f t="shared" si="0"/>
        <v>0.010985</v>
      </c>
      <c r="AO12" s="8">
        <f t="shared" si="1"/>
        <v>72492533333333.3</v>
      </c>
      <c r="AP12" s="8">
        <f t="shared" si="2"/>
        <v>67993600000000</v>
      </c>
      <c r="AQ12" s="8">
        <f t="shared" si="3"/>
        <v>78103800000000</v>
      </c>
      <c r="AR12" s="8">
        <f t="shared" si="4"/>
        <v>3026600000000</v>
      </c>
      <c r="AS12" s="8">
        <f t="shared" si="5"/>
        <v>2712850000000</v>
      </c>
      <c r="AT12" s="8">
        <f t="shared" si="6"/>
        <v>3493130000000</v>
      </c>
    </row>
    <row r="13" ht="17.25" customHeight="1" spans="1:46">
      <c r="A13" s="17">
        <v>0.0119777</v>
      </c>
      <c r="B13" s="8">
        <v>0.0131563</v>
      </c>
      <c r="C13" s="8">
        <v>71538600000000</v>
      </c>
      <c r="D13" s="8">
        <v>100099000000</v>
      </c>
      <c r="E13" s="8">
        <v>0</v>
      </c>
      <c r="F13" s="8">
        <v>0</v>
      </c>
      <c r="G13" s="8">
        <v>2</v>
      </c>
      <c r="H13" s="8">
        <v>16072700000000</v>
      </c>
      <c r="I13" s="8">
        <v>14612700000000</v>
      </c>
      <c r="J13" s="8">
        <v>20041200000000</v>
      </c>
      <c r="K13" s="8">
        <v>17575400000000</v>
      </c>
      <c r="L13" s="8">
        <v>3236590000000</v>
      </c>
      <c r="N13" s="18">
        <v>0.0119994</v>
      </c>
      <c r="O13" s="8">
        <v>0.0131651</v>
      </c>
      <c r="P13" s="8">
        <v>73015700000000</v>
      </c>
      <c r="Q13" s="8">
        <v>107126000000</v>
      </c>
      <c r="R13" s="8">
        <v>0</v>
      </c>
      <c r="S13" s="8">
        <v>0</v>
      </c>
      <c r="T13" s="8">
        <v>2</v>
      </c>
      <c r="U13" s="8">
        <v>21411300000000</v>
      </c>
      <c r="V13" s="8">
        <v>17275200000000</v>
      </c>
      <c r="W13" s="8">
        <v>15734700000000</v>
      </c>
      <c r="X13" s="8">
        <v>15140400000000</v>
      </c>
      <c r="Y13" s="8">
        <v>3454020000000</v>
      </c>
      <c r="AA13" s="8">
        <v>0.0120312</v>
      </c>
      <c r="AB13" s="8">
        <v>0.0131589</v>
      </c>
      <c r="AC13" s="8">
        <v>82203900000000</v>
      </c>
      <c r="AD13" s="8">
        <v>99879500000</v>
      </c>
      <c r="AE13" s="8">
        <v>0</v>
      </c>
      <c r="AF13" s="8">
        <v>0</v>
      </c>
      <c r="AG13" s="8">
        <v>2</v>
      </c>
      <c r="AH13" s="8">
        <v>18988300000000</v>
      </c>
      <c r="AI13" s="8">
        <v>22966000000000</v>
      </c>
      <c r="AJ13" s="8">
        <v>21047000000000</v>
      </c>
      <c r="AK13" s="8">
        <v>15278400000000</v>
      </c>
      <c r="AL13" s="8">
        <v>3924160000000</v>
      </c>
      <c r="AN13" s="8">
        <f t="shared" si="0"/>
        <v>0.0119994</v>
      </c>
      <c r="AO13" s="8">
        <f t="shared" si="1"/>
        <v>75586066666666.7</v>
      </c>
      <c r="AP13" s="8">
        <f t="shared" si="2"/>
        <v>71538600000000</v>
      </c>
      <c r="AQ13" s="8">
        <f t="shared" si="3"/>
        <v>82203900000000</v>
      </c>
      <c r="AR13" s="8">
        <f t="shared" si="4"/>
        <v>3538256666666.67</v>
      </c>
      <c r="AS13" s="8">
        <f t="shared" si="5"/>
        <v>3236590000000</v>
      </c>
      <c r="AT13" s="8">
        <f t="shared" si="6"/>
        <v>3924160000000</v>
      </c>
    </row>
    <row r="14" ht="17.25" customHeight="1" spans="1:46">
      <c r="A14" s="17">
        <v>0.0130337</v>
      </c>
      <c r="B14" s="8">
        <v>0.0141834</v>
      </c>
      <c r="C14" s="8">
        <v>68669300000000</v>
      </c>
      <c r="D14" s="8">
        <v>128558000000</v>
      </c>
      <c r="E14" s="8">
        <v>0</v>
      </c>
      <c r="F14" s="8">
        <v>0</v>
      </c>
      <c r="G14" s="8">
        <v>2</v>
      </c>
      <c r="H14" s="8">
        <v>16854000000000</v>
      </c>
      <c r="I14" s="8">
        <v>13416200000000</v>
      </c>
      <c r="J14" s="8">
        <v>20644100000000</v>
      </c>
      <c r="K14" s="8">
        <v>14975900000000</v>
      </c>
      <c r="L14" s="8">
        <v>2779060000000</v>
      </c>
      <c r="N14" s="18">
        <v>0.0130508</v>
      </c>
      <c r="O14" s="8">
        <v>0.014197</v>
      </c>
      <c r="P14" s="8">
        <v>72969400000000</v>
      </c>
      <c r="Q14" s="8">
        <v>99202600000</v>
      </c>
      <c r="R14" s="8">
        <v>0</v>
      </c>
      <c r="S14" s="8">
        <v>0</v>
      </c>
      <c r="T14" s="8">
        <v>2</v>
      </c>
      <c r="U14" s="8">
        <v>20384600000000</v>
      </c>
      <c r="V14" s="8">
        <v>16661700000000</v>
      </c>
      <c r="W14" s="8">
        <v>16591700000000</v>
      </c>
      <c r="X14" s="8">
        <v>15939000000000</v>
      </c>
      <c r="Y14" s="8">
        <v>3392350000000</v>
      </c>
      <c r="AA14" s="8">
        <v>0.0130173</v>
      </c>
      <c r="AB14" s="8">
        <v>0.014108</v>
      </c>
      <c r="AC14" s="8">
        <v>81874000000000</v>
      </c>
      <c r="AD14" s="8">
        <v>104177000000</v>
      </c>
      <c r="AE14" s="8">
        <v>0</v>
      </c>
      <c r="AF14" s="8">
        <v>0</v>
      </c>
      <c r="AG14" s="8">
        <v>2</v>
      </c>
      <c r="AH14" s="8">
        <v>19512600000000</v>
      </c>
      <c r="AI14" s="8">
        <v>21202300000000</v>
      </c>
      <c r="AJ14" s="8">
        <v>20510300000000</v>
      </c>
      <c r="AK14" s="8">
        <v>16380900000000</v>
      </c>
      <c r="AL14" s="8">
        <v>4267940000000</v>
      </c>
      <c r="AN14" s="8">
        <f t="shared" si="0"/>
        <v>0.0130508</v>
      </c>
      <c r="AO14" s="8">
        <f t="shared" si="1"/>
        <v>74504233333333.3</v>
      </c>
      <c r="AP14" s="8">
        <f t="shared" si="2"/>
        <v>68669300000000</v>
      </c>
      <c r="AQ14" s="8">
        <f t="shared" si="3"/>
        <v>81874000000000</v>
      </c>
      <c r="AR14" s="8">
        <f t="shared" si="4"/>
        <v>3479783333333.33</v>
      </c>
      <c r="AS14" s="8">
        <f t="shared" si="5"/>
        <v>2779060000000</v>
      </c>
      <c r="AT14" s="8">
        <f t="shared" si="6"/>
        <v>4267940000000</v>
      </c>
    </row>
    <row r="15" ht="17.25" customHeight="1" spans="1:46">
      <c r="A15" s="17">
        <v>0.0139843</v>
      </c>
      <c r="B15" s="8">
        <v>0.0151584</v>
      </c>
      <c r="C15" s="8">
        <v>68414500000000</v>
      </c>
      <c r="D15" s="8">
        <v>113048000000</v>
      </c>
      <c r="E15" s="8">
        <v>0</v>
      </c>
      <c r="F15" s="8">
        <v>0</v>
      </c>
      <c r="G15" s="8">
        <v>2</v>
      </c>
      <c r="H15" s="8">
        <v>17147300000000</v>
      </c>
      <c r="I15" s="8">
        <v>14826400000000</v>
      </c>
      <c r="J15" s="8">
        <v>17620000000000</v>
      </c>
      <c r="K15" s="8">
        <v>15832800000000</v>
      </c>
      <c r="L15" s="8">
        <v>2988020000000</v>
      </c>
      <c r="N15" s="18">
        <v>0.013985</v>
      </c>
      <c r="O15" s="8">
        <v>0.0151216</v>
      </c>
      <c r="P15" s="8">
        <v>70382100000000</v>
      </c>
      <c r="Q15" s="8">
        <v>112566000000</v>
      </c>
      <c r="R15" s="8">
        <v>0</v>
      </c>
      <c r="S15" s="8">
        <v>0</v>
      </c>
      <c r="T15" s="8">
        <v>2</v>
      </c>
      <c r="U15" s="8">
        <v>17906800000000</v>
      </c>
      <c r="V15" s="8">
        <v>18234200000000</v>
      </c>
      <c r="W15" s="8">
        <v>14662200000000</v>
      </c>
      <c r="X15" s="8">
        <v>16331200000000</v>
      </c>
      <c r="Y15" s="8">
        <v>3247790000000</v>
      </c>
      <c r="AA15" s="8">
        <v>0.014003</v>
      </c>
      <c r="AB15" s="8">
        <v>0.0151605</v>
      </c>
      <c r="AC15" s="8">
        <v>81208000000000</v>
      </c>
      <c r="AD15" s="8">
        <v>93609100000</v>
      </c>
      <c r="AE15" s="8">
        <v>0</v>
      </c>
      <c r="AF15" s="8">
        <v>0</v>
      </c>
      <c r="AG15" s="8">
        <v>2</v>
      </c>
      <c r="AH15" s="8">
        <v>18899000000000</v>
      </c>
      <c r="AI15" s="8">
        <v>21079700000000</v>
      </c>
      <c r="AJ15" s="8">
        <v>18651700000000</v>
      </c>
      <c r="AK15" s="8">
        <v>18177500000000</v>
      </c>
      <c r="AL15" s="8">
        <v>4400180000000</v>
      </c>
      <c r="AN15" s="8">
        <f t="shared" si="0"/>
        <v>0.013985</v>
      </c>
      <c r="AO15" s="8">
        <f t="shared" si="1"/>
        <v>73334866666666.7</v>
      </c>
      <c r="AP15" s="8">
        <f t="shared" si="2"/>
        <v>68414500000000</v>
      </c>
      <c r="AQ15" s="8">
        <f t="shared" si="3"/>
        <v>81208000000000</v>
      </c>
      <c r="AR15" s="8">
        <f t="shared" si="4"/>
        <v>3545330000000</v>
      </c>
      <c r="AS15" s="8">
        <f t="shared" si="5"/>
        <v>2988020000000</v>
      </c>
      <c r="AT15" s="8">
        <f t="shared" si="6"/>
        <v>4400180000000</v>
      </c>
    </row>
    <row r="16" ht="17.25" customHeight="1" spans="1:46">
      <c r="A16" s="17">
        <v>0.014958</v>
      </c>
      <c r="B16" s="8">
        <v>0.0160938</v>
      </c>
      <c r="C16" s="8">
        <v>71789900000000</v>
      </c>
      <c r="D16" s="8">
        <v>98712500000</v>
      </c>
      <c r="E16" s="8">
        <v>0</v>
      </c>
      <c r="F16" s="8">
        <v>0</v>
      </c>
      <c r="G16" s="8">
        <v>2</v>
      </c>
      <c r="H16" s="8">
        <v>17513400000000</v>
      </c>
      <c r="I16" s="8">
        <v>16198300000000</v>
      </c>
      <c r="J16" s="8">
        <v>16592700000000</v>
      </c>
      <c r="K16" s="8">
        <v>18153900000000</v>
      </c>
      <c r="L16" s="8">
        <v>3331660000000</v>
      </c>
      <c r="N16" s="18">
        <v>0.0150039</v>
      </c>
      <c r="O16" s="8">
        <v>0.0161365</v>
      </c>
      <c r="P16" s="8">
        <v>71336200000000</v>
      </c>
      <c r="Q16" s="8">
        <v>108662000000</v>
      </c>
      <c r="R16" s="8">
        <v>0</v>
      </c>
      <c r="S16" s="8">
        <v>0</v>
      </c>
      <c r="T16" s="8">
        <v>2</v>
      </c>
      <c r="U16" s="8">
        <v>16707600000000</v>
      </c>
      <c r="V16" s="8">
        <v>19501700000000</v>
      </c>
      <c r="W16" s="8">
        <v>14834000000000</v>
      </c>
      <c r="X16" s="8">
        <v>16782900000000</v>
      </c>
      <c r="Y16" s="8">
        <v>3509980000000</v>
      </c>
      <c r="AA16" s="8">
        <v>0.0150174</v>
      </c>
      <c r="AB16" s="8">
        <v>0.0161724</v>
      </c>
      <c r="AC16" s="8">
        <v>83043800000000</v>
      </c>
      <c r="AD16" s="8">
        <v>151583000000</v>
      </c>
      <c r="AE16" s="8">
        <v>0</v>
      </c>
      <c r="AF16" s="8">
        <v>0</v>
      </c>
      <c r="AG16" s="8">
        <v>2</v>
      </c>
      <c r="AH16" s="8">
        <v>21177100000000</v>
      </c>
      <c r="AI16" s="8">
        <v>20278700000000</v>
      </c>
      <c r="AJ16" s="8">
        <v>18923800000000</v>
      </c>
      <c r="AK16" s="8">
        <v>17778900000000</v>
      </c>
      <c r="AL16" s="8">
        <v>4885280000000</v>
      </c>
      <c r="AN16" s="8">
        <f t="shared" si="0"/>
        <v>0.0150039</v>
      </c>
      <c r="AO16" s="8">
        <f t="shared" si="1"/>
        <v>75389966666666.7</v>
      </c>
      <c r="AP16" s="8">
        <f t="shared" si="2"/>
        <v>71336200000000</v>
      </c>
      <c r="AQ16" s="8">
        <f t="shared" si="3"/>
        <v>83043800000000</v>
      </c>
      <c r="AR16" s="8">
        <f t="shared" si="4"/>
        <v>3908973333333.33</v>
      </c>
      <c r="AS16" s="8">
        <f t="shared" si="5"/>
        <v>3331660000000</v>
      </c>
      <c r="AT16" s="8">
        <f t="shared" si="6"/>
        <v>4885280000000</v>
      </c>
    </row>
    <row r="17" ht="17.25" customHeight="1" spans="1:46">
      <c r="A17" s="17">
        <v>0.0159657</v>
      </c>
      <c r="B17" s="8">
        <v>0.0171044</v>
      </c>
      <c r="C17" s="8">
        <v>74932200000000</v>
      </c>
      <c r="D17" s="8">
        <v>85240100000</v>
      </c>
      <c r="E17" s="8">
        <v>0</v>
      </c>
      <c r="F17" s="8">
        <v>0</v>
      </c>
      <c r="G17" s="8">
        <v>2</v>
      </c>
      <c r="H17" s="8">
        <v>17916400000000</v>
      </c>
      <c r="I17" s="8">
        <v>16449300000000</v>
      </c>
      <c r="J17" s="8">
        <v>17935900000000</v>
      </c>
      <c r="K17" s="8">
        <v>18983200000000</v>
      </c>
      <c r="L17" s="8">
        <v>3647290000000</v>
      </c>
      <c r="N17" s="18">
        <v>0.0160319</v>
      </c>
      <c r="O17" s="8">
        <v>0.01722</v>
      </c>
      <c r="P17" s="8">
        <v>69648800000000</v>
      </c>
      <c r="Q17" s="8">
        <v>106566000000</v>
      </c>
      <c r="R17" s="8">
        <v>0</v>
      </c>
      <c r="S17" s="8">
        <v>0</v>
      </c>
      <c r="T17" s="8">
        <v>2</v>
      </c>
      <c r="U17" s="8">
        <v>16695200000000</v>
      </c>
      <c r="V17" s="8">
        <v>18924200000000</v>
      </c>
      <c r="W17" s="8">
        <v>15043800000000</v>
      </c>
      <c r="X17" s="8">
        <v>15624600000000</v>
      </c>
      <c r="Y17" s="8">
        <v>3361020000000</v>
      </c>
      <c r="AA17" s="8">
        <v>0.0159718</v>
      </c>
      <c r="AB17" s="8">
        <v>0.0171005</v>
      </c>
      <c r="AC17" s="8">
        <v>84667200000000</v>
      </c>
      <c r="AD17" s="8">
        <v>105416000000</v>
      </c>
      <c r="AE17" s="8">
        <v>0</v>
      </c>
      <c r="AF17" s="8">
        <v>0</v>
      </c>
      <c r="AG17" s="8">
        <v>2</v>
      </c>
      <c r="AH17" s="8">
        <v>22062300000000</v>
      </c>
      <c r="AI17" s="8">
        <v>19429300000000</v>
      </c>
      <c r="AJ17" s="8">
        <v>20171700000000</v>
      </c>
      <c r="AK17" s="8">
        <v>17662400000000</v>
      </c>
      <c r="AL17" s="8">
        <v>5341530000000</v>
      </c>
      <c r="AN17" s="8">
        <f t="shared" si="0"/>
        <v>0.0160319</v>
      </c>
      <c r="AO17" s="8">
        <f t="shared" si="1"/>
        <v>76416066666666.7</v>
      </c>
      <c r="AP17" s="8">
        <f t="shared" si="2"/>
        <v>69648800000000</v>
      </c>
      <c r="AQ17" s="8">
        <f t="shared" si="3"/>
        <v>84667200000000</v>
      </c>
      <c r="AR17" s="8">
        <f t="shared" si="4"/>
        <v>4116613333333.33</v>
      </c>
      <c r="AS17" s="8">
        <f t="shared" si="5"/>
        <v>3361020000000</v>
      </c>
      <c r="AT17" s="8">
        <f t="shared" si="6"/>
        <v>5341530000000</v>
      </c>
    </row>
    <row r="18" ht="17.25" customHeight="1" spans="1:46">
      <c r="A18" s="17">
        <v>0.0169862</v>
      </c>
      <c r="B18" s="8">
        <v>0.0180777</v>
      </c>
      <c r="C18" s="8">
        <v>73388100000000</v>
      </c>
      <c r="D18" s="8">
        <v>86085800000</v>
      </c>
      <c r="E18" s="8">
        <v>0</v>
      </c>
      <c r="F18" s="8">
        <v>0</v>
      </c>
      <c r="G18" s="8">
        <v>2</v>
      </c>
      <c r="H18" s="8">
        <v>18011700000000</v>
      </c>
      <c r="I18" s="8">
        <v>16054100000000</v>
      </c>
      <c r="J18" s="8">
        <v>17727900000000</v>
      </c>
      <c r="K18" s="8">
        <v>17945100000000</v>
      </c>
      <c r="L18" s="8">
        <v>3649250000000</v>
      </c>
      <c r="N18" s="18">
        <v>0.0170604</v>
      </c>
      <c r="O18" s="8">
        <v>0.018256</v>
      </c>
      <c r="P18" s="8">
        <v>69939400000000</v>
      </c>
      <c r="Q18" s="8">
        <v>86434000000</v>
      </c>
      <c r="R18" s="8">
        <v>0</v>
      </c>
      <c r="S18" s="8">
        <v>0</v>
      </c>
      <c r="T18" s="8">
        <v>2</v>
      </c>
      <c r="U18" s="8">
        <v>15739200000000</v>
      </c>
      <c r="V18" s="8">
        <v>19835300000000</v>
      </c>
      <c r="W18" s="8">
        <v>17092300000000</v>
      </c>
      <c r="X18" s="8">
        <v>14044700000000</v>
      </c>
      <c r="Y18" s="8">
        <v>3226430000000</v>
      </c>
      <c r="AA18" s="8">
        <v>0.0170214</v>
      </c>
      <c r="AB18" s="8">
        <v>0.0181627</v>
      </c>
      <c r="AC18" s="8">
        <v>87127800000000</v>
      </c>
      <c r="AD18" s="8">
        <v>113800000000</v>
      </c>
      <c r="AE18" s="8">
        <v>0</v>
      </c>
      <c r="AF18" s="8">
        <v>0</v>
      </c>
      <c r="AG18" s="8">
        <v>2</v>
      </c>
      <c r="AH18" s="8">
        <v>21447800000000</v>
      </c>
      <c r="AI18" s="8">
        <v>20909800000000</v>
      </c>
      <c r="AJ18" s="8">
        <v>23118100000000</v>
      </c>
      <c r="AK18" s="8">
        <v>16299100000000</v>
      </c>
      <c r="AL18" s="8">
        <v>5353000000000</v>
      </c>
      <c r="AN18" s="8">
        <f t="shared" si="0"/>
        <v>0.0170604</v>
      </c>
      <c r="AO18" s="8">
        <f t="shared" si="1"/>
        <v>76818433333333.3</v>
      </c>
      <c r="AP18" s="8">
        <f t="shared" si="2"/>
        <v>69939400000000</v>
      </c>
      <c r="AQ18" s="8">
        <f t="shared" si="3"/>
        <v>87127800000000</v>
      </c>
      <c r="AR18" s="8">
        <f t="shared" si="4"/>
        <v>4076226666666.67</v>
      </c>
      <c r="AS18" s="8">
        <f t="shared" si="5"/>
        <v>3226430000000</v>
      </c>
      <c r="AT18" s="8">
        <f t="shared" si="6"/>
        <v>5353000000000</v>
      </c>
    </row>
    <row r="19" ht="17.25" customHeight="1" spans="1:46">
      <c r="A19" s="17">
        <v>0.0179816</v>
      </c>
      <c r="B19" s="8">
        <v>0.019149</v>
      </c>
      <c r="C19" s="8">
        <v>70794800000000</v>
      </c>
      <c r="D19" s="8">
        <v>96937400000</v>
      </c>
      <c r="E19" s="8">
        <v>0</v>
      </c>
      <c r="F19" s="8">
        <v>0</v>
      </c>
      <c r="G19" s="8">
        <v>2</v>
      </c>
      <c r="H19" s="8">
        <v>16969200000000</v>
      </c>
      <c r="I19" s="8">
        <v>14994800000000</v>
      </c>
      <c r="J19" s="8">
        <v>16360800000000</v>
      </c>
      <c r="K19" s="8">
        <v>18693900000000</v>
      </c>
      <c r="L19" s="8">
        <v>3776010000000</v>
      </c>
      <c r="N19" s="18">
        <v>0.018023</v>
      </c>
      <c r="O19" s="8">
        <v>0.0192314</v>
      </c>
      <c r="P19" s="8">
        <v>74680200000000</v>
      </c>
      <c r="Q19" s="8">
        <v>96626100000</v>
      </c>
      <c r="R19" s="8">
        <v>0</v>
      </c>
      <c r="S19" s="8">
        <v>0</v>
      </c>
      <c r="T19" s="8">
        <v>2</v>
      </c>
      <c r="U19" s="8">
        <v>18041900000000</v>
      </c>
      <c r="V19" s="8">
        <v>19967000000000</v>
      </c>
      <c r="W19" s="8">
        <v>19690500000000</v>
      </c>
      <c r="X19" s="8">
        <v>13534100000000</v>
      </c>
      <c r="Y19" s="8">
        <v>3446840000000</v>
      </c>
      <c r="AA19" s="8">
        <v>0.0180214</v>
      </c>
      <c r="AB19" s="8">
        <v>0.0191327</v>
      </c>
      <c r="AC19" s="8">
        <v>86345600000000</v>
      </c>
      <c r="AD19" s="8">
        <v>126116000000</v>
      </c>
      <c r="AE19" s="8">
        <v>0</v>
      </c>
      <c r="AF19" s="8">
        <v>0</v>
      </c>
      <c r="AG19" s="8">
        <v>2</v>
      </c>
      <c r="AH19" s="8">
        <v>20319400000000</v>
      </c>
      <c r="AI19" s="8">
        <v>20320700000000</v>
      </c>
      <c r="AJ19" s="8">
        <v>22926600000000</v>
      </c>
      <c r="AK19" s="8">
        <v>17252500000000</v>
      </c>
      <c r="AL19" s="8">
        <v>5526430000000</v>
      </c>
      <c r="AN19" s="8">
        <f t="shared" si="0"/>
        <v>0.018023</v>
      </c>
      <c r="AO19" s="8">
        <f t="shared" si="1"/>
        <v>77273533333333.3</v>
      </c>
      <c r="AP19" s="8">
        <f t="shared" si="2"/>
        <v>70794800000000</v>
      </c>
      <c r="AQ19" s="8">
        <f t="shared" si="3"/>
        <v>86345600000000</v>
      </c>
      <c r="AR19" s="8">
        <f t="shared" si="4"/>
        <v>4249760000000</v>
      </c>
      <c r="AS19" s="8">
        <f t="shared" si="5"/>
        <v>3446840000000</v>
      </c>
      <c r="AT19" s="8">
        <f t="shared" si="6"/>
        <v>5526430000000</v>
      </c>
    </row>
    <row r="20" ht="17.25" customHeight="1" spans="1:46">
      <c r="A20" s="17">
        <v>0.0190311</v>
      </c>
      <c r="B20" s="8">
        <v>0.0201916</v>
      </c>
      <c r="C20" s="8">
        <v>74620100000000</v>
      </c>
      <c r="D20" s="8">
        <v>124716000000</v>
      </c>
      <c r="E20" s="8">
        <v>0</v>
      </c>
      <c r="F20" s="8">
        <v>0</v>
      </c>
      <c r="G20" s="8">
        <v>2</v>
      </c>
      <c r="H20" s="8">
        <v>16668500000000</v>
      </c>
      <c r="I20" s="8">
        <v>15524200000000</v>
      </c>
      <c r="J20" s="8">
        <v>18076500000000</v>
      </c>
      <c r="K20" s="8">
        <v>20516300000000</v>
      </c>
      <c r="L20" s="8">
        <v>3834530000000</v>
      </c>
      <c r="N20" s="18">
        <v>0.0190245</v>
      </c>
      <c r="O20" s="8">
        <v>0.0201668</v>
      </c>
      <c r="P20" s="8">
        <v>78544400000000</v>
      </c>
      <c r="Q20" s="8">
        <v>96512600000</v>
      </c>
      <c r="R20" s="8">
        <v>0</v>
      </c>
      <c r="S20" s="8">
        <v>0</v>
      </c>
      <c r="T20" s="8">
        <v>2</v>
      </c>
      <c r="U20" s="8">
        <v>19493800000000</v>
      </c>
      <c r="V20" s="8">
        <v>19034600000000</v>
      </c>
      <c r="W20" s="8">
        <v>22990000000000</v>
      </c>
      <c r="X20" s="8">
        <v>13678900000000</v>
      </c>
      <c r="Y20" s="8">
        <v>3347080000000</v>
      </c>
      <c r="AA20" s="8">
        <v>0.0189707</v>
      </c>
      <c r="AB20" s="8">
        <v>0.0200954</v>
      </c>
      <c r="AC20" s="8">
        <v>78151300000000</v>
      </c>
      <c r="AD20" s="8">
        <v>153323000000</v>
      </c>
      <c r="AE20" s="8">
        <v>0</v>
      </c>
      <c r="AF20" s="8">
        <v>0</v>
      </c>
      <c r="AG20" s="8">
        <v>2</v>
      </c>
      <c r="AH20" s="8">
        <v>16451400000000</v>
      </c>
      <c r="AI20" s="8">
        <v>16380300000000</v>
      </c>
      <c r="AJ20" s="8">
        <v>20531200000000</v>
      </c>
      <c r="AK20" s="8">
        <v>19451600000000</v>
      </c>
      <c r="AL20" s="8">
        <v>5336910000000</v>
      </c>
      <c r="AN20" s="8">
        <f t="shared" si="0"/>
        <v>0.0190245</v>
      </c>
      <c r="AO20" s="8">
        <f t="shared" si="1"/>
        <v>77105266666666.7</v>
      </c>
      <c r="AP20" s="8">
        <f t="shared" si="2"/>
        <v>74620100000000</v>
      </c>
      <c r="AQ20" s="8">
        <f t="shared" si="3"/>
        <v>78544400000000</v>
      </c>
      <c r="AR20" s="8">
        <f t="shared" si="4"/>
        <v>4172840000000</v>
      </c>
      <c r="AS20" s="8">
        <f t="shared" si="5"/>
        <v>3347080000000</v>
      </c>
      <c r="AT20" s="8">
        <f t="shared" si="6"/>
        <v>5336910000000</v>
      </c>
    </row>
    <row r="21" ht="17.25" customHeight="1" spans="1:46">
      <c r="A21" s="17">
        <v>0.0200388</v>
      </c>
      <c r="B21" s="8">
        <v>0.0211881</v>
      </c>
      <c r="C21" s="8">
        <v>77010300000000</v>
      </c>
      <c r="D21" s="8">
        <v>122076000000</v>
      </c>
      <c r="E21" s="8">
        <v>0</v>
      </c>
      <c r="F21" s="8">
        <v>0</v>
      </c>
      <c r="G21" s="8">
        <v>2</v>
      </c>
      <c r="H21" s="8">
        <v>15636700000000</v>
      </c>
      <c r="I21" s="8">
        <v>17077200000000</v>
      </c>
      <c r="J21" s="8">
        <v>19200200000000</v>
      </c>
      <c r="K21" s="8">
        <v>20650700000000</v>
      </c>
      <c r="L21" s="8">
        <v>4445440000000</v>
      </c>
      <c r="N21" s="18">
        <v>0.020046</v>
      </c>
      <c r="O21" s="8">
        <v>0.0211276</v>
      </c>
      <c r="P21" s="8">
        <v>78037000000000</v>
      </c>
      <c r="Q21" s="8">
        <v>100594000000</v>
      </c>
      <c r="R21" s="8">
        <v>0</v>
      </c>
      <c r="S21" s="8">
        <v>0</v>
      </c>
      <c r="T21" s="8">
        <v>2</v>
      </c>
      <c r="U21" s="8">
        <v>20856000000000</v>
      </c>
      <c r="V21" s="8">
        <v>19981100000000</v>
      </c>
      <c r="W21" s="8">
        <v>18630600000000</v>
      </c>
      <c r="X21" s="8">
        <v>14818300000000</v>
      </c>
      <c r="Y21" s="8">
        <v>3750970000000</v>
      </c>
      <c r="AA21" s="8">
        <v>0.0199824</v>
      </c>
      <c r="AB21" s="8">
        <v>0.0211627</v>
      </c>
      <c r="AC21" s="8">
        <v>79379400000000</v>
      </c>
      <c r="AD21" s="8">
        <v>158073000000</v>
      </c>
      <c r="AE21" s="8">
        <v>0</v>
      </c>
      <c r="AF21" s="8">
        <v>0</v>
      </c>
      <c r="AG21" s="8">
        <v>2</v>
      </c>
      <c r="AH21" s="8">
        <v>15126900000000</v>
      </c>
      <c r="AI21" s="8">
        <v>18032600000000</v>
      </c>
      <c r="AJ21" s="8">
        <v>20780100000000</v>
      </c>
      <c r="AK21" s="8">
        <v>20081300000000</v>
      </c>
      <c r="AL21" s="8">
        <v>5358500000000</v>
      </c>
      <c r="AN21" s="8">
        <f t="shared" si="0"/>
        <v>0.020046</v>
      </c>
      <c r="AO21" s="8">
        <f t="shared" si="1"/>
        <v>78142233333333.3</v>
      </c>
      <c r="AP21" s="8">
        <f t="shared" si="2"/>
        <v>77010300000000</v>
      </c>
      <c r="AQ21" s="8">
        <f t="shared" si="3"/>
        <v>79379400000000</v>
      </c>
      <c r="AR21" s="8">
        <f t="shared" si="4"/>
        <v>4518303333333.33</v>
      </c>
      <c r="AS21" s="8">
        <f t="shared" si="5"/>
        <v>3750970000000</v>
      </c>
      <c r="AT21" s="8">
        <f t="shared" si="6"/>
        <v>5358500000000</v>
      </c>
    </row>
    <row r="22" ht="17.25" customHeight="1" spans="1:46">
      <c r="A22" s="17">
        <v>0.0210071</v>
      </c>
      <c r="B22" s="8">
        <v>0.0221185</v>
      </c>
      <c r="C22" s="8">
        <v>70254000000000</v>
      </c>
      <c r="D22" s="8">
        <v>113042000000</v>
      </c>
      <c r="E22" s="8">
        <v>0</v>
      </c>
      <c r="F22" s="8">
        <v>0</v>
      </c>
      <c r="G22" s="8">
        <v>2</v>
      </c>
      <c r="H22" s="8">
        <v>15278200000000</v>
      </c>
      <c r="I22" s="8">
        <v>15935800000000</v>
      </c>
      <c r="J22" s="8">
        <v>16717500000000</v>
      </c>
      <c r="K22" s="8">
        <v>18147100000000</v>
      </c>
      <c r="L22" s="8">
        <v>4174590000000</v>
      </c>
      <c r="N22" s="18">
        <v>0.0209945</v>
      </c>
      <c r="O22" s="8">
        <v>0.022153</v>
      </c>
      <c r="P22" s="8">
        <v>77415200000000</v>
      </c>
      <c r="Q22" s="8">
        <v>128281000000</v>
      </c>
      <c r="R22" s="8">
        <v>0</v>
      </c>
      <c r="S22" s="8">
        <v>0</v>
      </c>
      <c r="T22" s="8">
        <v>2</v>
      </c>
      <c r="U22" s="8">
        <v>19835500000000</v>
      </c>
      <c r="V22" s="8">
        <v>21545700000000</v>
      </c>
      <c r="W22" s="8">
        <v>16479500000000</v>
      </c>
      <c r="X22" s="8">
        <v>15257000000000</v>
      </c>
      <c r="Y22" s="8">
        <v>4297380000000</v>
      </c>
      <c r="AA22" s="8">
        <v>0.0209949</v>
      </c>
      <c r="AB22" s="8">
        <v>0.0221531</v>
      </c>
      <c r="AC22" s="8">
        <v>79743000000000</v>
      </c>
      <c r="AD22" s="8">
        <v>124229000000</v>
      </c>
      <c r="AE22" s="8">
        <v>0</v>
      </c>
      <c r="AF22" s="8">
        <v>0</v>
      </c>
      <c r="AG22" s="8">
        <v>2</v>
      </c>
      <c r="AH22" s="8">
        <v>15869200000000</v>
      </c>
      <c r="AI22" s="8">
        <v>18728900000000</v>
      </c>
      <c r="AJ22" s="8">
        <v>20680500000000</v>
      </c>
      <c r="AK22" s="8">
        <v>19226800000000</v>
      </c>
      <c r="AL22" s="8">
        <v>5237700000000</v>
      </c>
      <c r="AN22" s="8">
        <f t="shared" si="0"/>
        <v>0.0209945</v>
      </c>
      <c r="AO22" s="8">
        <f t="shared" si="1"/>
        <v>75804066666666.7</v>
      </c>
      <c r="AP22" s="8">
        <f t="shared" si="2"/>
        <v>70254000000000</v>
      </c>
      <c r="AQ22" s="8">
        <f t="shared" si="3"/>
        <v>79743000000000</v>
      </c>
      <c r="AR22" s="8">
        <f t="shared" si="4"/>
        <v>4569890000000</v>
      </c>
      <c r="AS22" s="8">
        <f t="shared" si="5"/>
        <v>4174590000000</v>
      </c>
      <c r="AT22" s="8">
        <f t="shared" si="6"/>
        <v>5237700000000</v>
      </c>
    </row>
    <row r="23" ht="17.25" customHeight="1" spans="1:46">
      <c r="A23" s="17">
        <v>0.0219919</v>
      </c>
      <c r="B23" s="8">
        <v>0.0231899</v>
      </c>
      <c r="C23" s="8">
        <v>69930100000000</v>
      </c>
      <c r="D23" s="8">
        <v>111353000000</v>
      </c>
      <c r="E23" s="8">
        <v>0</v>
      </c>
      <c r="F23" s="8">
        <v>0</v>
      </c>
      <c r="G23" s="8">
        <v>2</v>
      </c>
      <c r="H23" s="8">
        <v>15292900000000</v>
      </c>
      <c r="I23" s="8">
        <v>16414800000000</v>
      </c>
      <c r="J23" s="8">
        <v>17384100000000</v>
      </c>
      <c r="K23" s="8">
        <v>17154100000000</v>
      </c>
      <c r="L23" s="8">
        <v>3684160000000</v>
      </c>
      <c r="N23" s="18">
        <v>0.0220655</v>
      </c>
      <c r="O23" s="8">
        <v>0.0231878</v>
      </c>
      <c r="P23" s="8">
        <v>84828600000000</v>
      </c>
      <c r="Q23" s="8">
        <v>131866000000</v>
      </c>
      <c r="R23" s="8">
        <v>0</v>
      </c>
      <c r="S23" s="8">
        <v>0</v>
      </c>
      <c r="T23" s="8">
        <v>2</v>
      </c>
      <c r="U23" s="8">
        <v>20603200000000</v>
      </c>
      <c r="V23" s="8">
        <v>24610600000000</v>
      </c>
      <c r="W23" s="8">
        <v>18770600000000</v>
      </c>
      <c r="X23" s="8">
        <v>15794700000000</v>
      </c>
      <c r="Y23" s="8">
        <v>5049640000000</v>
      </c>
      <c r="AA23" s="8">
        <v>0.0219581</v>
      </c>
      <c r="AB23" s="8">
        <v>0.0231091</v>
      </c>
      <c r="AC23" s="8">
        <v>83415000000000</v>
      </c>
      <c r="AD23" s="8">
        <v>103554000000</v>
      </c>
      <c r="AE23" s="8">
        <v>0</v>
      </c>
      <c r="AF23" s="8">
        <v>0</v>
      </c>
      <c r="AG23" s="8">
        <v>2</v>
      </c>
      <c r="AH23" s="8">
        <v>17111800000000</v>
      </c>
      <c r="AI23" s="8">
        <v>19654000000000</v>
      </c>
      <c r="AJ23" s="8">
        <v>22363600000000</v>
      </c>
      <c r="AK23" s="8">
        <v>19108500000000</v>
      </c>
      <c r="AL23" s="8">
        <v>5177020000000</v>
      </c>
      <c r="AN23" s="8">
        <f t="shared" si="0"/>
        <v>0.0220655</v>
      </c>
      <c r="AO23" s="8">
        <f t="shared" si="1"/>
        <v>79391233333333.3</v>
      </c>
      <c r="AP23" s="8">
        <f t="shared" si="2"/>
        <v>69930100000000</v>
      </c>
      <c r="AQ23" s="8">
        <f t="shared" si="3"/>
        <v>84828600000000</v>
      </c>
      <c r="AR23" s="8">
        <f t="shared" si="4"/>
        <v>4636940000000</v>
      </c>
      <c r="AS23" s="8">
        <f t="shared" si="5"/>
        <v>3684160000000</v>
      </c>
      <c r="AT23" s="8">
        <f t="shared" si="6"/>
        <v>5177020000000</v>
      </c>
    </row>
    <row r="24" ht="17.25" customHeight="1" spans="1:46">
      <c r="A24" s="17">
        <v>0.023031</v>
      </c>
      <c r="B24" s="8">
        <v>0.0242276</v>
      </c>
      <c r="C24" s="8">
        <v>74061400000000</v>
      </c>
      <c r="D24" s="8">
        <v>109908000000</v>
      </c>
      <c r="E24" s="8">
        <v>0</v>
      </c>
      <c r="F24" s="8">
        <v>0</v>
      </c>
      <c r="G24" s="8">
        <v>2</v>
      </c>
      <c r="H24" s="8">
        <v>15062000000000</v>
      </c>
      <c r="I24" s="8">
        <v>18007000000000</v>
      </c>
      <c r="J24" s="8">
        <v>18341600000000</v>
      </c>
      <c r="K24" s="8">
        <v>18707000000000</v>
      </c>
      <c r="L24" s="8">
        <v>3943900000000</v>
      </c>
      <c r="N24" s="18">
        <v>0.0230311</v>
      </c>
      <c r="O24" s="8">
        <v>0.024156</v>
      </c>
      <c r="P24" s="8">
        <v>82590200000000</v>
      </c>
      <c r="Q24" s="8">
        <v>99580800000</v>
      </c>
      <c r="R24" s="8">
        <v>0</v>
      </c>
      <c r="S24" s="8">
        <v>0</v>
      </c>
      <c r="T24" s="8">
        <v>2</v>
      </c>
      <c r="U24" s="8">
        <v>20498900000000</v>
      </c>
      <c r="V24" s="8">
        <v>21700700000000</v>
      </c>
      <c r="W24" s="8">
        <v>18033100000000</v>
      </c>
      <c r="X24" s="8">
        <v>17092600000000</v>
      </c>
      <c r="Y24" s="8">
        <v>5264950000000</v>
      </c>
      <c r="AA24" s="8">
        <v>0.0229693</v>
      </c>
      <c r="AB24" s="8">
        <v>0.0241175</v>
      </c>
      <c r="AC24" s="8">
        <v>84087800000000</v>
      </c>
      <c r="AD24" s="8">
        <v>139170000000</v>
      </c>
      <c r="AE24" s="8">
        <v>0</v>
      </c>
      <c r="AF24" s="8">
        <v>0</v>
      </c>
      <c r="AG24" s="8">
        <v>2</v>
      </c>
      <c r="AH24" s="8">
        <v>16812600000000</v>
      </c>
      <c r="AI24" s="8">
        <v>19648600000000</v>
      </c>
      <c r="AJ24" s="8">
        <v>20889300000000</v>
      </c>
      <c r="AK24" s="8">
        <v>21060600000000</v>
      </c>
      <c r="AL24" s="8">
        <v>5676770000000</v>
      </c>
      <c r="AN24" s="8">
        <f t="shared" si="0"/>
        <v>0.0230311</v>
      </c>
      <c r="AO24" s="8">
        <f t="shared" si="1"/>
        <v>80246466666666.7</v>
      </c>
      <c r="AP24" s="8">
        <f t="shared" si="2"/>
        <v>74061400000000</v>
      </c>
      <c r="AQ24" s="8">
        <f t="shared" si="3"/>
        <v>84087800000000</v>
      </c>
      <c r="AR24" s="8">
        <f t="shared" si="4"/>
        <v>4961873333333.33</v>
      </c>
      <c r="AS24" s="8">
        <f t="shared" si="5"/>
        <v>3943900000000</v>
      </c>
      <c r="AT24" s="8">
        <f t="shared" si="6"/>
        <v>5676770000000</v>
      </c>
    </row>
    <row r="25" ht="17.25" customHeight="1" spans="1:46">
      <c r="A25" s="17">
        <v>0.0240038</v>
      </c>
      <c r="B25" s="8">
        <v>0.0251343</v>
      </c>
      <c r="C25" s="8">
        <v>73715400000000</v>
      </c>
      <c r="D25" s="8">
        <v>89216100000</v>
      </c>
      <c r="E25" s="8">
        <v>0</v>
      </c>
      <c r="F25" s="8">
        <v>0</v>
      </c>
      <c r="G25" s="8">
        <v>2</v>
      </c>
      <c r="H25" s="8">
        <v>14846900000000</v>
      </c>
      <c r="I25" s="8">
        <v>18220500000000</v>
      </c>
      <c r="J25" s="8">
        <v>18035100000000</v>
      </c>
      <c r="K25" s="8">
        <v>18869900000000</v>
      </c>
      <c r="L25" s="8">
        <v>3742770000000</v>
      </c>
      <c r="N25" s="18">
        <v>0.0240047</v>
      </c>
      <c r="O25" s="8">
        <v>0.0251742</v>
      </c>
      <c r="P25" s="8">
        <v>81436500000000</v>
      </c>
      <c r="Q25" s="8">
        <v>100331000000</v>
      </c>
      <c r="R25" s="8">
        <v>0</v>
      </c>
      <c r="S25" s="8">
        <v>0</v>
      </c>
      <c r="T25" s="8">
        <v>2</v>
      </c>
      <c r="U25" s="8">
        <v>21235100000000</v>
      </c>
      <c r="V25" s="8">
        <v>20711100000000</v>
      </c>
      <c r="W25" s="8">
        <v>16551200000000</v>
      </c>
      <c r="X25" s="8">
        <v>17906800000000</v>
      </c>
      <c r="Y25" s="8">
        <v>5032310000000</v>
      </c>
      <c r="AA25" s="8">
        <v>0.0239916</v>
      </c>
      <c r="AB25" s="8">
        <v>0.0251398</v>
      </c>
      <c r="AC25" s="8">
        <v>81489800000000</v>
      </c>
      <c r="AD25" s="8">
        <v>171290000000</v>
      </c>
      <c r="AE25" s="8">
        <v>0</v>
      </c>
      <c r="AF25" s="8">
        <v>0</v>
      </c>
      <c r="AG25" s="8">
        <v>2</v>
      </c>
      <c r="AH25" s="8">
        <v>17988200000000</v>
      </c>
      <c r="AI25" s="8">
        <v>18639500000000</v>
      </c>
      <c r="AJ25" s="8">
        <v>19601300000000</v>
      </c>
      <c r="AK25" s="8">
        <v>19390600000000</v>
      </c>
      <c r="AL25" s="8">
        <v>5870230000000</v>
      </c>
      <c r="AN25" s="8">
        <f t="shared" si="0"/>
        <v>0.0240047</v>
      </c>
      <c r="AO25" s="8">
        <f t="shared" si="1"/>
        <v>78880566666666.7</v>
      </c>
      <c r="AP25" s="8">
        <f t="shared" si="2"/>
        <v>73715400000000</v>
      </c>
      <c r="AQ25" s="8">
        <f t="shared" si="3"/>
        <v>81489800000000</v>
      </c>
      <c r="AR25" s="8">
        <f t="shared" si="4"/>
        <v>4881770000000</v>
      </c>
      <c r="AS25" s="8">
        <f t="shared" si="5"/>
        <v>3742770000000</v>
      </c>
      <c r="AT25" s="8">
        <f t="shared" si="6"/>
        <v>5870230000000</v>
      </c>
    </row>
    <row r="26" ht="17.25" customHeight="1" spans="1:46">
      <c r="A26" s="17">
        <v>0.0249717</v>
      </c>
      <c r="B26" s="8">
        <v>0.0261214</v>
      </c>
      <c r="C26" s="8">
        <v>76686000000000</v>
      </c>
      <c r="D26" s="8">
        <v>101124000000</v>
      </c>
      <c r="E26" s="8">
        <v>0</v>
      </c>
      <c r="F26" s="8">
        <v>0</v>
      </c>
      <c r="G26" s="8">
        <v>2</v>
      </c>
      <c r="H26" s="8">
        <v>15547900000000</v>
      </c>
      <c r="I26" s="8">
        <v>18514800000000</v>
      </c>
      <c r="J26" s="8">
        <v>18916700000000</v>
      </c>
      <c r="K26" s="8">
        <v>19642000000000</v>
      </c>
      <c r="L26" s="8">
        <v>4064590000000</v>
      </c>
      <c r="N26" s="18">
        <v>0.0249807</v>
      </c>
      <c r="O26" s="8">
        <v>0.0261272</v>
      </c>
      <c r="P26" s="8">
        <v>79274000000000</v>
      </c>
      <c r="Q26" s="8">
        <v>126075000000</v>
      </c>
      <c r="R26" s="8">
        <v>0</v>
      </c>
      <c r="S26" s="8">
        <v>0</v>
      </c>
      <c r="T26" s="8">
        <v>2</v>
      </c>
      <c r="U26" s="8">
        <v>18734900000000</v>
      </c>
      <c r="V26" s="8">
        <v>20274000000000</v>
      </c>
      <c r="W26" s="8">
        <v>15990200000000</v>
      </c>
      <c r="X26" s="8">
        <v>19012700000000</v>
      </c>
      <c r="Y26" s="8">
        <v>5262120000000</v>
      </c>
      <c r="AA26" s="8">
        <v>0.0250279</v>
      </c>
      <c r="AB26" s="8">
        <v>0.0261617</v>
      </c>
      <c r="AC26" s="8">
        <v>85030000000000</v>
      </c>
      <c r="AD26" s="8">
        <v>148181000000</v>
      </c>
      <c r="AE26" s="8">
        <v>0</v>
      </c>
      <c r="AF26" s="8">
        <v>0</v>
      </c>
      <c r="AG26" s="8">
        <v>2</v>
      </c>
      <c r="AH26" s="8">
        <v>17795200000000</v>
      </c>
      <c r="AI26" s="8">
        <v>20034900000000</v>
      </c>
      <c r="AJ26" s="8">
        <v>20611400000000</v>
      </c>
      <c r="AK26" s="8">
        <v>20520300000000</v>
      </c>
      <c r="AL26" s="8">
        <v>6068150000000</v>
      </c>
      <c r="AN26" s="8">
        <f t="shared" si="0"/>
        <v>0.0249807</v>
      </c>
      <c r="AO26" s="8">
        <f t="shared" si="1"/>
        <v>80330000000000</v>
      </c>
      <c r="AP26" s="8">
        <f t="shared" si="2"/>
        <v>76686000000000</v>
      </c>
      <c r="AQ26" s="8">
        <f t="shared" si="3"/>
        <v>85030000000000</v>
      </c>
      <c r="AR26" s="8">
        <f t="shared" si="4"/>
        <v>5131620000000</v>
      </c>
      <c r="AS26" s="8">
        <f t="shared" si="5"/>
        <v>4064590000000</v>
      </c>
      <c r="AT26" s="8">
        <f t="shared" si="6"/>
        <v>6068150000000</v>
      </c>
    </row>
    <row r="27" ht="17.25" customHeight="1" spans="1:46">
      <c r="A27" s="17">
        <v>0.0259966</v>
      </c>
      <c r="B27" s="8">
        <v>0.0271423</v>
      </c>
      <c r="C27" s="8">
        <v>73387400000000</v>
      </c>
      <c r="D27" s="8">
        <v>91339500000</v>
      </c>
      <c r="E27" s="8">
        <v>0</v>
      </c>
      <c r="F27" s="8">
        <v>0</v>
      </c>
      <c r="G27" s="8">
        <v>2</v>
      </c>
      <c r="H27" s="8">
        <v>16544600000000</v>
      </c>
      <c r="I27" s="8">
        <v>17630000000000</v>
      </c>
      <c r="J27" s="8">
        <v>16060500000000</v>
      </c>
      <c r="K27" s="8">
        <v>18634000000000</v>
      </c>
      <c r="L27" s="8">
        <v>4518270000000</v>
      </c>
      <c r="N27" s="18">
        <v>0.0259889</v>
      </c>
      <c r="O27" s="8">
        <v>0.0271216</v>
      </c>
      <c r="P27" s="8">
        <v>78478700000000</v>
      </c>
      <c r="Q27" s="8">
        <v>141994000000</v>
      </c>
      <c r="R27" s="8">
        <v>0</v>
      </c>
      <c r="S27" s="8">
        <v>0</v>
      </c>
      <c r="T27" s="8">
        <v>2</v>
      </c>
      <c r="U27" s="8">
        <v>18264100000000</v>
      </c>
      <c r="V27" s="8">
        <v>20046500000000</v>
      </c>
      <c r="W27" s="8">
        <v>15609700000000</v>
      </c>
      <c r="X27" s="8">
        <v>19358700000000</v>
      </c>
      <c r="Y27" s="8">
        <v>5199580000000</v>
      </c>
      <c r="AA27" s="8">
        <v>0.0260715</v>
      </c>
      <c r="AB27" s="8">
        <v>0.0271659</v>
      </c>
      <c r="AC27" s="8">
        <v>85702300000000</v>
      </c>
      <c r="AD27" s="8">
        <v>124529000000</v>
      </c>
      <c r="AE27" s="8">
        <v>0</v>
      </c>
      <c r="AF27" s="8">
        <v>0</v>
      </c>
      <c r="AG27" s="8">
        <v>2</v>
      </c>
      <c r="AH27" s="8">
        <v>17741800000000</v>
      </c>
      <c r="AI27" s="8">
        <v>21381900000000</v>
      </c>
      <c r="AJ27" s="8">
        <v>20421800000000</v>
      </c>
      <c r="AK27" s="8">
        <v>20051800000000</v>
      </c>
      <c r="AL27" s="8">
        <v>6105010000000</v>
      </c>
      <c r="AN27" s="8">
        <f t="shared" si="0"/>
        <v>0.0259889</v>
      </c>
      <c r="AO27" s="8">
        <f t="shared" si="1"/>
        <v>79189466666666.7</v>
      </c>
      <c r="AP27" s="8">
        <f t="shared" si="2"/>
        <v>73387400000000</v>
      </c>
      <c r="AQ27" s="8">
        <f t="shared" si="3"/>
        <v>85702300000000</v>
      </c>
      <c r="AR27" s="8">
        <f t="shared" si="4"/>
        <v>5274286666666.67</v>
      </c>
      <c r="AS27" s="8">
        <f t="shared" si="5"/>
        <v>4518270000000</v>
      </c>
      <c r="AT27" s="8">
        <f t="shared" si="6"/>
        <v>6105010000000</v>
      </c>
    </row>
    <row r="28" ht="17.25" customHeight="1" spans="1:46">
      <c r="A28" s="17">
        <v>0.0270438</v>
      </c>
      <c r="B28" s="8">
        <v>0.0282134</v>
      </c>
      <c r="C28" s="8">
        <v>74979400000000</v>
      </c>
      <c r="D28" s="8">
        <v>110441000000</v>
      </c>
      <c r="E28" s="8">
        <v>0</v>
      </c>
      <c r="F28" s="8">
        <v>0</v>
      </c>
      <c r="G28" s="8">
        <v>2</v>
      </c>
      <c r="H28" s="8">
        <v>17016400000000</v>
      </c>
      <c r="I28" s="8">
        <v>15897200000000</v>
      </c>
      <c r="J28" s="8">
        <v>17423800000000</v>
      </c>
      <c r="K28" s="8">
        <v>20174100000000</v>
      </c>
      <c r="L28" s="8">
        <v>4467920000000</v>
      </c>
      <c r="N28" s="18">
        <v>0.0269924</v>
      </c>
      <c r="O28" s="8">
        <v>0.0281632</v>
      </c>
      <c r="P28" s="8">
        <v>78244500000000</v>
      </c>
      <c r="Q28" s="8">
        <v>105116000000</v>
      </c>
      <c r="R28" s="8">
        <v>0</v>
      </c>
      <c r="S28" s="8">
        <v>0</v>
      </c>
      <c r="T28" s="8">
        <v>2</v>
      </c>
      <c r="U28" s="8">
        <v>19185800000000</v>
      </c>
      <c r="V28" s="8">
        <v>18657600000000</v>
      </c>
      <c r="W28" s="8">
        <v>15688600000000</v>
      </c>
      <c r="X28" s="8">
        <v>19334000000000</v>
      </c>
      <c r="Y28" s="8">
        <v>5378450000000</v>
      </c>
      <c r="AA28" s="8">
        <v>0.0270388</v>
      </c>
      <c r="AB28" s="8">
        <v>0.0281461</v>
      </c>
      <c r="AC28" s="8">
        <v>83240200000000</v>
      </c>
      <c r="AD28" s="8">
        <v>164440000000</v>
      </c>
      <c r="AE28" s="8">
        <v>0</v>
      </c>
      <c r="AF28" s="8">
        <v>0</v>
      </c>
      <c r="AG28" s="8">
        <v>2</v>
      </c>
      <c r="AH28" s="8">
        <v>17811900000000</v>
      </c>
      <c r="AI28" s="8">
        <v>20892700000000</v>
      </c>
      <c r="AJ28" s="8">
        <v>20086100000000</v>
      </c>
      <c r="AK28" s="8">
        <v>18449000000000</v>
      </c>
      <c r="AL28" s="8">
        <v>6000490000000</v>
      </c>
      <c r="AN28" s="8">
        <f t="shared" si="0"/>
        <v>0.0269924</v>
      </c>
      <c r="AO28" s="8">
        <f t="shared" si="1"/>
        <v>78821366666666.7</v>
      </c>
      <c r="AP28" s="8">
        <f t="shared" si="2"/>
        <v>74979400000000</v>
      </c>
      <c r="AQ28" s="8">
        <f t="shared" si="3"/>
        <v>83240200000000</v>
      </c>
      <c r="AR28" s="8">
        <f t="shared" si="4"/>
        <v>5282286666666.67</v>
      </c>
      <c r="AS28" s="8">
        <f t="shared" si="5"/>
        <v>4467920000000</v>
      </c>
      <c r="AT28" s="8">
        <f t="shared" si="6"/>
        <v>6000490000000</v>
      </c>
    </row>
    <row r="29" ht="17.25" customHeight="1" spans="1:46">
      <c r="A29" s="17">
        <v>0.0279699</v>
      </c>
      <c r="B29" s="8">
        <v>0.0291627</v>
      </c>
      <c r="C29" s="8">
        <v>77645300000000</v>
      </c>
      <c r="D29" s="8">
        <v>103324000000</v>
      </c>
      <c r="E29" s="8">
        <v>0</v>
      </c>
      <c r="F29" s="8">
        <v>0</v>
      </c>
      <c r="G29" s="8">
        <v>2</v>
      </c>
      <c r="H29" s="8">
        <v>16641900000000</v>
      </c>
      <c r="I29" s="8">
        <v>16943300000000</v>
      </c>
      <c r="J29" s="8">
        <v>17475000000000</v>
      </c>
      <c r="K29" s="8">
        <v>22385500000000</v>
      </c>
      <c r="L29" s="8">
        <v>4199720000000</v>
      </c>
      <c r="N29" s="18">
        <v>0.0279601</v>
      </c>
      <c r="O29" s="8">
        <v>0.0291773</v>
      </c>
      <c r="P29" s="8">
        <v>81729400000000</v>
      </c>
      <c r="Q29" s="8">
        <v>139483000000</v>
      </c>
      <c r="R29" s="8">
        <v>0</v>
      </c>
      <c r="S29" s="8">
        <v>0</v>
      </c>
      <c r="T29" s="8">
        <v>2</v>
      </c>
      <c r="U29" s="8">
        <v>20567800000000</v>
      </c>
      <c r="V29" s="8">
        <v>19718600000000</v>
      </c>
      <c r="W29" s="8">
        <v>15881900000000</v>
      </c>
      <c r="X29" s="8">
        <v>20179200000000</v>
      </c>
      <c r="Y29" s="8">
        <v>5381960000000</v>
      </c>
      <c r="AA29" s="8">
        <v>0.0280232</v>
      </c>
      <c r="AB29" s="8">
        <v>0.02917</v>
      </c>
      <c r="AC29" s="8">
        <v>82622500000000</v>
      </c>
      <c r="AD29" s="8">
        <v>116381000000</v>
      </c>
      <c r="AE29" s="8">
        <v>0</v>
      </c>
      <c r="AF29" s="8">
        <v>0</v>
      </c>
      <c r="AG29" s="8">
        <v>2</v>
      </c>
      <c r="AH29" s="8">
        <v>18832800000000</v>
      </c>
      <c r="AI29" s="8">
        <v>21116500000000</v>
      </c>
      <c r="AJ29" s="8">
        <v>18861500000000</v>
      </c>
      <c r="AK29" s="8">
        <v>18146900000000</v>
      </c>
      <c r="AL29" s="8">
        <v>5664750000000</v>
      </c>
      <c r="AN29" s="8">
        <f t="shared" si="0"/>
        <v>0.0279601</v>
      </c>
      <c r="AO29" s="8">
        <f t="shared" si="1"/>
        <v>80665733333333.3</v>
      </c>
      <c r="AP29" s="8">
        <f t="shared" si="2"/>
        <v>77645300000000</v>
      </c>
      <c r="AQ29" s="8">
        <f t="shared" si="3"/>
        <v>82622500000000</v>
      </c>
      <c r="AR29" s="8">
        <f t="shared" si="4"/>
        <v>5082143333333.33</v>
      </c>
      <c r="AS29" s="8">
        <f t="shared" si="5"/>
        <v>4199720000000</v>
      </c>
      <c r="AT29" s="8">
        <f t="shared" si="6"/>
        <v>5664750000000</v>
      </c>
    </row>
    <row r="30" ht="17.25" customHeight="1" spans="1:46">
      <c r="A30" s="17">
        <v>0.0289961</v>
      </c>
      <c r="B30" s="8">
        <v>0.0301481</v>
      </c>
      <c r="C30" s="8">
        <v>80991900000000</v>
      </c>
      <c r="D30" s="8">
        <v>107020000000</v>
      </c>
      <c r="E30" s="8">
        <v>0</v>
      </c>
      <c r="F30" s="8">
        <v>0</v>
      </c>
      <c r="G30" s="8">
        <v>2</v>
      </c>
      <c r="H30" s="8">
        <v>17661300000000</v>
      </c>
      <c r="I30" s="8">
        <v>17682500000000</v>
      </c>
      <c r="J30" s="8">
        <v>18722800000000</v>
      </c>
      <c r="K30" s="8">
        <v>22903500000000</v>
      </c>
      <c r="L30" s="8">
        <v>4021840000000</v>
      </c>
      <c r="N30" s="18">
        <v>0.0289875</v>
      </c>
      <c r="O30" s="8">
        <v>0.0301541</v>
      </c>
      <c r="P30" s="8">
        <v>88104100000000</v>
      </c>
      <c r="Q30" s="8">
        <v>124928000000</v>
      </c>
      <c r="R30" s="8">
        <v>0</v>
      </c>
      <c r="S30" s="8">
        <v>0</v>
      </c>
      <c r="T30" s="8">
        <v>2</v>
      </c>
      <c r="U30" s="8">
        <v>22195500000000</v>
      </c>
      <c r="V30" s="8">
        <v>21172000000000</v>
      </c>
      <c r="W30" s="8">
        <v>16702400000000</v>
      </c>
      <c r="X30" s="8">
        <v>21971900000000</v>
      </c>
      <c r="Y30" s="8">
        <v>6062340000000</v>
      </c>
      <c r="AA30" s="8">
        <v>0.0290058</v>
      </c>
      <c r="AB30" s="8">
        <v>0.0301687</v>
      </c>
      <c r="AC30" s="8">
        <v>89653300000000</v>
      </c>
      <c r="AD30" s="8">
        <v>147123000000</v>
      </c>
      <c r="AE30" s="8">
        <v>0</v>
      </c>
      <c r="AF30" s="8">
        <v>0</v>
      </c>
      <c r="AG30" s="8">
        <v>2</v>
      </c>
      <c r="AH30" s="8">
        <v>20820100000000</v>
      </c>
      <c r="AI30" s="8">
        <v>23455300000000</v>
      </c>
      <c r="AJ30" s="8">
        <v>18825600000000</v>
      </c>
      <c r="AK30" s="8">
        <v>20397100000000</v>
      </c>
      <c r="AL30" s="8">
        <v>6155170000000</v>
      </c>
      <c r="AN30" s="8">
        <f t="shared" si="0"/>
        <v>0.0289875</v>
      </c>
      <c r="AO30" s="8">
        <f t="shared" si="1"/>
        <v>86249766666666.7</v>
      </c>
      <c r="AP30" s="8">
        <f t="shared" si="2"/>
        <v>80991900000000</v>
      </c>
      <c r="AQ30" s="8">
        <f t="shared" si="3"/>
        <v>89653300000000</v>
      </c>
      <c r="AR30" s="8">
        <f t="shared" si="4"/>
        <v>5413116666666.67</v>
      </c>
      <c r="AS30" s="8">
        <f t="shared" si="5"/>
        <v>4021840000000</v>
      </c>
      <c r="AT30" s="8">
        <f t="shared" si="6"/>
        <v>6155170000000</v>
      </c>
    </row>
    <row r="31" ht="17.25" customHeight="1" spans="1:46">
      <c r="A31" s="17">
        <v>0.0300293</v>
      </c>
      <c r="B31" s="8">
        <v>0.0311557</v>
      </c>
      <c r="C31" s="8">
        <v>82194100000000</v>
      </c>
      <c r="D31" s="8">
        <v>125941000000</v>
      </c>
      <c r="E31" s="8">
        <v>0</v>
      </c>
      <c r="F31" s="8">
        <v>0</v>
      </c>
      <c r="G31" s="8">
        <v>2</v>
      </c>
      <c r="H31" s="8">
        <v>19159500000000</v>
      </c>
      <c r="I31" s="8">
        <v>16990900000000</v>
      </c>
      <c r="J31" s="8">
        <v>20718800000000</v>
      </c>
      <c r="K31" s="8">
        <v>20819200000000</v>
      </c>
      <c r="L31" s="8">
        <v>4505660000000</v>
      </c>
      <c r="N31" s="18">
        <v>0.0299898</v>
      </c>
      <c r="O31" s="8">
        <v>0.0311124</v>
      </c>
      <c r="P31" s="8">
        <v>85880500000000</v>
      </c>
      <c r="Q31" s="8">
        <v>110153000000</v>
      </c>
      <c r="R31" s="8">
        <v>0</v>
      </c>
      <c r="S31" s="8">
        <v>0</v>
      </c>
      <c r="T31" s="8">
        <v>2</v>
      </c>
      <c r="U31" s="8">
        <v>22099200000000</v>
      </c>
      <c r="V31" s="8">
        <v>21564200000000</v>
      </c>
      <c r="W31" s="8">
        <v>14760200000000</v>
      </c>
      <c r="X31" s="8">
        <v>21142300000000</v>
      </c>
      <c r="Y31" s="8">
        <v>6314580000000</v>
      </c>
      <c r="AA31" s="8">
        <v>0.0300149</v>
      </c>
      <c r="AB31" s="8">
        <v>0.031112</v>
      </c>
      <c r="AC31" s="8">
        <v>89982500000000</v>
      </c>
      <c r="AD31" s="8">
        <v>154595000000</v>
      </c>
      <c r="AE31" s="8">
        <v>0</v>
      </c>
      <c r="AF31" s="8">
        <v>0</v>
      </c>
      <c r="AG31" s="8">
        <v>2</v>
      </c>
      <c r="AH31" s="8">
        <v>21057900000000</v>
      </c>
      <c r="AI31" s="8">
        <v>23452500000000</v>
      </c>
      <c r="AJ31" s="8">
        <v>18776100000000</v>
      </c>
      <c r="AK31" s="8">
        <v>20302800000000</v>
      </c>
      <c r="AL31" s="8">
        <v>6393150000000</v>
      </c>
      <c r="AN31" s="8">
        <f t="shared" si="0"/>
        <v>0.0299898</v>
      </c>
      <c r="AO31" s="8">
        <f t="shared" si="1"/>
        <v>86019033333333.3</v>
      </c>
      <c r="AP31" s="8">
        <f t="shared" si="2"/>
        <v>82194100000000</v>
      </c>
      <c r="AQ31" s="8">
        <f t="shared" si="3"/>
        <v>89982500000000</v>
      </c>
      <c r="AR31" s="8">
        <f t="shared" si="4"/>
        <v>5737796666666.67</v>
      </c>
      <c r="AS31" s="8">
        <f t="shared" si="5"/>
        <v>4505660000000</v>
      </c>
      <c r="AT31" s="8">
        <f t="shared" si="6"/>
        <v>6393150000000</v>
      </c>
    </row>
    <row r="32" ht="17.25" customHeight="1" spans="1:46">
      <c r="A32" s="1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N32" s="18">
        <v>0.0309618</v>
      </c>
      <c r="O32" s="8">
        <v>0.0320992</v>
      </c>
      <c r="P32" s="8">
        <v>84846100000000</v>
      </c>
      <c r="Q32" s="8">
        <v>124521000000</v>
      </c>
      <c r="R32" s="8">
        <v>0</v>
      </c>
      <c r="S32" s="8">
        <v>0</v>
      </c>
      <c r="T32" s="8">
        <v>2</v>
      </c>
      <c r="U32" s="8">
        <v>21831200000000</v>
      </c>
      <c r="V32" s="8">
        <v>21906500000000</v>
      </c>
      <c r="W32" s="8">
        <v>14758500000000</v>
      </c>
      <c r="X32" s="8">
        <v>20020800000000</v>
      </c>
      <c r="Y32" s="8">
        <v>6329230000000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N32" s="8"/>
      <c r="AO32" s="8"/>
      <c r="AP32" s="8"/>
      <c r="AQ32" s="8"/>
      <c r="AR32" s="8"/>
      <c r="AS32" s="8"/>
      <c r="AT32" s="8"/>
    </row>
    <row r="33" ht="17.25" customHeight="1" spans="1:46">
      <c r="A33" s="1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N33" s="1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N33" s="8"/>
      <c r="AO33" s="8"/>
      <c r="AP33" s="8"/>
      <c r="AQ33" s="8"/>
      <c r="AR33" s="8"/>
      <c r="AS33" s="8"/>
      <c r="AT33" s="8"/>
    </row>
    <row r="34" ht="17.25" customHeight="1" spans="1:46">
      <c r="A34" s="1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N34" s="1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N34" s="8"/>
      <c r="AO34" s="8"/>
      <c r="AP34" s="8"/>
      <c r="AQ34" s="8"/>
      <c r="AR34" s="8"/>
      <c r="AS34" s="8"/>
      <c r="AT34" s="8"/>
    </row>
    <row r="35" ht="17.25" customHeight="1" spans="1:4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N35" s="1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N35" s="8"/>
      <c r="AO35" s="8"/>
      <c r="AP35" s="8"/>
      <c r="AQ35" s="8"/>
      <c r="AR35" s="8"/>
      <c r="AS35" s="8"/>
      <c r="AT35" s="8"/>
    </row>
    <row r="36" ht="17.25" customHeight="1" spans="1:4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N36" s="1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N36" s="8"/>
      <c r="AO36" s="8"/>
      <c r="AP36" s="8"/>
      <c r="AQ36" s="8"/>
      <c r="AR36" s="8"/>
      <c r="AS36" s="8"/>
      <c r="AT36" s="8"/>
    </row>
    <row r="37" ht="17.25" customHeight="1" spans="1:4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N37" s="1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N37" s="8"/>
      <c r="AO37" s="8"/>
      <c r="AP37" s="8"/>
      <c r="AQ37" s="8"/>
      <c r="AR37" s="8"/>
      <c r="AS37" s="8"/>
      <c r="AT37" s="8"/>
    </row>
    <row r="38" ht="17.25" customHeight="1" spans="1:4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N38" s="1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N38" s="8"/>
      <c r="AO38" s="8"/>
      <c r="AP38" s="8"/>
      <c r="AQ38" s="8"/>
      <c r="AR38" s="8"/>
      <c r="AS38" s="8"/>
      <c r="AT38" s="8"/>
    </row>
    <row r="39" ht="17.25" customHeight="1" spans="1:4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N39" s="1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N39" s="8"/>
      <c r="AO39" s="8"/>
      <c r="AP39" s="8"/>
      <c r="AQ39" s="8"/>
      <c r="AR39" s="8"/>
      <c r="AS39" s="8"/>
      <c r="AT39" s="8"/>
    </row>
    <row r="40" ht="17.25" customHeight="1" spans="1:4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N40" s="1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N40" s="8"/>
      <c r="AO40" s="8"/>
      <c r="AP40" s="8"/>
      <c r="AQ40" s="8"/>
      <c r="AR40" s="8"/>
      <c r="AS40" s="8"/>
      <c r="AT40" s="8"/>
    </row>
    <row r="41" ht="17.25" customHeight="1" spans="1:4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N41" s="1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N41" s="8"/>
      <c r="AO41" s="8"/>
      <c r="AP41" s="8"/>
      <c r="AQ41" s="8"/>
      <c r="AR41" s="8"/>
      <c r="AS41" s="8"/>
      <c r="AT41" s="8"/>
    </row>
    <row r="42" ht="17.25" customHeight="1" spans="1:4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N42" s="1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N42" s="8"/>
      <c r="AO42" s="8"/>
      <c r="AP42" s="8"/>
      <c r="AQ42" s="8"/>
      <c r="AR42" s="8"/>
      <c r="AS42" s="8"/>
      <c r="AT42" s="8"/>
    </row>
    <row r="43" ht="17.25" customHeight="1" spans="1:4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N43" s="1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N43" s="8"/>
      <c r="AO43" s="8"/>
      <c r="AP43" s="8"/>
      <c r="AQ43" s="8"/>
      <c r="AR43" s="8"/>
      <c r="AS43" s="8"/>
      <c r="AT43" s="8"/>
    </row>
    <row r="44" ht="17.25" customHeight="1" spans="1:4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N44" s="1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N44" s="8"/>
      <c r="AO44" s="8"/>
      <c r="AP44" s="8"/>
      <c r="AQ44" s="8"/>
      <c r="AR44" s="8"/>
      <c r="AS44" s="8"/>
      <c r="AT44" s="8"/>
    </row>
    <row r="45" ht="17.25" customHeight="1" spans="1:4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N45" s="1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N45" s="8"/>
      <c r="AO45" s="8"/>
      <c r="AP45" s="8"/>
      <c r="AQ45" s="8"/>
      <c r="AR45" s="8"/>
      <c r="AS45" s="8"/>
      <c r="AT45" s="8"/>
    </row>
    <row r="46" ht="17.25" customHeight="1" spans="1: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N46" s="1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N46" s="8"/>
      <c r="AO46" s="8"/>
      <c r="AP46" s="8"/>
      <c r="AQ46" s="8"/>
      <c r="AR46" s="8"/>
      <c r="AS46" s="8"/>
      <c r="AT46" s="8"/>
    </row>
    <row r="47" ht="17.25" customHeight="1" spans="1:4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N47" s="1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N47" s="8"/>
      <c r="AO47" s="8"/>
      <c r="AP47" s="8"/>
      <c r="AQ47" s="8"/>
      <c r="AR47" s="8"/>
      <c r="AS47" s="8"/>
      <c r="AT47" s="8"/>
    </row>
    <row r="48" ht="17.25" customHeight="1" spans="1:4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N48" s="1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N48" s="8"/>
      <c r="AO48" s="8"/>
      <c r="AP48" s="8"/>
      <c r="AQ48" s="8"/>
      <c r="AR48" s="8"/>
      <c r="AS48" s="8"/>
      <c r="AT48" s="8"/>
    </row>
    <row r="49" ht="17.25" customHeight="1" spans="1:4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N49" s="1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N49" s="8"/>
      <c r="AO49" s="8"/>
      <c r="AP49" s="8"/>
      <c r="AQ49" s="8"/>
      <c r="AR49" s="8"/>
      <c r="AS49" s="8"/>
      <c r="AT49" s="8"/>
    </row>
    <row r="50" ht="17.25" customHeight="1" spans="1:4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N50" s="1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N50" s="8"/>
      <c r="AO50" s="8"/>
      <c r="AP50" s="8"/>
      <c r="AQ50" s="8"/>
      <c r="AR50" s="8"/>
      <c r="AS50" s="8"/>
      <c r="AT50" s="8"/>
    </row>
    <row r="51" ht="17.25" customHeight="1" spans="1:4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N51" s="1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N51" s="8"/>
      <c r="AO51" s="8"/>
      <c r="AP51" s="8"/>
      <c r="AQ51" s="8"/>
      <c r="AR51" s="8"/>
      <c r="AS51" s="8"/>
      <c r="AT51" s="8"/>
    </row>
    <row r="52" ht="17.25" customHeight="1" spans="1:4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N52" s="1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N52" s="8"/>
      <c r="AO52" s="8"/>
      <c r="AP52" s="8"/>
      <c r="AQ52" s="8"/>
      <c r="AR52" s="8"/>
      <c r="AS52" s="8"/>
      <c r="AT52" s="8"/>
    </row>
    <row r="53" ht="17.25" customHeight="1" spans="1:4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N53" s="1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N53" s="9"/>
      <c r="AO53" s="9"/>
      <c r="AP53" s="9"/>
      <c r="AQ53" s="9"/>
      <c r="AR53" s="9"/>
      <c r="AS53" s="9"/>
      <c r="AT53" s="9"/>
    </row>
    <row r="54" ht="17.25" customHeight="1" spans="1:4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N54" s="1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N54" s="9"/>
      <c r="AO54" s="9"/>
      <c r="AP54" s="9"/>
      <c r="AQ54" s="9"/>
      <c r="AR54" s="9"/>
      <c r="AS54" s="9"/>
      <c r="AT54" s="9"/>
    </row>
    <row r="55" ht="17.25" customHeight="1" spans="1:4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N55" s="1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N55" s="9"/>
      <c r="AO55" s="9"/>
      <c r="AP55" s="9"/>
      <c r="AQ55" s="9"/>
      <c r="AR55" s="9"/>
      <c r="AS55" s="9"/>
      <c r="AT55" s="9"/>
    </row>
  </sheetData>
  <mergeCells count="3">
    <mergeCell ref="A1:L1"/>
    <mergeCell ref="N1:Y1"/>
    <mergeCell ref="AA1:AL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M21"/>
  <sheetViews>
    <sheetView workbookViewId="0">
      <selection activeCell="A1" sqref="A1"/>
    </sheetView>
  </sheetViews>
  <sheetFormatPr defaultColWidth="8.68148148148148" defaultRowHeight="15" customHeight="1"/>
  <cols>
    <col min="1" max="1" width="14.7185185185185" style="1" customWidth="1"/>
    <col min="2" max="2" width="9.14074074074074" style="1" customWidth="1"/>
    <col min="3" max="3" width="17.8666666666667" style="1" customWidth="1"/>
    <col min="4" max="4" width="19.0074074074074" style="1" customWidth="1"/>
    <col min="5" max="6" width="12.4296296296296" style="2" customWidth="1"/>
    <col min="7" max="9" width="12.4296296296296" style="1" customWidth="1"/>
    <col min="10" max="10" width="12.4296296296296" style="2" customWidth="1"/>
    <col min="11" max="11" width="8.86666666666667" style="11" customWidth="1"/>
    <col min="12" max="12" width="12.4296296296296" style="2" customWidth="1"/>
    <col min="13" max="13" width="12.4296296296296" style="1" customWidth="1"/>
  </cols>
  <sheetData>
    <row r="1" ht="18.75" customHeight="1" spans="1:13">
      <c r="A1" s="4" t="s">
        <v>24</v>
      </c>
      <c r="B1" s="12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14" t="s">
        <v>24</v>
      </c>
      <c r="L1" s="6" t="s">
        <v>25</v>
      </c>
      <c r="M1" s="6" t="s">
        <v>26</v>
      </c>
    </row>
    <row r="2" ht="18.75" customHeight="1" spans="1:13">
      <c r="A2" s="4" t="s">
        <v>27</v>
      </c>
      <c r="B2" s="10">
        <f>'400K_SR40_Stress'!L3</f>
        <v>132</v>
      </c>
      <c r="C2" s="8">
        <f>'400K_SR40_Stress'!M3</f>
        <v>12400000000000</v>
      </c>
      <c r="D2" s="8">
        <f>'400K_SR40_Stress'!N3</f>
        <v>44000000000000</v>
      </c>
      <c r="E2" s="7">
        <f>'400K_SR40_Stress'!O3</f>
        <v>35.3249088058837</v>
      </c>
      <c r="F2" s="7">
        <f>'400K_SR40_Stress'!P3</f>
        <v>6.65421064938585</v>
      </c>
      <c r="G2" s="7">
        <f>'400K_SR40_Stress'!Q3</f>
        <v>35.9461778428583</v>
      </c>
      <c r="H2" s="7">
        <f>'400K_SR40_Stress'!R3</f>
        <v>58.014</v>
      </c>
      <c r="I2" s="7">
        <f>'400K_SR40_Stress'!S3</f>
        <v>1.61391289648688</v>
      </c>
      <c r="J2" s="7">
        <f>'400K_SR40_Stress'!T3</f>
        <v>0.281818181818182</v>
      </c>
      <c r="K2" s="10">
        <v>40</v>
      </c>
      <c r="L2" s="7">
        <f t="shared" ref="L2:L13" si="0">H2-G2</f>
        <v>22.0678221571417</v>
      </c>
      <c r="M2" s="7">
        <f t="shared" ref="M2:M13" si="1">L2*1000000/SQRT(D2)</f>
        <v>3.32684936525137</v>
      </c>
    </row>
    <row r="3" ht="18.75" customHeight="1" spans="1:13">
      <c r="A3" s="4" t="s">
        <v>28</v>
      </c>
      <c r="B3" s="10">
        <f>'400K_SR40_Stress'!L4</f>
        <v>123</v>
      </c>
      <c r="C3" s="8">
        <f>'400K_SR40_Stress'!M4</f>
        <v>12800000000000</v>
      </c>
      <c r="D3" s="8">
        <f>'400K_SR40_Stress'!N4</f>
        <v>47800000000000</v>
      </c>
      <c r="E3" s="7">
        <f>'400K_SR40_Stress'!O4</f>
        <v>35.890143236939</v>
      </c>
      <c r="F3" s="7">
        <f>'400K_SR40_Stress'!P4</f>
        <v>6.93560187090349</v>
      </c>
      <c r="G3" s="7">
        <f>'400K_SR40_Stress'!Q4</f>
        <v>36.5541373154897</v>
      </c>
      <c r="H3" s="7">
        <f>'400K_SR40_Stress'!R4</f>
        <v>54.0585</v>
      </c>
      <c r="I3" s="7">
        <f>'400K_SR40_Stress'!S4</f>
        <v>1.47886132651509</v>
      </c>
      <c r="J3" s="7">
        <f>'400K_SR40_Stress'!T4</f>
        <v>0.267782426778243</v>
      </c>
      <c r="K3" s="10">
        <v>40</v>
      </c>
      <c r="L3" s="7">
        <f t="shared" si="0"/>
        <v>17.5043626845103</v>
      </c>
      <c r="M3" s="7">
        <f t="shared" si="1"/>
        <v>2.53181725212059</v>
      </c>
    </row>
    <row r="4" ht="18.75" customHeight="1" spans="1:13">
      <c r="A4" s="4" t="s">
        <v>29</v>
      </c>
      <c r="B4" s="10">
        <f>'400K_SR40_Stress'!L5</f>
        <v>137.4774</v>
      </c>
      <c r="C4" s="8">
        <f>'400K_SR40_Stress'!M5</f>
        <v>12413940000000</v>
      </c>
      <c r="D4" s="8">
        <f>'400K_SR40_Stress'!N5</f>
        <v>46861120000000</v>
      </c>
      <c r="E4" s="7">
        <f>'400K_SR40_Stress'!O5</f>
        <v>35.3447592458051</v>
      </c>
      <c r="F4" s="7">
        <f>'400K_SR40_Stress'!P5</f>
        <v>6.8671500795308</v>
      </c>
      <c r="G4" s="7">
        <f>'400K_SR40_Stress'!Q5</f>
        <v>36.0056906107733</v>
      </c>
      <c r="H4" s="7">
        <f>'400K_SR40_Stress'!R5</f>
        <v>60.4213173</v>
      </c>
      <c r="I4" s="7">
        <f>'400K_SR40_Stress'!S5</f>
        <v>1.67810466276465</v>
      </c>
      <c r="J4" s="7">
        <f>'400K_SR40_Stress'!T5</f>
        <v>0.264909161368742</v>
      </c>
      <c r="K4" s="10">
        <v>40</v>
      </c>
      <c r="L4" s="7">
        <f t="shared" si="0"/>
        <v>24.4156266892267</v>
      </c>
      <c r="M4" s="7">
        <f t="shared" si="1"/>
        <v>3.56665862634506</v>
      </c>
    </row>
    <row r="5" ht="18.75" customHeight="1" spans="1:13">
      <c r="A5" s="4" t="s">
        <v>30</v>
      </c>
      <c r="B5" s="7">
        <f>'400K_SR100_Stress'!L3</f>
        <v>143.0018</v>
      </c>
      <c r="C5" s="8">
        <f>'400K_SR100_Stress'!M3</f>
        <v>8819098000000</v>
      </c>
      <c r="D5" s="8">
        <f>'400K_SR100_Stress'!N3</f>
        <v>45230120000000</v>
      </c>
      <c r="E5" s="7">
        <f>'400K_SR100_Stress'!O3</f>
        <v>29.7908085881283</v>
      </c>
      <c r="F5" s="7">
        <f>'400K_SR100_Stress'!P3</f>
        <v>6.74658624848792</v>
      </c>
      <c r="G5" s="7">
        <f>'400K_SR100_Stress'!Q3</f>
        <v>30.5451911492265</v>
      </c>
      <c r="H5" s="7">
        <f>'400K_SR100_Stress'!R3</f>
        <v>62.8492911</v>
      </c>
      <c r="I5" s="7">
        <f>'400K_SR100_Stress'!S3</f>
        <v>2.05758382041068</v>
      </c>
      <c r="J5" s="7">
        <f>'400K_SR100_Stress'!T3</f>
        <v>0.194982856556649</v>
      </c>
      <c r="K5" s="10">
        <v>100</v>
      </c>
      <c r="L5" s="7">
        <f t="shared" si="0"/>
        <v>32.3040999507735</v>
      </c>
      <c r="M5" s="7">
        <f t="shared" si="1"/>
        <v>4.8033449381724</v>
      </c>
    </row>
    <row r="6" ht="18.75" customHeight="1" spans="1:13">
      <c r="A6" s="4" t="s">
        <v>31</v>
      </c>
      <c r="B6" s="7">
        <f>'400K_SR100_Stress'!L4</f>
        <v>135.0584</v>
      </c>
      <c r="C6" s="8">
        <f>'400K_SR100_Stress'!M4</f>
        <v>8562096000000</v>
      </c>
      <c r="D6" s="8">
        <f>'400K_SR100_Stress'!N4</f>
        <v>44641760000000</v>
      </c>
      <c r="E6" s="7">
        <f>'400K_SR100_Stress'!O4</f>
        <v>29.3535243955233</v>
      </c>
      <c r="F6" s="7">
        <f>'400K_SR100_Stress'!P4</f>
        <v>6.70256232331775</v>
      </c>
      <c r="G6" s="7">
        <f>'400K_SR100_Stress'!Q4</f>
        <v>30.1090308069944</v>
      </c>
      <c r="H6" s="7">
        <f>'400K_SR100_Stress'!R4</f>
        <v>59.3581668</v>
      </c>
      <c r="I6" s="7">
        <f>'400K_SR100_Stress'!S4</f>
        <v>1.97144063455576</v>
      </c>
      <c r="J6" s="7">
        <f>'400K_SR100_Stress'!T4</f>
        <v>0.191795663970238</v>
      </c>
      <c r="K6" s="10">
        <v>100</v>
      </c>
      <c r="L6" s="7">
        <f t="shared" si="0"/>
        <v>29.2491359930056</v>
      </c>
      <c r="M6" s="7">
        <f t="shared" si="1"/>
        <v>4.3776636228605</v>
      </c>
    </row>
    <row r="7" ht="18.75" customHeight="1" spans="1:13">
      <c r="A7" s="4" t="s">
        <v>32</v>
      </c>
      <c r="B7" s="7">
        <f>'400K_SR100_Stress'!L5</f>
        <v>143.095</v>
      </c>
      <c r="C7" s="8">
        <f>'400K_SR100_Stress'!M5</f>
        <v>9674936000000</v>
      </c>
      <c r="D7" s="8">
        <f>'400K_SR100_Stress'!N5</f>
        <v>44690420000000</v>
      </c>
      <c r="E7" s="7">
        <f>'400K_SR100_Stress'!O5</f>
        <v>31.202849558271</v>
      </c>
      <c r="F7" s="7">
        <f>'400K_SR100_Stress'!P5</f>
        <v>6.70621426104609</v>
      </c>
      <c r="G7" s="7">
        <f>'400K_SR100_Stress'!Q5</f>
        <v>31.9153745124689</v>
      </c>
      <c r="H7" s="7">
        <f>'400K_SR100_Stress'!R5</f>
        <v>62.8902525</v>
      </c>
      <c r="I7" s="7">
        <f>'400K_SR100_Stress'!S5</f>
        <v>1.97053155291753</v>
      </c>
      <c r="J7" s="7">
        <f>'400K_SR100_Stress'!T5</f>
        <v>0.216487918439791</v>
      </c>
      <c r="K7" s="10">
        <v>100</v>
      </c>
      <c r="L7" s="7">
        <f t="shared" si="0"/>
        <v>30.9748779875311</v>
      </c>
      <c r="M7" s="7">
        <f t="shared" si="1"/>
        <v>4.63342765268653</v>
      </c>
    </row>
    <row r="8" ht="18.75" customHeight="1" spans="1:13">
      <c r="A8" s="4" t="s">
        <v>33</v>
      </c>
      <c r="B8" s="7">
        <f>'400K_SR1000_Stress'!L3</f>
        <v>178.431</v>
      </c>
      <c r="C8" s="8">
        <f>'400K_SR1000_Stress'!M3</f>
        <v>7293454000000</v>
      </c>
      <c r="D8" s="8">
        <f>'400K_SR1000_Stress'!N3</f>
        <v>58909940000000</v>
      </c>
      <c r="E8" s="7">
        <f>'400K_SR1000_Stress'!O3</f>
        <v>27.0917357487376</v>
      </c>
      <c r="F8" s="7">
        <f>'400K_SR1000_Stress'!P3</f>
        <v>7.69953499062748</v>
      </c>
      <c r="G8" s="7">
        <f>'400K_SR1000_Stress'!Q3</f>
        <v>28.1646051801072</v>
      </c>
      <c r="H8" s="7">
        <f>'400K_SR1000_Stress'!R3</f>
        <v>78.4204245</v>
      </c>
      <c r="I8" s="7">
        <f>'400K_SR1000_Stress'!S3</f>
        <v>2.78436086707115</v>
      </c>
      <c r="J8" s="7">
        <f>'400K_SR1000_Stress'!T3</f>
        <v>0.123806848216108</v>
      </c>
      <c r="K8" s="10">
        <v>1000</v>
      </c>
      <c r="L8" s="7">
        <f t="shared" si="0"/>
        <v>50.2558193198928</v>
      </c>
      <c r="M8" s="7">
        <f t="shared" si="1"/>
        <v>6.54774967193637</v>
      </c>
    </row>
    <row r="9" ht="18.75" customHeight="1" spans="1:13">
      <c r="A9" s="4" t="s">
        <v>34</v>
      </c>
      <c r="B9" s="7">
        <f>'400K_SR1000_Stress'!L4</f>
        <v>177.8704</v>
      </c>
      <c r="C9" s="8">
        <f>'400K_SR1000_Stress'!M4</f>
        <v>8113342000000</v>
      </c>
      <c r="D9" s="8">
        <f>'400K_SR1000_Stress'!N4</f>
        <v>61431140000000</v>
      </c>
      <c r="E9" s="7">
        <f>'400K_SR1000_Stress'!O4</f>
        <v>28.57393801706</v>
      </c>
      <c r="F9" s="7">
        <f>'400K_SR1000_Stress'!P4</f>
        <v>7.86256944208391</v>
      </c>
      <c r="G9" s="7">
        <f>'400K_SR1000_Stress'!Q4</f>
        <v>29.635956742349</v>
      </c>
      <c r="H9" s="7">
        <f>'400K_SR1000_Stress'!R4</f>
        <v>78.1740408</v>
      </c>
      <c r="I9" s="7">
        <f>'400K_SR1000_Stress'!S4</f>
        <v>2.63781059878156</v>
      </c>
      <c r="J9" s="7">
        <f>'400K_SR1000_Stress'!T4</f>
        <v>0.132072138006881</v>
      </c>
      <c r="K9" s="10">
        <v>1000</v>
      </c>
      <c r="L9" s="7">
        <f t="shared" si="0"/>
        <v>48.538084057651</v>
      </c>
      <c r="M9" s="7">
        <f t="shared" si="1"/>
        <v>6.19281836070728</v>
      </c>
    </row>
    <row r="10" ht="18.75" customHeight="1" spans="1:13">
      <c r="A10" s="4" t="s">
        <v>35</v>
      </c>
      <c r="B10" s="7">
        <f>'400K_SR1000_Stress'!L5</f>
        <v>170.1625</v>
      </c>
      <c r="C10" s="8">
        <f>'400K_SR1000_Stress'!M5</f>
        <v>7535020000000</v>
      </c>
      <c r="D10" s="8">
        <f>'400K_SR1000_Stress'!N5</f>
        <v>57875100000000</v>
      </c>
      <c r="E10" s="7">
        <f>'400K_SR1000_Stress'!O5</f>
        <v>27.5367328637508</v>
      </c>
      <c r="F10" s="7">
        <f>'400K_SR1000_Stress'!P5</f>
        <v>7.63160851653166</v>
      </c>
      <c r="G10" s="7">
        <f>'400K_SR1000_Stress'!Q5</f>
        <v>28.5746934429605</v>
      </c>
      <c r="H10" s="7">
        <f>'400K_SR1000_Stress'!R5</f>
        <v>74.78641875</v>
      </c>
      <c r="I10" s="7">
        <f>'400K_SR1000_Stress'!S5</f>
        <v>2.61722558456437</v>
      </c>
      <c r="J10" s="7">
        <f>'400K_SR1000_Stress'!T5</f>
        <v>0.13019450506349</v>
      </c>
      <c r="K10" s="10">
        <v>1000</v>
      </c>
      <c r="L10" s="7">
        <f t="shared" si="0"/>
        <v>46.2117253070395</v>
      </c>
      <c r="M10" s="7">
        <f t="shared" si="1"/>
        <v>6.07444082837703</v>
      </c>
    </row>
    <row r="11" ht="18.75" customHeight="1" spans="1:13">
      <c r="A11" s="4" t="s">
        <v>36</v>
      </c>
      <c r="B11" s="7">
        <f>'400K_SR1e4_Stress'!L3</f>
        <v>242.842</v>
      </c>
      <c r="C11" s="8">
        <f>'400K_SR1e4_Stress'!M3</f>
        <v>4298785000000</v>
      </c>
      <c r="D11" s="8">
        <f>'400K_SR1e4_Stress'!N3</f>
        <v>78952675000000</v>
      </c>
      <c r="E11" s="7">
        <f>'400K_SR1e4_Stress'!O3</f>
        <v>20.7990294176135</v>
      </c>
      <c r="F11" s="7">
        <f>'400K_SR1e4_Stress'!P3</f>
        <v>8.91361005966895</v>
      </c>
      <c r="G11" s="7">
        <f>'400K_SR1e4_Stress'!Q3</f>
        <v>22.6285675421707</v>
      </c>
      <c r="H11" s="7">
        <f>'400K_SR1e4_Stress'!R3</f>
        <v>106.729059</v>
      </c>
      <c r="I11" s="7">
        <f>'400K_SR1e4_Stress'!S3</f>
        <v>4.71656276081547</v>
      </c>
      <c r="J11" s="7">
        <f>'400K_SR1e4_Stress'!T3</f>
        <v>0.0544476168793521</v>
      </c>
      <c r="K11" s="8">
        <v>10000</v>
      </c>
      <c r="L11" s="7">
        <f t="shared" si="0"/>
        <v>84.1004914578293</v>
      </c>
      <c r="M11" s="7">
        <f t="shared" si="1"/>
        <v>9.46487993597169</v>
      </c>
    </row>
    <row r="12" ht="18.75" customHeight="1" spans="1:13">
      <c r="A12" s="4" t="s">
        <v>37</v>
      </c>
      <c r="B12" s="7">
        <f>'400K_SR1e4_Stress'!L4</f>
        <v>244.0168</v>
      </c>
      <c r="C12" s="8">
        <f>'400K_SR1e4_Stress'!M4</f>
        <v>5893312000000</v>
      </c>
      <c r="D12" s="8">
        <f>'400K_SR1e4_Stress'!N4</f>
        <v>83760920000000</v>
      </c>
      <c r="E12" s="7">
        <f>'400K_SR1e4_Stress'!O4</f>
        <v>24.3528572863562</v>
      </c>
      <c r="F12" s="7">
        <f>'400K_SR1e4_Stress'!P4</f>
        <v>9.18101984626124</v>
      </c>
      <c r="G12" s="7">
        <f>'400K_SR1e4_Stress'!Q4</f>
        <v>26.0260020638413</v>
      </c>
      <c r="H12" s="7">
        <f>'400K_SR1e4_Stress'!R4</f>
        <v>107.2453836</v>
      </c>
      <c r="I12" s="7">
        <f>'400K_SR1e4_Stress'!S4</f>
        <v>4.12070141764105</v>
      </c>
      <c r="J12" s="7">
        <f>'400K_SR1e4_Stress'!T4</f>
        <v>0.0703587305392539</v>
      </c>
      <c r="K12" s="8">
        <v>10000</v>
      </c>
      <c r="L12" s="7">
        <f t="shared" si="0"/>
        <v>81.2193815361587</v>
      </c>
      <c r="M12" s="7">
        <f t="shared" si="1"/>
        <v>8.87439915675514</v>
      </c>
    </row>
    <row r="13" ht="18.75" customHeight="1" spans="1:13">
      <c r="A13" s="4" t="s">
        <v>38</v>
      </c>
      <c r="B13" s="7">
        <f>'400K_SR1e4_Stress'!L5</f>
        <v>235.3676</v>
      </c>
      <c r="C13" s="8">
        <f>'400K_SR1e4_Stress'!M5</f>
        <v>6053390000000</v>
      </c>
      <c r="D13" s="8">
        <f>'400K_SR1e4_Stress'!N5</f>
        <v>86374625000000</v>
      </c>
      <c r="E13" s="7">
        <f>'400K_SR1e4_Stress'!O5</f>
        <v>24.6813854382836</v>
      </c>
      <c r="F13" s="7">
        <f>'400K_SR1e4_Stress'!P5</f>
        <v>9.32316336510604</v>
      </c>
      <c r="G13" s="7">
        <f>'400K_SR1e4_Stress'!Q5</f>
        <v>26.383558559936</v>
      </c>
      <c r="H13" s="7">
        <f>'400K_SR1e4_Stress'!R5</f>
        <v>103.4440602</v>
      </c>
      <c r="I13" s="7">
        <f>'400K_SR1e4_Stress'!S5</f>
        <v>3.92077740252529</v>
      </c>
      <c r="J13" s="7">
        <f>'400K_SR1e4_Stress'!T5</f>
        <v>0.0700829670751103</v>
      </c>
      <c r="K13" s="8">
        <v>10001</v>
      </c>
      <c r="L13" s="7">
        <f t="shared" si="0"/>
        <v>77.060501640064</v>
      </c>
      <c r="M13" s="7">
        <f t="shared" si="1"/>
        <v>8.29160766554554</v>
      </c>
    </row>
    <row r="14" ht="18.75" customHeight="1" spans="1:13">
      <c r="A14" s="4"/>
      <c r="B14" s="13"/>
      <c r="C14" s="9"/>
      <c r="D14" s="9"/>
      <c r="E14" s="7"/>
      <c r="F14" s="7"/>
      <c r="G14" s="13"/>
      <c r="H14" s="13"/>
      <c r="I14" s="13"/>
      <c r="J14" s="7"/>
      <c r="K14" s="9"/>
      <c r="L14" s="7"/>
      <c r="M14" s="15"/>
    </row>
    <row r="15" ht="18.75" customHeight="1" spans="1:13">
      <c r="A15" s="4"/>
      <c r="B15" s="13"/>
      <c r="C15" s="9"/>
      <c r="D15" s="9"/>
      <c r="E15" s="7"/>
      <c r="F15" s="7"/>
      <c r="G15" s="13"/>
      <c r="H15" s="13"/>
      <c r="I15" s="13"/>
      <c r="J15" s="7"/>
      <c r="K15" s="9"/>
      <c r="L15" s="7"/>
      <c r="M15" s="15"/>
    </row>
    <row r="16" ht="18.75" customHeight="1" spans="1:13">
      <c r="A16" s="4"/>
      <c r="B16" s="13"/>
      <c r="C16" s="9"/>
      <c r="D16" s="9"/>
      <c r="E16" s="7"/>
      <c r="F16" s="7"/>
      <c r="G16" s="13"/>
      <c r="H16" s="13"/>
      <c r="I16" s="13"/>
      <c r="J16" s="7"/>
      <c r="K16" s="9"/>
      <c r="L16" s="7"/>
      <c r="M16" s="15"/>
    </row>
    <row r="17" ht="18.75" customHeight="1" spans="1:13">
      <c r="A17" s="4"/>
      <c r="B17" s="13"/>
      <c r="C17" s="9"/>
      <c r="D17" s="9"/>
      <c r="E17" s="7"/>
      <c r="F17" s="7"/>
      <c r="G17" s="13"/>
      <c r="H17" s="13"/>
      <c r="I17" s="13"/>
      <c r="J17" s="7"/>
      <c r="K17" s="9"/>
      <c r="L17" s="7"/>
      <c r="M17" s="15"/>
    </row>
    <row r="18" ht="18.75" customHeight="1" spans="1:13">
      <c r="A18" s="4"/>
      <c r="B18" s="13"/>
      <c r="C18" s="9"/>
      <c r="D18" s="9"/>
      <c r="E18" s="7"/>
      <c r="F18" s="7"/>
      <c r="G18" s="13"/>
      <c r="H18" s="13"/>
      <c r="I18" s="13"/>
      <c r="J18" s="7"/>
      <c r="K18" s="9"/>
      <c r="L18" s="7"/>
      <c r="M18" s="15"/>
    </row>
    <row r="19" ht="18.75" customHeight="1" spans="1:13">
      <c r="A19" s="4"/>
      <c r="B19" s="13"/>
      <c r="C19" s="9"/>
      <c r="D19" s="9"/>
      <c r="E19" s="7"/>
      <c r="F19" s="7"/>
      <c r="G19" s="13"/>
      <c r="H19" s="13"/>
      <c r="I19" s="13"/>
      <c r="J19" s="7"/>
      <c r="K19" s="9"/>
      <c r="L19" s="7"/>
      <c r="M19" s="15"/>
    </row>
    <row r="20" ht="17.25" customHeight="1" spans="1:13">
      <c r="A20" s="4"/>
      <c r="B20" s="13"/>
      <c r="C20" s="9"/>
      <c r="D20" s="9"/>
      <c r="E20" s="7"/>
      <c r="F20" s="7"/>
      <c r="G20" s="13"/>
      <c r="H20" s="13"/>
      <c r="I20" s="13"/>
      <c r="J20" s="7"/>
      <c r="K20" s="9"/>
      <c r="L20" s="7"/>
      <c r="M20" s="13"/>
    </row>
    <row r="21" ht="17.25" customHeight="1" spans="1:13">
      <c r="A21" s="4"/>
      <c r="B21" s="13"/>
      <c r="C21" s="9"/>
      <c r="D21" s="9"/>
      <c r="E21" s="7"/>
      <c r="F21" s="7"/>
      <c r="G21" s="13"/>
      <c r="H21" s="13"/>
      <c r="I21" s="13"/>
      <c r="J21" s="7"/>
      <c r="K21" s="9"/>
      <c r="L21" s="7"/>
      <c r="M21" s="13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M13"/>
  <sheetViews>
    <sheetView workbookViewId="0">
      <selection activeCell="A1" sqref="A1"/>
    </sheetView>
  </sheetViews>
  <sheetFormatPr defaultColWidth="8.68148148148148" defaultRowHeight="15" customHeight="1"/>
  <cols>
    <col min="1" max="1" width="12.4296296296296" style="1" customWidth="1"/>
    <col min="2" max="2" width="9.14074074074074" style="2" customWidth="1"/>
    <col min="3" max="3" width="17.8666666666667" style="2" customWidth="1"/>
    <col min="4" max="4" width="19.0074074074074" style="2" customWidth="1"/>
    <col min="5" max="10" width="12.4296296296296" style="2" customWidth="1"/>
    <col min="11" max="11" width="12.4296296296296" style="3" customWidth="1"/>
    <col min="12" max="13" width="12.4296296296296" style="2" customWidth="1"/>
  </cols>
  <sheetData>
    <row r="1" ht="17.25" customHeight="1" spans="1:13">
      <c r="A1" s="4" t="s">
        <v>24</v>
      </c>
      <c r="B1" s="5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9" t="s">
        <v>24</v>
      </c>
      <c r="L1" s="6" t="s">
        <v>25</v>
      </c>
      <c r="M1" s="6" t="s">
        <v>26</v>
      </c>
    </row>
    <row r="2" ht="17.25" customHeight="1" spans="1:13">
      <c r="A2" s="4" t="s">
        <v>27</v>
      </c>
      <c r="B2" s="7">
        <f>'400K_SR40_Stress'!L9</f>
        <v>134.494</v>
      </c>
      <c r="C2" s="8">
        <f>'400K_SR40_Stress'!M9</f>
        <v>13516500000000</v>
      </c>
      <c r="D2" s="8">
        <f>'400K_SR40_Stress'!N9</f>
        <v>44671200000000</v>
      </c>
      <c r="E2" s="7">
        <f>'400K_SR40_Stress'!O9</f>
        <v>36.8809696867672</v>
      </c>
      <c r="F2" s="7">
        <f>'400K_SR40_Stress'!P9</f>
        <v>6.70477203585139</v>
      </c>
      <c r="G2" s="7">
        <f>'400K_SR40_Stress'!Q9</f>
        <v>37.4854624233045</v>
      </c>
      <c r="H2" s="7">
        <f>'400K_SR40_Stress'!R9</f>
        <v>59.110113</v>
      </c>
      <c r="I2" s="7">
        <f>'400K_SR40_Stress'!S9</f>
        <v>1.57688098742118</v>
      </c>
      <c r="J2" s="7">
        <f>'400K_SR40_Stress'!T9</f>
        <v>0.302577499597056</v>
      </c>
      <c r="K2" s="10">
        <v>40</v>
      </c>
      <c r="L2" s="7">
        <f t="shared" ref="L2:L13" si="0">H2-G2</f>
        <v>21.6246505766955</v>
      </c>
      <c r="M2" s="7">
        <f t="shared" ref="M2:M13" si="1">L2*1000000/SQRT(D2)</f>
        <v>3.2354544429732</v>
      </c>
    </row>
    <row r="3" ht="17.25" customHeight="1" spans="1:13">
      <c r="A3" s="4" t="s">
        <v>28</v>
      </c>
      <c r="B3" s="7">
        <f>'400K_SR40_Stress'!L10</f>
        <v>135.0286</v>
      </c>
      <c r="C3" s="8">
        <f>'400K_SR40_Stress'!M10</f>
        <v>12006080000000</v>
      </c>
      <c r="D3" s="8">
        <f>'400K_SR40_Stress'!N10</f>
        <v>44355600000000</v>
      </c>
      <c r="E3" s="7">
        <f>'400K_SR40_Stress'!O10</f>
        <v>34.7592841029738</v>
      </c>
      <c r="F3" s="7">
        <f>'400K_SR40_Stress'!P10</f>
        <v>6.6810456</v>
      </c>
      <c r="G3" s="7">
        <f>'400K_SR40_Stress'!Q10</f>
        <v>35.3955392904321</v>
      </c>
      <c r="H3" s="7">
        <f>'400K_SR40_Stress'!R10</f>
        <v>59.3450697</v>
      </c>
      <c r="I3" s="7">
        <f>'400K_SR40_Stress'!S10</f>
        <v>1.67662566780108</v>
      </c>
      <c r="J3" s="7">
        <f>'400K_SR40_Stress'!T10</f>
        <v>0.2706778850923</v>
      </c>
      <c r="K3" s="10">
        <v>40</v>
      </c>
      <c r="L3" s="7">
        <f t="shared" si="0"/>
        <v>23.9495304095679</v>
      </c>
      <c r="M3" s="7">
        <f t="shared" si="1"/>
        <v>3.5960255870222</v>
      </c>
    </row>
    <row r="4" ht="17.25" customHeight="1" spans="1:13">
      <c r="A4" s="4" t="s">
        <v>29</v>
      </c>
      <c r="B4" s="7">
        <f>'400K_SR40_Stress'!L11</f>
        <v>138.2152</v>
      </c>
      <c r="C4" s="8">
        <f>'400K_SR40_Stress'!M11</f>
        <v>7778580973280.16</v>
      </c>
      <c r="D4" s="8">
        <f>'400K_SR40_Stress'!N11</f>
        <v>46119140000000</v>
      </c>
      <c r="E4" s="7">
        <f>'400K_SR40_Stress'!O11</f>
        <v>27.978240257081</v>
      </c>
      <c r="F4" s="7">
        <f>'400K_SR40_Stress'!P11</f>
        <v>6.81256732018733</v>
      </c>
      <c r="G4" s="7">
        <f>'400K_SR40_Stress'!Q11</f>
        <v>28.7957115101369</v>
      </c>
      <c r="H4" s="7">
        <f>'400K_SR40_Stress'!R11</f>
        <v>60.7455804</v>
      </c>
      <c r="I4" s="7">
        <f>'400K_SR40_Stress'!S11</f>
        <v>2.10953566396913</v>
      </c>
      <c r="J4" s="7">
        <f>'400K_SR40_Stress'!T11</f>
        <v>0.168662749853535</v>
      </c>
      <c r="K4" s="10">
        <v>40</v>
      </c>
      <c r="L4" s="7">
        <f t="shared" si="0"/>
        <v>31.9498688898631</v>
      </c>
      <c r="M4" s="7">
        <f t="shared" si="1"/>
        <v>4.70466256980397</v>
      </c>
    </row>
    <row r="5" ht="17.25" customHeight="1" spans="1:13">
      <c r="A5" s="4" t="s">
        <v>30</v>
      </c>
      <c r="B5" s="7">
        <f>'400K_SR1000_Stress'!L9</f>
        <v>166.9544</v>
      </c>
      <c r="C5" s="8">
        <f>'400K_SR1000_Stress'!M9</f>
        <v>7033894000000</v>
      </c>
      <c r="D5" s="8">
        <f>'400K_SR1000_Stress'!N9</f>
        <v>56413900000000</v>
      </c>
      <c r="E5" s="7">
        <f>'400K_SR1000_Stress'!O9</f>
        <v>26.6052973066116</v>
      </c>
      <c r="F5" s="7">
        <f>'400K_SR1000_Stress'!P9</f>
        <v>7.53465322192335</v>
      </c>
      <c r="G5" s="7">
        <f>'400K_SR1000_Stress'!Q9</f>
        <v>27.651633657848</v>
      </c>
      <c r="H5" s="7">
        <f>'400K_SR1000_Stress'!R9</f>
        <v>73.3764588</v>
      </c>
      <c r="I5" s="7">
        <f>'400K_SR1000_Stress'!S9</f>
        <v>2.65360302786937</v>
      </c>
      <c r="J5" s="7">
        <f>'400K_SR1000_Stress'!T9</f>
        <v>0.124683703838947</v>
      </c>
      <c r="K5" s="10">
        <v>100</v>
      </c>
      <c r="L5" s="7">
        <f t="shared" si="0"/>
        <v>45.724825142152</v>
      </c>
      <c r="M5" s="7">
        <f t="shared" si="1"/>
        <v>6.08778058373499</v>
      </c>
    </row>
    <row r="6" ht="17.25" customHeight="1" spans="1:13">
      <c r="A6" s="4" t="s">
        <v>31</v>
      </c>
      <c r="B6" s="7">
        <f>'400K_SR1000_Stress'!L10</f>
        <v>170.1218</v>
      </c>
      <c r="C6" s="8">
        <f>'400K_SR1000_Stress'!M10</f>
        <v>7046376000000</v>
      </c>
      <c r="D6" s="8">
        <f>'400K_SR1000_Stress'!N10</f>
        <v>56020720000000</v>
      </c>
      <c r="E6" s="7">
        <f>'400K_SR1000_Stress'!O10</f>
        <v>26.6288930648876</v>
      </c>
      <c r="F6" s="7">
        <f>'400K_SR1000_Stress'!P10</f>
        <v>7.50835070777209</v>
      </c>
      <c r="G6" s="7">
        <f>'400K_SR1000_Stress'!Q10</f>
        <v>27.6671877178025</v>
      </c>
      <c r="H6" s="7">
        <f>'400K_SR1000_Stress'!R10</f>
        <v>74.7685311</v>
      </c>
      <c r="I6" s="7">
        <f>'400K_SR1000_Stress'!S10</f>
        <v>2.70242613245039</v>
      </c>
      <c r="J6" s="7">
        <f>'400K_SR1000_Stress'!T10</f>
        <v>0.125781603663787</v>
      </c>
      <c r="K6" s="10">
        <v>100</v>
      </c>
      <c r="L6" s="7">
        <f t="shared" si="0"/>
        <v>47.1013433821975</v>
      </c>
      <c r="M6" s="7">
        <f t="shared" si="1"/>
        <v>6.29301766343644</v>
      </c>
    </row>
    <row r="7" ht="17.25" customHeight="1" spans="1:13">
      <c r="A7" s="4" t="s">
        <v>32</v>
      </c>
      <c r="B7" s="7">
        <f>'400K_SR1000_Stress'!L11</f>
        <v>167.3048</v>
      </c>
      <c r="C7" s="8">
        <f>'400K_SR1000_Stress'!M11</f>
        <v>9148818066400.16</v>
      </c>
      <c r="D7" s="8">
        <f>'400K_SR1000_Stress'!N11</f>
        <v>54793140000000</v>
      </c>
      <c r="E7" s="7">
        <f>'400K_SR1000_Stress'!O11</f>
        <v>30.3425937471033</v>
      </c>
      <c r="F7" s="7">
        <f>'400K_SR1000_Stress'!P11</f>
        <v>7.42562992527764</v>
      </c>
      <c r="G7" s="7">
        <f>'400K_SR1000_Stress'!Q11</f>
        <v>31.2380052994574</v>
      </c>
      <c r="H7" s="7">
        <f>'400K_SR1000_Stress'!R11</f>
        <v>73.5304596</v>
      </c>
      <c r="I7" s="7">
        <f>'400K_SR1000_Stress'!S11</f>
        <v>2.35387819725087</v>
      </c>
      <c r="J7" s="7">
        <f>'400K_SR1000_Stress'!T11</f>
        <v>0.166970136524393</v>
      </c>
      <c r="K7" s="10">
        <v>100</v>
      </c>
      <c r="L7" s="7">
        <f t="shared" si="0"/>
        <v>42.2924543005426</v>
      </c>
      <c r="M7" s="7">
        <f t="shared" si="1"/>
        <v>5.71346793242541</v>
      </c>
    </row>
    <row r="8" ht="17.25" customHeight="1" spans="1:13">
      <c r="A8" s="4" t="s">
        <v>33</v>
      </c>
      <c r="B8" s="7">
        <f>'400K_SR1000_Stress'!L9</f>
        <v>166.9544</v>
      </c>
      <c r="C8" s="8">
        <f>'400K_SR1000_Stress'!M9</f>
        <v>7033894000000</v>
      </c>
      <c r="D8" s="8">
        <f>'400K_SR1000_Stress'!N9</f>
        <v>56413900000000</v>
      </c>
      <c r="E8" s="7">
        <f>'400K_SR1000_Stress'!O9</f>
        <v>26.6052973066116</v>
      </c>
      <c r="F8" s="7">
        <f>'400K_SR1000_Stress'!P9</f>
        <v>7.53465322192335</v>
      </c>
      <c r="G8" s="7">
        <f>'400K_SR1000_Stress'!Q9</f>
        <v>27.651633657848</v>
      </c>
      <c r="H8" s="7">
        <f>'400K_SR1000_Stress'!R9</f>
        <v>73.3764588</v>
      </c>
      <c r="I8" s="7">
        <f>'400K_SR1000_Stress'!S9</f>
        <v>2.65360302786937</v>
      </c>
      <c r="J8" s="7">
        <f>'400K_SR1000_Stress'!T9</f>
        <v>0.124683703838947</v>
      </c>
      <c r="K8" s="10">
        <v>1000</v>
      </c>
      <c r="L8" s="7">
        <f t="shared" si="0"/>
        <v>45.724825142152</v>
      </c>
      <c r="M8" s="7">
        <f t="shared" si="1"/>
        <v>6.08778058373499</v>
      </c>
    </row>
    <row r="9" ht="17.25" customHeight="1" spans="1:13">
      <c r="A9" s="4" t="s">
        <v>34</v>
      </c>
      <c r="B9" s="7">
        <f>'400K_SR1000_Stress'!L10</f>
        <v>170.1218</v>
      </c>
      <c r="C9" s="8">
        <f>'400K_SR1000_Stress'!M10</f>
        <v>7046376000000</v>
      </c>
      <c r="D9" s="8">
        <f>'400K_SR1000_Stress'!N10</f>
        <v>56020720000000</v>
      </c>
      <c r="E9" s="7">
        <f>'400K_SR1000_Stress'!O10</f>
        <v>26.6288930648876</v>
      </c>
      <c r="F9" s="7">
        <f>'400K_SR1000_Stress'!P10</f>
        <v>7.50835070777209</v>
      </c>
      <c r="G9" s="7">
        <f>'400K_SR1000_Stress'!Q10</f>
        <v>27.6671877178025</v>
      </c>
      <c r="H9" s="7">
        <f>'400K_SR1000_Stress'!R10</f>
        <v>74.7685311</v>
      </c>
      <c r="I9" s="7">
        <f>'400K_SR1000_Stress'!S10</f>
        <v>2.70242613245039</v>
      </c>
      <c r="J9" s="7">
        <f>'400K_SR1000_Stress'!T10</f>
        <v>0.125781603663787</v>
      </c>
      <c r="K9" s="10">
        <v>1000</v>
      </c>
      <c r="L9" s="7">
        <f t="shared" si="0"/>
        <v>47.1013433821975</v>
      </c>
      <c r="M9" s="7">
        <f t="shared" si="1"/>
        <v>6.29301766343644</v>
      </c>
    </row>
    <row r="10" ht="17.25" customHeight="1" spans="1:13">
      <c r="A10" s="4" t="s">
        <v>35</v>
      </c>
      <c r="B10" s="7">
        <f>'400K_SR1000_Stress'!L11</f>
        <v>167.3048</v>
      </c>
      <c r="C10" s="8">
        <f>'400K_SR1000_Stress'!M11</f>
        <v>9148818066400.16</v>
      </c>
      <c r="D10" s="8">
        <f>'400K_SR1000_Stress'!N11</f>
        <v>54793140000000</v>
      </c>
      <c r="E10" s="7">
        <f>'400K_SR1000_Stress'!O11</f>
        <v>30.3425937471033</v>
      </c>
      <c r="F10" s="7">
        <f>'400K_SR1000_Stress'!P11</f>
        <v>7.42562992527764</v>
      </c>
      <c r="G10" s="7">
        <f>'400K_SR1000_Stress'!Q11</f>
        <v>31.2380052994574</v>
      </c>
      <c r="H10" s="7">
        <f>'400K_SR1000_Stress'!R11</f>
        <v>73.5304596</v>
      </c>
      <c r="I10" s="7">
        <f>'400K_SR1000_Stress'!S11</f>
        <v>2.35387819725087</v>
      </c>
      <c r="J10" s="7">
        <f>'400K_SR1000_Stress'!T11</f>
        <v>0.166970136524393</v>
      </c>
      <c r="K10" s="10">
        <v>1000</v>
      </c>
      <c r="L10" s="7">
        <f t="shared" si="0"/>
        <v>42.2924543005426</v>
      </c>
      <c r="M10" s="7">
        <f t="shared" si="1"/>
        <v>5.71346793242541</v>
      </c>
    </row>
    <row r="11" ht="17.25" customHeight="1" spans="1:13">
      <c r="A11" s="4" t="s">
        <v>36</v>
      </c>
      <c r="B11" s="7">
        <f>'400K_SR1e4_Stress'!L9</f>
        <v>243.199</v>
      </c>
      <c r="C11" s="8">
        <f>'400K_SR1e4_Stress'!M9</f>
        <v>3041830000000</v>
      </c>
      <c r="D11" s="8">
        <f>'400K_SR1e4_Stress'!N9</f>
        <v>70358500000000</v>
      </c>
      <c r="E11" s="7">
        <f>'400K_SR1e4_Stress'!O9</f>
        <v>17.4959559330082</v>
      </c>
      <c r="F11" s="7">
        <f>'400K_SR1e4_Stress'!P9</f>
        <v>8.41450344891709</v>
      </c>
      <c r="G11" s="7">
        <f>'400K_SR1e4_Stress'!Q9</f>
        <v>19.4142304071421</v>
      </c>
      <c r="H11" s="7">
        <f>'400K_SR1e4_Stress'!R9</f>
        <v>106.8859605</v>
      </c>
      <c r="I11" s="7">
        <f>'400K_SR1e4_Stress'!S9</f>
        <v>5.5055471300412</v>
      </c>
      <c r="J11" s="7">
        <f>'400K_SR1e4_Stress'!T9</f>
        <v>0.0432332980379059</v>
      </c>
      <c r="K11" s="8">
        <v>10000</v>
      </c>
      <c r="L11" s="7">
        <f t="shared" si="0"/>
        <v>87.4717300928579</v>
      </c>
      <c r="M11" s="7">
        <f t="shared" si="1"/>
        <v>10.4282018888761</v>
      </c>
    </row>
    <row r="12" ht="17.25" customHeight="1" spans="1:13">
      <c r="A12" s="4" t="s">
        <v>37</v>
      </c>
      <c r="B12" s="7">
        <f>'400K_SR1e4_Stress'!L10</f>
        <v>241.7604</v>
      </c>
      <c r="C12" s="8">
        <f>'400K_SR1e4_Stress'!M10</f>
        <v>3263398000000</v>
      </c>
      <c r="D12" s="8">
        <f>'400K_SR1e4_Stress'!N10</f>
        <v>71139400000000</v>
      </c>
      <c r="E12" s="7">
        <f>'400K_SR1e4_Stress'!O10</f>
        <v>18.1219625381664</v>
      </c>
      <c r="F12" s="7">
        <f>'400K_SR1e4_Stress'!P10</f>
        <v>8.46107034467819</v>
      </c>
      <c r="G12" s="7">
        <f>'400K_SR1e4_Stress'!Q10</f>
        <v>19.9998809399531</v>
      </c>
      <c r="H12" s="7">
        <f>'400K_SR1e4_Stress'!R10</f>
        <v>106.2536958</v>
      </c>
      <c r="I12" s="7">
        <f>'400K_SR1e4_Stress'!S10</f>
        <v>5.31271641661328</v>
      </c>
      <c r="J12" s="7">
        <f>'400K_SR1e4_Stress'!T10</f>
        <v>0.0458732854086484</v>
      </c>
      <c r="K12" s="8">
        <v>10000</v>
      </c>
      <c r="L12" s="7">
        <f t="shared" si="0"/>
        <v>86.2538148600469</v>
      </c>
      <c r="M12" s="7">
        <f t="shared" si="1"/>
        <v>10.226410299192</v>
      </c>
    </row>
    <row r="13" ht="17.25" customHeight="1" spans="1:13">
      <c r="A13" s="4" t="s">
        <v>38</v>
      </c>
      <c r="B13" s="7">
        <f>'400K_SR1e4_Stress'!L11</f>
        <v>237.5146</v>
      </c>
      <c r="C13" s="8">
        <f>'400K_SR1e4_Stress'!M11</f>
        <v>4194138000000</v>
      </c>
      <c r="D13" s="8">
        <f>'400K_SR1e4_Stress'!N11</f>
        <v>81286700000000</v>
      </c>
      <c r="E13" s="7">
        <f>'400K_SR1e4_Stress'!O11</f>
        <v>20.5443102418758</v>
      </c>
      <c r="F13" s="7">
        <f>'400K_SR1e4_Stress'!P11</f>
        <v>9.04440399586792</v>
      </c>
      <c r="G13" s="7">
        <f>'400K_SR1e4_Stress'!Q11</f>
        <v>22.4470471767427</v>
      </c>
      <c r="H13" s="7">
        <f>'400K_SR1e4_Stress'!R11</f>
        <v>104.3876667</v>
      </c>
      <c r="I13" s="7">
        <f>'400K_SR1e4_Stress'!S11</f>
        <v>4.65039636964614</v>
      </c>
      <c r="J13" s="7">
        <f>'400K_SR1e4_Stress'!T11</f>
        <v>0.0515968540979029</v>
      </c>
      <c r="K13" s="8">
        <v>10001</v>
      </c>
      <c r="L13" s="7">
        <f t="shared" si="0"/>
        <v>81.9406195232573</v>
      </c>
      <c r="M13" s="7">
        <f t="shared" si="1"/>
        <v>9.08844318746763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LibreOffice/25.8.1.1$Linux_X86_64 LibreOffice_project/54047653041915e595ad4e45cccea684809c77b5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Graphs</vt:lpstr>
      <vt:lpstr>400K_SR40_Stress</vt:lpstr>
      <vt:lpstr>400K_SR40</vt:lpstr>
      <vt:lpstr>400K_SR100_Stress</vt:lpstr>
      <vt:lpstr>400K_SR100</vt:lpstr>
      <vt:lpstr>400K_SR1000_Stress</vt:lpstr>
      <vt:lpstr>400K_SR1000</vt:lpstr>
      <vt:lpstr>400K_SR1e4_Stress</vt:lpstr>
      <vt:lpstr>400K_SR1e4</vt:lpstr>
      <vt:lpstr>tauratio</vt:lpstr>
      <vt:lpstr>tauratio1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vikramr</cp:lastModifiedBy>
  <cp:revision>2</cp:revision>
  <dcterms:created xsi:type="dcterms:W3CDTF">2025-10-09T11:20:00Z</dcterms:created>
  <dcterms:modified xsi:type="dcterms:W3CDTF">2025-10-09T11:59:47Z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