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28725" tabRatio="500" firstSheet="4" activeTab="15"/>
  </bookViews>
  <sheets>
    <sheet name="Graphs" sheetId="1" r:id="rId1"/>
    <sheet name="400K_SR10" sheetId="2" r:id="rId2"/>
    <sheet name="400K_SR10_Stress" sheetId="3" r:id="rId3"/>
    <sheet name="400K_SR20_Stress" sheetId="4" r:id="rId4"/>
    <sheet name="400K_SR20" sheetId="5" r:id="rId5"/>
    <sheet name="400K_SR40_Stress" sheetId="6" r:id="rId6"/>
    <sheet name="400K_SR40" sheetId="7" r:id="rId7"/>
    <sheet name="400K_SR100_Stress" sheetId="8" r:id="rId8"/>
    <sheet name="400K_SR100" sheetId="9" r:id="rId9"/>
    <sheet name="400K_SR1000_Stress" sheetId="10" r:id="rId10"/>
    <sheet name="400K_SR1000" sheetId="11" r:id="rId11"/>
    <sheet name="400K_SR1e4_Stress" sheetId="12" r:id="rId12"/>
    <sheet name="400K_SR1e4" sheetId="13" r:id="rId13"/>
    <sheet name="tauratio" sheetId="14" r:id="rId14"/>
    <sheet name="tauratio1" sheetId="15" r:id="rId15"/>
    <sheet name="Fitting" sheetId="16" r:id="rId16"/>
  </sheets>
  <calcPr calcId="144525"/>
</workbook>
</file>

<file path=xl/sharedStrings.xml><?xml version="1.0" encoding="utf-8"?>
<sst xmlns="http://schemas.openxmlformats.org/spreadsheetml/2006/main" count="256" uniqueCount="49">
  <si>
    <t>Factor1</t>
  </si>
  <si>
    <t>Factor2</t>
  </si>
  <si>
    <t>Config1</t>
  </si>
  <si>
    <t>Config2</t>
  </si>
  <si>
    <t>Config3</t>
  </si>
  <si>
    <t>Pstrain</t>
  </si>
  <si>
    <t>Total</t>
  </si>
  <si>
    <t>Totalmin</t>
  </si>
  <si>
    <t>Totalmax</t>
  </si>
  <si>
    <t>Junction</t>
  </si>
  <si>
    <t>Junctionmin</t>
  </si>
  <si>
    <t>Junctionmax</t>
  </si>
  <si>
    <t>Config 1</t>
  </si>
  <si>
    <t>Config 2</t>
  </si>
  <si>
    <t>Config4</t>
  </si>
  <si>
    <t>AverageValue of Last 2.5-3%</t>
  </si>
  <si>
    <t>TotalStress</t>
  </si>
  <si>
    <t>RhoI</t>
  </si>
  <si>
    <t>Rho</t>
  </si>
  <si>
    <t>TauF1</t>
  </si>
  <si>
    <t>TauF2</t>
  </si>
  <si>
    <t>TauF</t>
  </si>
  <si>
    <t>Tau</t>
  </si>
  <si>
    <t>Tau/TauF</t>
  </si>
  <si>
    <t>RhoI/Rho</t>
  </si>
  <si>
    <t>AverageValue of Last 0.5%</t>
  </si>
  <si>
    <t>Config 3</t>
  </si>
  <si>
    <t>StrainRate</t>
  </si>
  <si>
    <t>Strainrate</t>
  </si>
  <si>
    <t>Taup</t>
  </si>
  <si>
    <t>Taup/Sqrt(rhom)</t>
  </si>
  <si>
    <t>10C1</t>
  </si>
  <si>
    <t>10C2</t>
  </si>
  <si>
    <t>10C4</t>
  </si>
  <si>
    <t>20C1</t>
  </si>
  <si>
    <t>20C2</t>
  </si>
  <si>
    <t>20C3</t>
  </si>
  <si>
    <t>40C1</t>
  </si>
  <si>
    <t>40C2</t>
  </si>
  <si>
    <t>40C3</t>
  </si>
  <si>
    <t>100C1</t>
  </si>
  <si>
    <t>100C2</t>
  </si>
  <si>
    <t>100C3</t>
  </si>
  <si>
    <t>1000C1</t>
  </si>
  <si>
    <t>1000C2</t>
  </si>
  <si>
    <t>1000C3</t>
  </si>
  <si>
    <t>1e4C1</t>
  </si>
  <si>
    <t>1e4C2</t>
  </si>
  <si>
    <t>1e4C3</t>
  </si>
</sst>
</file>

<file path=xl/styles.xml><?xml version="1.0" encoding="utf-8"?>
<styleSheet xmlns="http://schemas.openxmlformats.org/spreadsheetml/2006/main">
  <numFmts count="5">
    <numFmt numFmtId="176" formatCode="0.00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_ * #,##0.00_ ;_ * \-#,##0.00_ ;_ * &quot;-&quot;??_ ;_ @_ "/>
  </numFmts>
  <fonts count="26">
    <font>
      <sz val="11"/>
      <color theme="1"/>
      <name val="Calibri"/>
      <charset val="134"/>
    </font>
    <font>
      <sz val="11"/>
      <name val="Calibri"/>
      <charset val="134"/>
    </font>
    <font>
      <sz val="10"/>
      <color rgb="FFCCCCCC"/>
      <name val="Consolas"/>
      <charset val="134"/>
    </font>
    <font>
      <sz val="10"/>
      <color rgb="FFB5CEA8"/>
      <name val="Consolas"/>
      <charset val="134"/>
    </font>
    <font>
      <sz val="10"/>
      <name val="Consolas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2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8" borderId="5" applyNumberFormat="0" applyAlignment="0" applyProtection="0">
      <alignment vertical="center"/>
    </xf>
    <xf numFmtId="177" fontId="6" fillId="0" borderId="0" applyBorder="0" applyAlignment="0" applyProtection="0"/>
    <xf numFmtId="0" fontId="16" fillId="32" borderId="0" applyNumberFormat="0" applyBorder="0" applyAlignment="0" applyProtection="0">
      <alignment vertical="center"/>
    </xf>
    <xf numFmtId="0" fontId="10" fillId="6" borderId="3" applyNumberFormat="0" applyFon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78" fontId="6" fillId="0" borderId="0" applyBorder="0" applyAlignment="0" applyProtection="0"/>
    <xf numFmtId="0" fontId="16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79" fontId="6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80" fontId="6" fillId="0" borderId="0" applyBorder="0" applyAlignment="0" applyProtection="0"/>
    <xf numFmtId="0" fontId="8" fillId="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176" fontId="0" fillId="0" borderId="0" xfId="0" applyNumberFormat="1" applyAlignment="1" applyProtection="1"/>
    <xf numFmtId="0" fontId="0" fillId="0" borderId="0" xfId="0" applyAlignment="1" applyProtection="1"/>
    <xf numFmtId="0" fontId="0" fillId="0" borderId="0" xfId="0" applyFont="1" applyAlignment="1" applyProtection="1"/>
    <xf numFmtId="11" fontId="0" fillId="0" borderId="0" xfId="0" applyNumberFormat="1" applyFont="1" applyAlignment="1" applyProtection="1"/>
    <xf numFmtId="11" fontId="0" fillId="0" borderId="0" xfId="0" applyNumberFormat="1" applyAlignment="1" applyProtection="1"/>
    <xf numFmtId="176" fontId="0" fillId="0" borderId="0" xfId="0" applyNumberFormat="1" applyFont="1" applyAlignment="1" applyProtection="1"/>
    <xf numFmtId="2" fontId="0" fillId="0" borderId="0" xfId="0" applyNumberFormat="1" applyAlignment="1" applyProtection="1"/>
    <xf numFmtId="2" fontId="0" fillId="0" borderId="0" xfId="0" applyNumberFormat="1" applyFont="1" applyAlignment="1" applyProtection="1"/>
    <xf numFmtId="0" fontId="0" fillId="0" borderId="0" xfId="0" applyFont="1" applyAlignment="1"/>
    <xf numFmtId="0" fontId="1" fillId="0" borderId="0" xfId="0" applyFont="1" applyAlignment="1" applyProtection="1"/>
    <xf numFmtId="0" fontId="0" fillId="2" borderId="0" xfId="0" applyFill="1" applyAlignment="1" applyProtection="1"/>
    <xf numFmtId="11" fontId="0" fillId="2" borderId="0" xfId="0" applyNumberFormat="1" applyFill="1" applyAlignment="1" applyProtection="1"/>
    <xf numFmtId="176" fontId="0" fillId="2" borderId="0" xfId="0" applyNumberFormat="1" applyFill="1" applyAlignment="1" applyProtection="1"/>
    <xf numFmtId="11" fontId="2" fillId="0" borderId="0" xfId="0" applyNumberFormat="1" applyFont="1" applyAlignment="1" applyProtection="1">
      <alignment vertical="center"/>
    </xf>
    <xf numFmtId="11" fontId="3" fillId="0" borderId="0" xfId="0" applyNumberFormat="1" applyFont="1" applyAlignment="1" applyProtection="1">
      <alignment vertical="center"/>
    </xf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11" fontId="4" fillId="0" borderId="0" xfId="0" applyNumberFormat="1" applyFont="1" applyAlignment="1" applyProtection="1">
      <alignment vertic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11" fontId="0" fillId="0" borderId="1" xfId="0" applyNumberFormat="1" applyBorder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B5CEA8"/>
      <rgbColor rgb="00FF99CC"/>
      <rgbColor rgb="00B3B3B3"/>
      <rgbColor rgb="00FFCC99"/>
      <rgbColor rgb="004472C4"/>
      <rgbColor rgb="0033CCCC"/>
      <rgbColor rgb="0099CC00"/>
      <rgbColor rgb="00FFC000"/>
      <rgbColor rgb="00FF9900"/>
      <rgbColor rgb="00ED7D31"/>
      <rgbColor rgb="00595959"/>
      <rgbColor rgb="00A5A5A5"/>
      <rgbColor rgb="0000458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"SR10 400K"</c:f>
              <c:strCache>
                <c:ptCount val="1"/>
                <c:pt idx="0">
                  <c:v>SR10 400K</c:v>
                </c:pt>
              </c:strCache>
            </c:strRef>
          </c:tx>
          <c:spPr>
            <a:ln w="19080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9080" cap="rnd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'400K_SR10'!$AN$2:$AN$83</c:f>
              <c:numCache>
                <c:formatCode>0.00E+00</c:formatCode>
                <c:ptCount val="82"/>
                <c:pt idx="0">
                  <c:v>0.000201725</c:v>
                </c:pt>
                <c:pt idx="1">
                  <c:v>0.0010314</c:v>
                </c:pt>
                <c:pt idx="2">
                  <c:v>0.0019802</c:v>
                </c:pt>
                <c:pt idx="3">
                  <c:v>0.00301019</c:v>
                </c:pt>
                <c:pt idx="4">
                  <c:v>0.00399264</c:v>
                </c:pt>
                <c:pt idx="5">
                  <c:v>0.00497829</c:v>
                </c:pt>
                <c:pt idx="6">
                  <c:v>0.00597872</c:v>
                </c:pt>
                <c:pt idx="7">
                  <c:v>0.00702629</c:v>
                </c:pt>
                <c:pt idx="8">
                  <c:v>0.0079974</c:v>
                </c:pt>
                <c:pt idx="9">
                  <c:v>0.00901321</c:v>
                </c:pt>
                <c:pt idx="10">
                  <c:v>0.010019</c:v>
                </c:pt>
                <c:pt idx="11">
                  <c:v>0.0110126</c:v>
                </c:pt>
                <c:pt idx="12">
                  <c:v>0.0120309</c:v>
                </c:pt>
                <c:pt idx="13">
                  <c:v>0.0130007</c:v>
                </c:pt>
                <c:pt idx="14">
                  <c:v>0.0140228</c:v>
                </c:pt>
                <c:pt idx="15">
                  <c:v>0.0149987</c:v>
                </c:pt>
                <c:pt idx="16">
                  <c:v>0.0160003</c:v>
                </c:pt>
                <c:pt idx="17">
                  <c:v>0.0169947</c:v>
                </c:pt>
                <c:pt idx="18">
                  <c:v>0.0180069</c:v>
                </c:pt>
                <c:pt idx="19">
                  <c:v>0.0190033</c:v>
                </c:pt>
                <c:pt idx="20">
                  <c:v>0.0199878</c:v>
                </c:pt>
                <c:pt idx="21">
                  <c:v>0.0210526</c:v>
                </c:pt>
                <c:pt idx="22">
                  <c:v>0.0220272</c:v>
                </c:pt>
                <c:pt idx="23">
                  <c:v>0.0230008</c:v>
                </c:pt>
                <c:pt idx="24">
                  <c:v>0.0240276</c:v>
                </c:pt>
                <c:pt idx="25">
                  <c:v>0.024966</c:v>
                </c:pt>
                <c:pt idx="26">
                  <c:v>0.0259776</c:v>
                </c:pt>
                <c:pt idx="27">
                  <c:v>0.0270304</c:v>
                </c:pt>
                <c:pt idx="28">
                  <c:v>0.0279959</c:v>
                </c:pt>
                <c:pt idx="29">
                  <c:v>0.0289979</c:v>
                </c:pt>
                <c:pt idx="30">
                  <c:v>0.0300238</c:v>
                </c:pt>
                <c:pt idx="31">
                  <c:v>0.0309763</c:v>
                </c:pt>
                <c:pt idx="32">
                  <c:v>0.0320282</c:v>
                </c:pt>
                <c:pt idx="33">
                  <c:v>0.0330144</c:v>
                </c:pt>
                <c:pt idx="34">
                  <c:v>0.034017</c:v>
                </c:pt>
                <c:pt idx="35">
                  <c:v>0.0349789</c:v>
                </c:pt>
                <c:pt idx="36">
                  <c:v>0.0360148</c:v>
                </c:pt>
                <c:pt idx="37">
                  <c:v>0.0370154</c:v>
                </c:pt>
                <c:pt idx="38">
                  <c:v>0.0380341</c:v>
                </c:pt>
                <c:pt idx="39">
                  <c:v>0.0390065</c:v>
                </c:pt>
                <c:pt idx="40">
                  <c:v>0.0400098</c:v>
                </c:pt>
                <c:pt idx="41">
                  <c:v>0.0410097</c:v>
                </c:pt>
                <c:pt idx="42">
                  <c:v>0.0419505</c:v>
                </c:pt>
                <c:pt idx="43">
                  <c:v>0.0429866</c:v>
                </c:pt>
                <c:pt idx="44">
                  <c:v>0.0440235</c:v>
                </c:pt>
                <c:pt idx="45">
                  <c:v>0.0449766</c:v>
                </c:pt>
                <c:pt idx="46">
                  <c:v>0.0459686</c:v>
                </c:pt>
                <c:pt idx="47">
                  <c:v>0.0469861</c:v>
                </c:pt>
              </c:numCache>
            </c:numRef>
          </c:xVal>
          <c:yVal>
            <c:numRef>
              <c:f>'400K_SR10'!$AR$2:$AR$83</c:f>
              <c:numCache>
                <c:formatCode>0.00E+00</c:formatCode>
                <c:ptCount val="82"/>
                <c:pt idx="0">
                  <c:v>578636000000</c:v>
                </c:pt>
                <c:pt idx="1">
                  <c:v>1415576333333.33</c:v>
                </c:pt>
                <c:pt idx="2">
                  <c:v>1920700000000</c:v>
                </c:pt>
                <c:pt idx="3">
                  <c:v>2664806666666.67</c:v>
                </c:pt>
                <c:pt idx="4">
                  <c:v>2850916666666.67</c:v>
                </c:pt>
                <c:pt idx="5">
                  <c:v>3124020000000</c:v>
                </c:pt>
                <c:pt idx="6">
                  <c:v>3148136666666.67</c:v>
                </c:pt>
                <c:pt idx="7">
                  <c:v>3417933333333.33</c:v>
                </c:pt>
                <c:pt idx="8">
                  <c:v>3938486666666.67</c:v>
                </c:pt>
                <c:pt idx="9">
                  <c:v>3912933333333.33</c:v>
                </c:pt>
                <c:pt idx="10">
                  <c:v>4387453333333.33</c:v>
                </c:pt>
                <c:pt idx="11">
                  <c:v>4587050000000</c:v>
                </c:pt>
                <c:pt idx="12">
                  <c:v>4591166666666.67</c:v>
                </c:pt>
                <c:pt idx="13">
                  <c:v>4806470000000</c:v>
                </c:pt>
                <c:pt idx="14">
                  <c:v>4938850000000</c:v>
                </c:pt>
                <c:pt idx="15">
                  <c:v>5594020000000</c:v>
                </c:pt>
                <c:pt idx="16">
                  <c:v>5503386666666.67</c:v>
                </c:pt>
                <c:pt idx="17">
                  <c:v>5617316666666.67</c:v>
                </c:pt>
                <c:pt idx="18">
                  <c:v>5538493333333.33</c:v>
                </c:pt>
                <c:pt idx="19">
                  <c:v>5415476666666.67</c:v>
                </c:pt>
                <c:pt idx="20">
                  <c:v>5327306666666.67</c:v>
                </c:pt>
                <c:pt idx="21">
                  <c:v>4970843333333.33</c:v>
                </c:pt>
                <c:pt idx="22">
                  <c:v>4821986666666.67</c:v>
                </c:pt>
                <c:pt idx="23">
                  <c:v>5153786666666.67</c:v>
                </c:pt>
                <c:pt idx="24">
                  <c:v>5220580000000</c:v>
                </c:pt>
                <c:pt idx="25">
                  <c:v>5239660000000</c:v>
                </c:pt>
                <c:pt idx="26">
                  <c:v>5402026666666.67</c:v>
                </c:pt>
                <c:pt idx="27">
                  <c:v>5460703333333.33</c:v>
                </c:pt>
                <c:pt idx="28">
                  <c:v>5589970000000</c:v>
                </c:pt>
                <c:pt idx="29">
                  <c:v>6057566666666.67</c:v>
                </c:pt>
                <c:pt idx="30">
                  <c:v>6524780000000</c:v>
                </c:pt>
                <c:pt idx="31">
                  <c:v>6964520000000</c:v>
                </c:pt>
                <c:pt idx="32">
                  <c:v>6291370000000</c:v>
                </c:pt>
                <c:pt idx="33">
                  <c:v>6081103333333.33</c:v>
                </c:pt>
                <c:pt idx="34">
                  <c:v>6482913333333.33</c:v>
                </c:pt>
                <c:pt idx="35">
                  <c:v>6536663333333.33</c:v>
                </c:pt>
                <c:pt idx="36">
                  <c:v>6416640000000</c:v>
                </c:pt>
                <c:pt idx="37">
                  <c:v>6630603333333.33</c:v>
                </c:pt>
                <c:pt idx="38">
                  <c:v>6213180000000</c:v>
                </c:pt>
                <c:pt idx="39">
                  <c:v>6244360000000</c:v>
                </c:pt>
                <c:pt idx="40">
                  <c:v>6473093333333.33</c:v>
                </c:pt>
                <c:pt idx="41">
                  <c:v>6452683333333.33</c:v>
                </c:pt>
                <c:pt idx="42">
                  <c:v>6672890000000</c:v>
                </c:pt>
                <c:pt idx="43">
                  <c:v>6623186666666.67</c:v>
                </c:pt>
                <c:pt idx="44">
                  <c:v>6412103333333.33</c:v>
                </c:pt>
                <c:pt idx="45">
                  <c:v>6439750000000</c:v>
                </c:pt>
                <c:pt idx="46">
                  <c:v>5994203333333.33</c:v>
                </c:pt>
                <c:pt idx="47">
                  <c:v>5750616666666.67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"400K SR20"</c:f>
              <c:strCache>
                <c:ptCount val="1"/>
                <c:pt idx="0">
                  <c:v>400K SR20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9080" cap="rnd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'400K_SR20'!$AN$2:$AN$49</c:f>
              <c:numCache>
                <c:formatCode>0.00E+00</c:formatCode>
                <c:ptCount val="48"/>
                <c:pt idx="0">
                  <c:v>0.000214671</c:v>
                </c:pt>
                <c:pt idx="1">
                  <c:v>0.000979536</c:v>
                </c:pt>
                <c:pt idx="2">
                  <c:v>0.00197987</c:v>
                </c:pt>
                <c:pt idx="3">
                  <c:v>0.00297193</c:v>
                </c:pt>
                <c:pt idx="4">
                  <c:v>0.00397339</c:v>
                </c:pt>
                <c:pt idx="5">
                  <c:v>0.00500065</c:v>
                </c:pt>
                <c:pt idx="6">
                  <c:v>0.00594836</c:v>
                </c:pt>
                <c:pt idx="7">
                  <c:v>0.00697824</c:v>
                </c:pt>
                <c:pt idx="8">
                  <c:v>0.00802007</c:v>
                </c:pt>
                <c:pt idx="9">
                  <c:v>0.00900566</c:v>
                </c:pt>
                <c:pt idx="10">
                  <c:v>0.0099903</c:v>
                </c:pt>
                <c:pt idx="11">
                  <c:v>0.0110013</c:v>
                </c:pt>
                <c:pt idx="12">
                  <c:v>0.0120149</c:v>
                </c:pt>
                <c:pt idx="13">
                  <c:v>0.0130014</c:v>
                </c:pt>
                <c:pt idx="14">
                  <c:v>0.0140061</c:v>
                </c:pt>
                <c:pt idx="15">
                  <c:v>0.0149829</c:v>
                </c:pt>
                <c:pt idx="16">
                  <c:v>0.0160063</c:v>
                </c:pt>
                <c:pt idx="17">
                  <c:v>0.0169875</c:v>
                </c:pt>
                <c:pt idx="18">
                  <c:v>0.0180264</c:v>
                </c:pt>
                <c:pt idx="19">
                  <c:v>0.0190506</c:v>
                </c:pt>
                <c:pt idx="20">
                  <c:v>0.0200326</c:v>
                </c:pt>
                <c:pt idx="21">
                  <c:v>0.0210018</c:v>
                </c:pt>
                <c:pt idx="22">
                  <c:v>0.0220033</c:v>
                </c:pt>
                <c:pt idx="23">
                  <c:v>0.0229936</c:v>
                </c:pt>
                <c:pt idx="24">
                  <c:v>0.0239954</c:v>
                </c:pt>
                <c:pt idx="25">
                  <c:v>0.0250238</c:v>
                </c:pt>
                <c:pt idx="26">
                  <c:v>0.0259826</c:v>
                </c:pt>
                <c:pt idx="27">
                  <c:v>0.0270057</c:v>
                </c:pt>
                <c:pt idx="28">
                  <c:v>0.0279802</c:v>
                </c:pt>
                <c:pt idx="29">
                  <c:v>0.0290162</c:v>
                </c:pt>
                <c:pt idx="30">
                  <c:v>0.0299836</c:v>
                </c:pt>
                <c:pt idx="31">
                  <c:v>0.0309722</c:v>
                </c:pt>
                <c:pt idx="32">
                  <c:v>0.0320136</c:v>
                </c:pt>
                <c:pt idx="33">
                  <c:v>0.0330387</c:v>
                </c:pt>
                <c:pt idx="34">
                  <c:v>0.0340135</c:v>
                </c:pt>
                <c:pt idx="35">
                  <c:v>0.0350137</c:v>
                </c:pt>
                <c:pt idx="36">
                  <c:v>0.0360163</c:v>
                </c:pt>
                <c:pt idx="37">
                  <c:v>0.0369691</c:v>
                </c:pt>
                <c:pt idx="38">
                  <c:v>0.0379821</c:v>
                </c:pt>
                <c:pt idx="39">
                  <c:v>0.0389915</c:v>
                </c:pt>
                <c:pt idx="40">
                  <c:v>0.0400133</c:v>
                </c:pt>
                <c:pt idx="41">
                  <c:v>0.040969</c:v>
                </c:pt>
                <c:pt idx="42">
                  <c:v>0.041985</c:v>
                </c:pt>
                <c:pt idx="43">
                  <c:v>0.0430038</c:v>
                </c:pt>
                <c:pt idx="44">
                  <c:v>0.0440017</c:v>
                </c:pt>
                <c:pt idx="45">
                  <c:v>0.0449997</c:v>
                </c:pt>
                <c:pt idx="46">
                  <c:v>0.0459798</c:v>
                </c:pt>
                <c:pt idx="47">
                  <c:v>0.0470347</c:v>
                </c:pt>
              </c:numCache>
            </c:numRef>
          </c:xVal>
          <c:yVal>
            <c:numRef>
              <c:f>'400K_SR20'!$AR$2:$AR$49</c:f>
              <c:numCache>
                <c:formatCode>0.00E+00</c:formatCode>
                <c:ptCount val="48"/>
                <c:pt idx="0">
                  <c:v>573265000000</c:v>
                </c:pt>
                <c:pt idx="1">
                  <c:v>1142854000000</c:v>
                </c:pt>
                <c:pt idx="2">
                  <c:v>2181446666666.67</c:v>
                </c:pt>
                <c:pt idx="3">
                  <c:v>3140416666666.67</c:v>
                </c:pt>
                <c:pt idx="4">
                  <c:v>3361870000000</c:v>
                </c:pt>
                <c:pt idx="5">
                  <c:v>3389833333333.33</c:v>
                </c:pt>
                <c:pt idx="6">
                  <c:v>3502756666666.67</c:v>
                </c:pt>
                <c:pt idx="7">
                  <c:v>3436696666666.67</c:v>
                </c:pt>
                <c:pt idx="8">
                  <c:v>3915126666666.67</c:v>
                </c:pt>
                <c:pt idx="9">
                  <c:v>4028396666666.67</c:v>
                </c:pt>
                <c:pt idx="10">
                  <c:v>4327460000000</c:v>
                </c:pt>
                <c:pt idx="11">
                  <c:v>4399536666666.67</c:v>
                </c:pt>
                <c:pt idx="12">
                  <c:v>4277026666666.67</c:v>
                </c:pt>
                <c:pt idx="13">
                  <c:v>4176910000000</c:v>
                </c:pt>
                <c:pt idx="14">
                  <c:v>4121983333333.33</c:v>
                </c:pt>
                <c:pt idx="15">
                  <c:v>4457040000000</c:v>
                </c:pt>
                <c:pt idx="16">
                  <c:v>4362170000000</c:v>
                </c:pt>
                <c:pt idx="17">
                  <c:v>4451066666666.67</c:v>
                </c:pt>
                <c:pt idx="18">
                  <c:v>4603546666666.67</c:v>
                </c:pt>
                <c:pt idx="19">
                  <c:v>4421856666666.67</c:v>
                </c:pt>
                <c:pt idx="20">
                  <c:v>4364663333333.33</c:v>
                </c:pt>
                <c:pt idx="21">
                  <c:v>4024713333333.33</c:v>
                </c:pt>
                <c:pt idx="22">
                  <c:v>4510363333333.33</c:v>
                </c:pt>
                <c:pt idx="23">
                  <c:v>4697090000000</c:v>
                </c:pt>
                <c:pt idx="24">
                  <c:v>4050026666666.67</c:v>
                </c:pt>
                <c:pt idx="25">
                  <c:v>4078993333333.33</c:v>
                </c:pt>
                <c:pt idx="26">
                  <c:v>4449926666666.67</c:v>
                </c:pt>
                <c:pt idx="27">
                  <c:v>4176203333333.33</c:v>
                </c:pt>
                <c:pt idx="28">
                  <c:v>4327400000000</c:v>
                </c:pt>
                <c:pt idx="29">
                  <c:v>4790716666666.67</c:v>
                </c:pt>
                <c:pt idx="30">
                  <c:v>4676256666666.67</c:v>
                </c:pt>
                <c:pt idx="31">
                  <c:v>4882770000000</c:v>
                </c:pt>
                <c:pt idx="32">
                  <c:v>4605380000000</c:v>
                </c:pt>
                <c:pt idx="33">
                  <c:v>4586663333333.33</c:v>
                </c:pt>
                <c:pt idx="34">
                  <c:v>4363266666666.67</c:v>
                </c:pt>
                <c:pt idx="35">
                  <c:v>4482863333333.33</c:v>
                </c:pt>
                <c:pt idx="36">
                  <c:v>4447286666666.67</c:v>
                </c:pt>
                <c:pt idx="37">
                  <c:v>4336776666666.67</c:v>
                </c:pt>
                <c:pt idx="38">
                  <c:v>4403446666666.67</c:v>
                </c:pt>
                <c:pt idx="39">
                  <c:v>4492243333333.33</c:v>
                </c:pt>
                <c:pt idx="40">
                  <c:v>4180243333333.33</c:v>
                </c:pt>
                <c:pt idx="41">
                  <c:v>4202223333333.33</c:v>
                </c:pt>
                <c:pt idx="42">
                  <c:v>4253546666666.67</c:v>
                </c:pt>
                <c:pt idx="43">
                  <c:v>4540180000000</c:v>
                </c:pt>
                <c:pt idx="44">
                  <c:v>4549646666666.67</c:v>
                </c:pt>
                <c:pt idx="45">
                  <c:v>5048973333333.33</c:v>
                </c:pt>
                <c:pt idx="46">
                  <c:v>4744550000000</c:v>
                </c:pt>
                <c:pt idx="47">
                  <c:v>4862010000000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"400K_SR40"</c:f>
              <c:strCache>
                <c:ptCount val="1"/>
                <c:pt idx="0">
                  <c:v>400K_SR40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9080" cap="rnd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'400K_SR40'!$AN$2:$AN$45</c:f>
              <c:numCache>
                <c:formatCode>0.00E+00</c:formatCode>
                <c:ptCount val="44"/>
                <c:pt idx="0">
                  <c:v>0.000200299</c:v>
                </c:pt>
                <c:pt idx="1">
                  <c:v>0.0009834</c:v>
                </c:pt>
                <c:pt idx="2">
                  <c:v>0.0020135</c:v>
                </c:pt>
                <c:pt idx="3">
                  <c:v>0.00298985</c:v>
                </c:pt>
                <c:pt idx="4">
                  <c:v>0.00397897</c:v>
                </c:pt>
                <c:pt idx="5">
                  <c:v>0.00499823</c:v>
                </c:pt>
                <c:pt idx="6">
                  <c:v>0.00598766</c:v>
                </c:pt>
                <c:pt idx="7">
                  <c:v>0.00697675</c:v>
                </c:pt>
                <c:pt idx="8">
                  <c:v>0.00799115</c:v>
                </c:pt>
                <c:pt idx="9">
                  <c:v>0.00897785</c:v>
                </c:pt>
                <c:pt idx="10">
                  <c:v>0.00998248</c:v>
                </c:pt>
                <c:pt idx="11">
                  <c:v>0.011009</c:v>
                </c:pt>
                <c:pt idx="12">
                  <c:v>0.0119627</c:v>
                </c:pt>
                <c:pt idx="13">
                  <c:v>0.0130151</c:v>
                </c:pt>
                <c:pt idx="14">
                  <c:v>0.014013</c:v>
                </c:pt>
                <c:pt idx="15">
                  <c:v>0.0149773</c:v>
                </c:pt>
                <c:pt idx="16">
                  <c:v>0.0159849</c:v>
                </c:pt>
                <c:pt idx="17">
                  <c:v>0.0170388</c:v>
                </c:pt>
                <c:pt idx="18">
                  <c:v>0.0180022</c:v>
                </c:pt>
                <c:pt idx="19">
                  <c:v>0.0189797</c:v>
                </c:pt>
                <c:pt idx="20">
                  <c:v>0.0199746</c:v>
                </c:pt>
                <c:pt idx="21">
                  <c:v>0.0210202</c:v>
                </c:pt>
                <c:pt idx="22">
                  <c:v>0.0220134</c:v>
                </c:pt>
                <c:pt idx="23">
                  <c:v>0.0229826</c:v>
                </c:pt>
                <c:pt idx="24">
                  <c:v>0.0240501</c:v>
                </c:pt>
                <c:pt idx="25">
                  <c:v>0.0249972</c:v>
                </c:pt>
                <c:pt idx="26">
                  <c:v>0.0259852</c:v>
                </c:pt>
                <c:pt idx="27">
                  <c:v>0.0270025</c:v>
                </c:pt>
                <c:pt idx="28">
                  <c:v>0.0280224</c:v>
                </c:pt>
                <c:pt idx="29">
                  <c:v>0.0289825</c:v>
                </c:pt>
                <c:pt idx="30">
                  <c:v>0.030026</c:v>
                </c:pt>
                <c:pt idx="31">
                  <c:v>0.0309942</c:v>
                </c:pt>
                <c:pt idx="32">
                  <c:v>0.0319944</c:v>
                </c:pt>
                <c:pt idx="33">
                  <c:v>0.0329684</c:v>
                </c:pt>
                <c:pt idx="34">
                  <c:v>0.0339924</c:v>
                </c:pt>
                <c:pt idx="35">
                  <c:v>0.0350067</c:v>
                </c:pt>
                <c:pt idx="36">
                  <c:v>0.036004</c:v>
                </c:pt>
                <c:pt idx="37">
                  <c:v>0.0370332</c:v>
                </c:pt>
                <c:pt idx="38">
                  <c:v>0.0379976</c:v>
                </c:pt>
                <c:pt idx="39">
                  <c:v>0.0390332</c:v>
                </c:pt>
                <c:pt idx="40">
                  <c:v>0.0400331</c:v>
                </c:pt>
                <c:pt idx="41">
                  <c:v>0.0410245</c:v>
                </c:pt>
                <c:pt idx="42">
                  <c:v>0.042007</c:v>
                </c:pt>
                <c:pt idx="43">
                  <c:v>0.0430207</c:v>
                </c:pt>
              </c:numCache>
            </c:numRef>
          </c:xVal>
          <c:yVal>
            <c:numRef>
              <c:f>'400K_SR40'!$AR$2:$AR$45</c:f>
              <c:numCache>
                <c:formatCode>0.00E+00</c:formatCode>
                <c:ptCount val="44"/>
                <c:pt idx="0">
                  <c:v>540077333333.333</c:v>
                </c:pt>
                <c:pt idx="1">
                  <c:v>1101286666666.67</c:v>
                </c:pt>
                <c:pt idx="2">
                  <c:v>2073466666666.67</c:v>
                </c:pt>
                <c:pt idx="3">
                  <c:v>2997503333333.33</c:v>
                </c:pt>
                <c:pt idx="4">
                  <c:v>3237953333333.33</c:v>
                </c:pt>
                <c:pt idx="5">
                  <c:v>3628166666666.67</c:v>
                </c:pt>
                <c:pt idx="6">
                  <c:v>3646200000000</c:v>
                </c:pt>
                <c:pt idx="7">
                  <c:v>3746510000000</c:v>
                </c:pt>
                <c:pt idx="8">
                  <c:v>3751200000000</c:v>
                </c:pt>
                <c:pt idx="9">
                  <c:v>3562803333333.33</c:v>
                </c:pt>
                <c:pt idx="10">
                  <c:v>3754006666666.67</c:v>
                </c:pt>
                <c:pt idx="11">
                  <c:v>4241930000000</c:v>
                </c:pt>
                <c:pt idx="12">
                  <c:v>4226743333333.33</c:v>
                </c:pt>
                <c:pt idx="13">
                  <c:v>3852853333333.33</c:v>
                </c:pt>
                <c:pt idx="14">
                  <c:v>3955880000000</c:v>
                </c:pt>
                <c:pt idx="15">
                  <c:v>4224910000000</c:v>
                </c:pt>
                <c:pt idx="16">
                  <c:v>4162600000000</c:v>
                </c:pt>
                <c:pt idx="17">
                  <c:v>4159500000000</c:v>
                </c:pt>
                <c:pt idx="18">
                  <c:v>4358760000000</c:v>
                </c:pt>
                <c:pt idx="19">
                  <c:v>4144780000000</c:v>
                </c:pt>
                <c:pt idx="20">
                  <c:v>3872980000000</c:v>
                </c:pt>
                <c:pt idx="21">
                  <c:v>3846160000000</c:v>
                </c:pt>
                <c:pt idx="22">
                  <c:v>3690766666666.67</c:v>
                </c:pt>
                <c:pt idx="23">
                  <c:v>3782733333333.33</c:v>
                </c:pt>
                <c:pt idx="24">
                  <c:v>3575966666666.67</c:v>
                </c:pt>
                <c:pt idx="25">
                  <c:v>3781390000000</c:v>
                </c:pt>
                <c:pt idx="26">
                  <c:v>3680890000000</c:v>
                </c:pt>
                <c:pt idx="27">
                  <c:v>4070566666666.67</c:v>
                </c:pt>
                <c:pt idx="28">
                  <c:v>3684780000000</c:v>
                </c:pt>
                <c:pt idx="29">
                  <c:v>3489186666666.67</c:v>
                </c:pt>
                <c:pt idx="30">
                  <c:v>3702436666666.67</c:v>
                </c:pt>
                <c:pt idx="31">
                  <c:v>3663436666666.67</c:v>
                </c:pt>
                <c:pt idx="32">
                  <c:v>4053446666666.67</c:v>
                </c:pt>
                <c:pt idx="33">
                  <c:v>4445210000000</c:v>
                </c:pt>
                <c:pt idx="34">
                  <c:v>4159996666666.67</c:v>
                </c:pt>
                <c:pt idx="35">
                  <c:v>4130606666666.67</c:v>
                </c:pt>
                <c:pt idx="36">
                  <c:v>4373460000000</c:v>
                </c:pt>
                <c:pt idx="37">
                  <c:v>4427793333333.33</c:v>
                </c:pt>
                <c:pt idx="38">
                  <c:v>4649393333333.33</c:v>
                </c:pt>
                <c:pt idx="39">
                  <c:v>4422770000000</c:v>
                </c:pt>
                <c:pt idx="40">
                  <c:v>4104770000000</c:v>
                </c:pt>
                <c:pt idx="41">
                  <c:v>3986083333333.33</c:v>
                </c:pt>
                <c:pt idx="42">
                  <c:v>3824586666666.67</c:v>
                </c:pt>
                <c:pt idx="43">
                  <c:v>4132830000000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"400K SR100"</c:f>
              <c:strCache>
                <c:ptCount val="1"/>
                <c:pt idx="0">
                  <c:v>400K SR100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9080" cap="rnd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'400K_SR100'!$AN$2:$AN$48</c:f>
              <c:numCache>
                <c:formatCode>0.00E+00</c:formatCode>
                <c:ptCount val="47"/>
                <c:pt idx="0">
                  <c:v>0.000196169</c:v>
                </c:pt>
                <c:pt idx="1">
                  <c:v>0.0010481</c:v>
                </c:pt>
                <c:pt idx="2">
                  <c:v>0.00200316</c:v>
                </c:pt>
                <c:pt idx="3">
                  <c:v>0.00298964</c:v>
                </c:pt>
                <c:pt idx="4">
                  <c:v>0.00394761</c:v>
                </c:pt>
                <c:pt idx="5">
                  <c:v>0.0050094</c:v>
                </c:pt>
                <c:pt idx="6">
                  <c:v>0.00586578</c:v>
                </c:pt>
                <c:pt idx="7">
                  <c:v>0.00700285</c:v>
                </c:pt>
                <c:pt idx="8">
                  <c:v>0.00797551</c:v>
                </c:pt>
                <c:pt idx="9">
                  <c:v>0.00901181</c:v>
                </c:pt>
                <c:pt idx="10">
                  <c:v>0.0100437</c:v>
                </c:pt>
                <c:pt idx="11">
                  <c:v>0.0109049</c:v>
                </c:pt>
                <c:pt idx="12">
                  <c:v>0.0119735</c:v>
                </c:pt>
                <c:pt idx="13">
                  <c:v>0.0129866</c:v>
                </c:pt>
                <c:pt idx="14">
                  <c:v>0.0140029</c:v>
                </c:pt>
                <c:pt idx="15">
                  <c:v>0.0150812</c:v>
                </c:pt>
                <c:pt idx="16">
                  <c:v>0.0160005</c:v>
                </c:pt>
                <c:pt idx="17">
                  <c:v>0.0169836</c:v>
                </c:pt>
                <c:pt idx="18">
                  <c:v>0.0179907</c:v>
                </c:pt>
                <c:pt idx="19">
                  <c:v>0.0189817</c:v>
                </c:pt>
                <c:pt idx="20">
                  <c:v>0.0200237</c:v>
                </c:pt>
                <c:pt idx="21">
                  <c:v>0.0208729</c:v>
                </c:pt>
                <c:pt idx="22">
                  <c:v>0.021981</c:v>
                </c:pt>
                <c:pt idx="23">
                  <c:v>0.0230706</c:v>
                </c:pt>
                <c:pt idx="24">
                  <c:v>0.0238412</c:v>
                </c:pt>
                <c:pt idx="25">
                  <c:v>0.0250225</c:v>
                </c:pt>
                <c:pt idx="26">
                  <c:v>0.0259835</c:v>
                </c:pt>
                <c:pt idx="27">
                  <c:v>0.02702</c:v>
                </c:pt>
                <c:pt idx="28">
                  <c:v>0.0280154</c:v>
                </c:pt>
                <c:pt idx="29">
                  <c:v>0.0289538</c:v>
                </c:pt>
                <c:pt idx="30">
                  <c:v>0.0299696</c:v>
                </c:pt>
                <c:pt idx="31">
                  <c:v>0.0310482</c:v>
                </c:pt>
                <c:pt idx="32">
                  <c:v>0.0319835</c:v>
                </c:pt>
                <c:pt idx="33">
                  <c:v>0.0330646</c:v>
                </c:pt>
                <c:pt idx="34">
                  <c:v>0.0339851</c:v>
                </c:pt>
                <c:pt idx="35">
                  <c:v>0.0350307</c:v>
                </c:pt>
                <c:pt idx="36">
                  <c:v>0.0359621</c:v>
                </c:pt>
                <c:pt idx="37">
                  <c:v>0.0370595</c:v>
                </c:pt>
                <c:pt idx="38">
                  <c:v>0.0379408</c:v>
                </c:pt>
                <c:pt idx="39">
                  <c:v>0.0390522</c:v>
                </c:pt>
                <c:pt idx="40">
                  <c:v>0.0399196</c:v>
                </c:pt>
                <c:pt idx="41">
                  <c:v>0.0410346</c:v>
                </c:pt>
                <c:pt idx="42">
                  <c:v>0.041958</c:v>
                </c:pt>
                <c:pt idx="43">
                  <c:v>0.0429389</c:v>
                </c:pt>
                <c:pt idx="44">
                  <c:v>0.0439894</c:v>
                </c:pt>
                <c:pt idx="45">
                  <c:v>0.0449846</c:v>
                </c:pt>
                <c:pt idx="46">
                  <c:v>0.0460217</c:v>
                </c:pt>
              </c:numCache>
            </c:numRef>
          </c:xVal>
          <c:yVal>
            <c:numRef>
              <c:f>'400K_SR100'!$AR$2:$AR$48</c:f>
              <c:numCache>
                <c:formatCode>0.00E+00</c:formatCode>
                <c:ptCount val="47"/>
                <c:pt idx="0">
                  <c:v>482799000000</c:v>
                </c:pt>
                <c:pt idx="1">
                  <c:v>849183333333.333</c:v>
                </c:pt>
                <c:pt idx="2">
                  <c:v>1402383333333.33</c:v>
                </c:pt>
                <c:pt idx="3">
                  <c:v>1795703333333.33</c:v>
                </c:pt>
                <c:pt idx="4">
                  <c:v>2567670000000</c:v>
                </c:pt>
                <c:pt idx="5">
                  <c:v>3135903333333.33</c:v>
                </c:pt>
                <c:pt idx="6">
                  <c:v>3259613333333.33</c:v>
                </c:pt>
                <c:pt idx="7">
                  <c:v>3428006666666.67</c:v>
                </c:pt>
                <c:pt idx="8">
                  <c:v>3329763333333.33</c:v>
                </c:pt>
                <c:pt idx="9">
                  <c:v>3611640000000</c:v>
                </c:pt>
                <c:pt idx="10">
                  <c:v>3440736666666.67</c:v>
                </c:pt>
                <c:pt idx="11">
                  <c:v>3659456666666.67</c:v>
                </c:pt>
                <c:pt idx="12">
                  <c:v>3935560000000</c:v>
                </c:pt>
                <c:pt idx="13">
                  <c:v>3920730000000</c:v>
                </c:pt>
                <c:pt idx="14">
                  <c:v>3951843333333.33</c:v>
                </c:pt>
                <c:pt idx="15">
                  <c:v>3901453333333.33</c:v>
                </c:pt>
                <c:pt idx="16">
                  <c:v>3751436666666.67</c:v>
                </c:pt>
                <c:pt idx="17">
                  <c:v>3759740000000</c:v>
                </c:pt>
                <c:pt idx="18">
                  <c:v>3655710000000</c:v>
                </c:pt>
                <c:pt idx="19">
                  <c:v>3746893333333.33</c:v>
                </c:pt>
                <c:pt idx="20">
                  <c:v>3741226666666.67</c:v>
                </c:pt>
                <c:pt idx="21">
                  <c:v>3849020000000</c:v>
                </c:pt>
                <c:pt idx="22">
                  <c:v>3760373333333.33</c:v>
                </c:pt>
                <c:pt idx="23">
                  <c:v>3563836666666.67</c:v>
                </c:pt>
                <c:pt idx="24">
                  <c:v>3582850000000</c:v>
                </c:pt>
                <c:pt idx="25">
                  <c:v>3483423333333.33</c:v>
                </c:pt>
                <c:pt idx="26">
                  <c:v>3474380000000</c:v>
                </c:pt>
                <c:pt idx="27">
                  <c:v>3667173333333.33</c:v>
                </c:pt>
                <c:pt idx="28">
                  <c:v>3864853333333.33</c:v>
                </c:pt>
                <c:pt idx="29">
                  <c:v>4085950000000</c:v>
                </c:pt>
                <c:pt idx="30">
                  <c:v>4237526666666.67</c:v>
                </c:pt>
                <c:pt idx="31">
                  <c:v>4224713333333.33</c:v>
                </c:pt>
                <c:pt idx="32">
                  <c:v>4111790000000</c:v>
                </c:pt>
                <c:pt idx="33">
                  <c:v>3725633333333.33</c:v>
                </c:pt>
                <c:pt idx="34">
                  <c:v>3850613333333.33</c:v>
                </c:pt>
                <c:pt idx="35">
                  <c:v>3845243333333.33</c:v>
                </c:pt>
                <c:pt idx="36">
                  <c:v>3955663333333.33</c:v>
                </c:pt>
                <c:pt idx="37">
                  <c:v>3987463333333.33</c:v>
                </c:pt>
                <c:pt idx="38">
                  <c:v>4131846666666.67</c:v>
                </c:pt>
                <c:pt idx="39">
                  <c:v>4053636666666.67</c:v>
                </c:pt>
                <c:pt idx="40">
                  <c:v>4218120000000</c:v>
                </c:pt>
                <c:pt idx="41">
                  <c:v>4085506666666.67</c:v>
                </c:pt>
                <c:pt idx="42">
                  <c:v>4019983333333.33</c:v>
                </c:pt>
                <c:pt idx="43">
                  <c:v>4141486666666.67</c:v>
                </c:pt>
                <c:pt idx="44">
                  <c:v>3894350000000</c:v>
                </c:pt>
                <c:pt idx="45">
                  <c:v>4005820000000</c:v>
                </c:pt>
                <c:pt idx="46">
                  <c:v>3989126666666.67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23824439"/>
        <c:axId val="46727799"/>
      </c:scatterChart>
      <c:valAx>
        <c:axId val="23824439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46727799"/>
        <c:crosses val="autoZero"/>
        <c:crossBetween val="midCat"/>
      </c:valAx>
      <c:valAx>
        <c:axId val="4672779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2382443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595959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Chart Title</a:t>
            </a:r>
            <a:endParaRPr lang="en-US" sz="1400" b="0" u="none" strike="noStrike">
              <a:solidFill>
                <a:srgbClr val="595959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9080" cap="rnd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trendline>
            <c:spPr>
              <a:ln w="19080" cap="rnd" cmpd="sng" algn="ctr">
                <a:solidFill>
                  <a:srgbClr val="4472C4"/>
                </a:solidFill>
                <a:prstDash val="sysDot"/>
                <a:round/>
              </a:ln>
            </c:spPr>
            <c:trendlineType val="exp"/>
            <c:forward val="0"/>
            <c:backward val="0"/>
            <c:dispRSqr val="0"/>
            <c:dispEq val="1"/>
            <c:trendlineLbl>
              <c:layout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tauratio!$I$28:$I$31</c:f>
              <c:numCache>
                <c:formatCode>0.00_ </c:formatCode>
                <c:ptCount val="4"/>
                <c:pt idx="0">
                  <c:v>4.02492235949962</c:v>
                </c:pt>
                <c:pt idx="1">
                  <c:v>5.09823498869952</c:v>
                </c:pt>
                <c:pt idx="2">
                  <c:v>6.3504330560994</c:v>
                </c:pt>
                <c:pt idx="3">
                  <c:v>8.38525491562421</c:v>
                </c:pt>
              </c:numCache>
            </c:numRef>
          </c:xVal>
          <c:yVal>
            <c:numRef>
              <c:f>tauratio!$J$28:$J$31</c:f>
              <c:numCache>
                <c:formatCode>0.00_ </c:formatCode>
                <c:ptCount val="4"/>
                <c:pt idx="0">
                  <c:v>1000</c:v>
                </c:pt>
                <c:pt idx="1">
                  <c:v>1300</c:v>
                </c:pt>
                <c:pt idx="2">
                  <c:v>1900</c:v>
                </c:pt>
                <c:pt idx="3">
                  <c:v>3000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34955809"/>
        <c:axId val="55779205"/>
      </c:scatterChart>
      <c:valAx>
        <c:axId val="34955809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_ 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55779205"/>
        <c:crosses val="autoZero"/>
        <c:crossBetween val="midCat"/>
      </c:valAx>
      <c:valAx>
        <c:axId val="5577920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_ 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349558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 cap="rnd" cmpd="sng" algn="ctr">
              <a:solidFill>
                <a:srgbClr val="004586"/>
              </a:solidFill>
              <a:prstDash val="solid"/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Fitting!$A$1:$A$6</c:f>
              <c:numCache>
                <c:formatCode>General</c:formatCode>
                <c:ptCount val="6"/>
                <c:pt idx="0">
                  <c:v>0</c:v>
                </c:pt>
                <c:pt idx="1">
                  <c:v>1.02</c:v>
                </c:pt>
                <c:pt idx="2" c:formatCode="0.00_ ">
                  <c:v>2.663</c:v>
                </c:pt>
                <c:pt idx="3" c:formatCode="0.00_ ">
                  <c:v>3.2199</c:v>
                </c:pt>
                <c:pt idx="4" c:formatCode="0.00_ ">
                  <c:v>4.316</c:v>
                </c:pt>
                <c:pt idx="5" c:formatCode="0.00_ ">
                  <c:v>6.03</c:v>
                </c:pt>
              </c:numCache>
            </c:numRef>
          </c:xVal>
          <c:yVal>
            <c:numRef>
              <c:f>Fitting!$B$1:$B$6</c:f>
              <c:numCache>
                <c:formatCode>General</c:formatCode>
                <c:ptCount val="6"/>
                <c:pt idx="0">
                  <c:v>100</c:v>
                </c:pt>
                <c:pt idx="1">
                  <c:v>120</c:v>
                </c:pt>
                <c:pt idx="2" c:formatCode="0.00_ ">
                  <c:v>1000</c:v>
                </c:pt>
                <c:pt idx="3" c:formatCode="0.00_ ">
                  <c:v>1300</c:v>
                </c:pt>
                <c:pt idx="4" c:formatCode="0.00_ ">
                  <c:v>1900</c:v>
                </c:pt>
                <c:pt idx="5" c:formatCode="0.00_ ">
                  <c:v>3000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94449768"/>
        <c:axId val="34586302"/>
      </c:scatterChart>
      <c:valAx>
        <c:axId val="94449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</a:p>
        </c:txPr>
        <c:crossAx val="34586302"/>
        <c:crosses val="autoZero"/>
        <c:crossBetween val="midCat"/>
      </c:valAx>
      <c:valAx>
        <c:axId val="34586302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</a:p>
        </c:txPr>
        <c:crossAx val="944497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</a:p>
      </c:txPr>
    </c:legend>
    <c:plotVisOnly val="1"/>
    <c:dispBlanksAs val="span"/>
    <c:showDLblsOverMax val="0"/>
  </c:chart>
  <c:spPr>
    <a:solidFill>
      <a:srgbClr val="FFFFFF"/>
    </a:solidFill>
    <a:ln w="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Fitting!$A$3:$A$6</c:f>
              <c:numCache>
                <c:formatCode>0.00_ </c:formatCode>
                <c:ptCount val="4"/>
                <c:pt idx="0">
                  <c:v>2.663</c:v>
                </c:pt>
                <c:pt idx="1">
                  <c:v>3.2199</c:v>
                </c:pt>
                <c:pt idx="2">
                  <c:v>4.316</c:v>
                </c:pt>
                <c:pt idx="3">
                  <c:v>6.03</c:v>
                </c:pt>
              </c:numCache>
            </c:numRef>
          </c:xVal>
          <c:yVal>
            <c:numRef>
              <c:f>Fitting!$B$3:$B$6</c:f>
              <c:numCache>
                <c:formatCode>0.00_ </c:formatCode>
                <c:ptCount val="4"/>
                <c:pt idx="0">
                  <c:v>1000</c:v>
                </c:pt>
                <c:pt idx="1">
                  <c:v>1300</c:v>
                </c:pt>
                <c:pt idx="2">
                  <c:v>1900</c:v>
                </c:pt>
                <c:pt idx="3">
                  <c:v>3000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34468"/>
        <c:axId val="904052028"/>
      </c:scatterChart>
      <c:valAx>
        <c:axId val="5328344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052028"/>
        <c:crosses val="autoZero"/>
        <c:crossBetween val="midCat"/>
      </c:valAx>
      <c:valAx>
        <c:axId val="904052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28344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16</xdr:col>
      <xdr:colOff>341280</xdr:colOff>
      <xdr:row>34</xdr:row>
      <xdr:rowOff>17280</xdr:rowOff>
    </xdr:to>
    <xdr:graphicFrame>
      <xdr:nvGraphicFramePr>
        <xdr:cNvPr id="2" name="Chart 2"/>
        <xdr:cNvGraphicFramePr/>
      </xdr:nvGraphicFramePr>
      <xdr:xfrm>
        <a:off x="1545590" y="1143000"/>
        <a:ext cx="11160125" cy="5351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283845</xdr:colOff>
      <xdr:row>36</xdr:row>
      <xdr:rowOff>157480</xdr:rowOff>
    </xdr:from>
    <xdr:to>
      <xdr:col>11</xdr:col>
      <xdr:colOff>464440</xdr:colOff>
      <xdr:row>71</xdr:row>
      <xdr:rowOff>97360</xdr:rowOff>
    </xdr:to>
    <xdr:graphicFrame>
      <xdr:nvGraphicFramePr>
        <xdr:cNvPr id="2" name="Chart 1"/>
        <xdr:cNvGraphicFramePr/>
      </xdr:nvGraphicFramePr>
      <xdr:xfrm>
        <a:off x="1350645" y="7015480"/>
        <a:ext cx="8352790" cy="6607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187560</xdr:colOff>
      <xdr:row>8</xdr:row>
      <xdr:rowOff>38160</xdr:rowOff>
    </xdr:from>
    <xdr:to>
      <xdr:col>24</xdr:col>
      <xdr:colOff>359640</xdr:colOff>
      <xdr:row>25</xdr:row>
      <xdr:rowOff>38160</xdr:rowOff>
    </xdr:to>
    <xdr:graphicFrame>
      <xdr:nvGraphicFramePr>
        <xdr:cNvPr id="3" name="Chart 2"/>
        <xdr:cNvGraphicFramePr/>
      </xdr:nvGraphicFramePr>
      <xdr:xfrm>
        <a:off x="12446635" y="1562100"/>
        <a:ext cx="696722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482600</xdr:colOff>
      <xdr:row>20</xdr:row>
      <xdr:rowOff>152400</xdr:rowOff>
    </xdr:from>
    <xdr:to>
      <xdr:col>13</xdr:col>
      <xdr:colOff>539750</xdr:colOff>
      <xdr:row>35</xdr:row>
      <xdr:rowOff>38100</xdr:rowOff>
    </xdr:to>
    <xdr:graphicFrame>
      <xdr:nvGraphicFramePr>
        <xdr:cNvPr id="5" name="Chart 4"/>
        <xdr:cNvGraphicFramePr/>
      </xdr:nvGraphicFramePr>
      <xdr:xfrm>
        <a:off x="6701790" y="3962400"/>
        <a:ext cx="45872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180" zoomScaleNormal="180" workbookViewId="0">
      <selection activeCell="B6" sqref="B6"/>
    </sheetView>
  </sheetViews>
  <sheetFormatPr defaultColWidth="9.01481481481481" defaultRowHeight="15" customHeight="1" outlineLevelRow="1" outlineLevelCol="1"/>
  <sheetData>
    <row r="1" customHeight="1" spans="1:2">
      <c r="A1" s="3" t="s">
        <v>0</v>
      </c>
      <c r="B1" s="3">
        <v>0.5</v>
      </c>
    </row>
    <row r="2" customHeight="1" spans="1:2">
      <c r="A2" s="3" t="s">
        <v>1</v>
      </c>
      <c r="B2" s="3">
        <v>0.05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3"/>
  <sheetViews>
    <sheetView zoomScale="180" zoomScaleNormal="180" topLeftCell="A19" workbookViewId="0">
      <selection activeCell="A33" sqref="A33"/>
    </sheetView>
  </sheetViews>
  <sheetFormatPr defaultColWidth="9.01481481481481" defaultRowHeight="15" customHeight="1"/>
  <sheetData>
    <row r="1" customHeight="1" spans="1:46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N1" s="19" t="s">
        <v>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AA1" s="19" t="s">
        <v>4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N1" s="20" t="s">
        <v>5</v>
      </c>
      <c r="AO1" s="20" t="s">
        <v>6</v>
      </c>
      <c r="AP1" s="20" t="s">
        <v>7</v>
      </c>
      <c r="AQ1" s="20" t="s">
        <v>8</v>
      </c>
      <c r="AR1" s="3" t="s">
        <v>9</v>
      </c>
      <c r="AS1" s="3" t="s">
        <v>10</v>
      </c>
      <c r="AT1" s="3" t="s">
        <v>11</v>
      </c>
    </row>
    <row r="2" customHeight="1" spans="1:46">
      <c r="A2" s="15">
        <v>0.000201725</v>
      </c>
      <c r="B2" s="5">
        <v>0.000422716</v>
      </c>
      <c r="C2" s="5">
        <v>19784300000000</v>
      </c>
      <c r="D2" s="5">
        <v>2074680000</v>
      </c>
      <c r="E2" s="5">
        <v>0</v>
      </c>
      <c r="F2" s="5">
        <v>0</v>
      </c>
      <c r="G2" s="5">
        <v>2</v>
      </c>
      <c r="H2" s="5">
        <v>5327440000000</v>
      </c>
      <c r="I2" s="5">
        <v>4581790000000</v>
      </c>
      <c r="J2" s="5">
        <v>4561620000000</v>
      </c>
      <c r="K2" s="5">
        <v>4620780000000</v>
      </c>
      <c r="L2" s="5">
        <v>692685000000</v>
      </c>
      <c r="N2" s="15">
        <v>0.000198126</v>
      </c>
      <c r="O2" s="5">
        <v>0.000407161</v>
      </c>
      <c r="P2" s="5">
        <v>19784600000000</v>
      </c>
      <c r="Q2" s="5">
        <v>1364640000</v>
      </c>
      <c r="R2" s="5">
        <v>0</v>
      </c>
      <c r="S2" s="5">
        <v>0</v>
      </c>
      <c r="T2" s="5">
        <v>2</v>
      </c>
      <c r="U2" s="5">
        <v>5437170000000</v>
      </c>
      <c r="V2" s="5">
        <v>4597220000000</v>
      </c>
      <c r="W2" s="5">
        <v>4650030000000</v>
      </c>
      <c r="X2" s="5">
        <v>4625750000000</v>
      </c>
      <c r="Y2" s="5">
        <v>474391000000</v>
      </c>
      <c r="AA2" s="15">
        <v>0.000189158</v>
      </c>
      <c r="AB2" s="5">
        <v>0.000435539</v>
      </c>
      <c r="AC2" s="5">
        <v>19901100000000</v>
      </c>
      <c r="AD2" s="5">
        <v>398723000</v>
      </c>
      <c r="AE2" s="5">
        <v>0</v>
      </c>
      <c r="AF2" s="5">
        <v>0</v>
      </c>
      <c r="AG2" s="5">
        <v>2</v>
      </c>
      <c r="AH2" s="5">
        <v>5406520000000</v>
      </c>
      <c r="AI2" s="5">
        <v>4612180000000</v>
      </c>
      <c r="AJ2" s="5">
        <v>4663520000000</v>
      </c>
      <c r="AK2" s="5">
        <v>4650010000000</v>
      </c>
      <c r="AL2" s="5">
        <v>568832000000</v>
      </c>
      <c r="AN2" s="5">
        <f t="shared" ref="AN2:AN49" si="0">A2</f>
        <v>0.000201725</v>
      </c>
      <c r="AO2" s="5">
        <f t="shared" ref="AO2:AO49" si="1">(C2+P2+AC2)/3</f>
        <v>19823333333333.3</v>
      </c>
      <c r="AP2" s="5">
        <f t="shared" ref="AP2:AP49" si="2">MIN(C2,P2,AC2)</f>
        <v>19784300000000</v>
      </c>
      <c r="AQ2" s="5">
        <f t="shared" ref="AQ2:AQ49" si="3">MAX(C2,P2,AC2)</f>
        <v>19901100000000</v>
      </c>
      <c r="AR2" s="5">
        <f t="shared" ref="AR2:AR49" si="4">(L2+Y2+AL2)/3</f>
        <v>578636000000</v>
      </c>
      <c r="AS2" s="5">
        <f t="shared" ref="AS2:AS49" si="5">MIN(L2,Y2,AL2)</f>
        <v>474391000000</v>
      </c>
      <c r="AT2" s="5">
        <f t="shared" ref="AT2:AT49" si="6">MAX(L2,Y2,AL2)</f>
        <v>692685000000</v>
      </c>
    </row>
    <row r="3" customHeight="1" spans="1:46">
      <c r="A3" s="15">
        <v>0.0010314</v>
      </c>
      <c r="B3" s="5">
        <v>0.00132838</v>
      </c>
      <c r="C3" s="5">
        <v>20013800000000</v>
      </c>
      <c r="D3" s="5">
        <v>225095000</v>
      </c>
      <c r="E3" s="5">
        <v>0</v>
      </c>
      <c r="F3" s="5">
        <v>0</v>
      </c>
      <c r="G3" s="5">
        <v>2</v>
      </c>
      <c r="H3" s="5">
        <v>5297230000000</v>
      </c>
      <c r="I3" s="5">
        <v>4484640000000</v>
      </c>
      <c r="J3" s="5">
        <v>4532790000000</v>
      </c>
      <c r="K3" s="5">
        <v>4538610000000</v>
      </c>
      <c r="L3" s="5">
        <v>1160500000000</v>
      </c>
      <c r="N3" s="15">
        <v>0.000988084</v>
      </c>
      <c r="O3" s="5">
        <v>0.00126713</v>
      </c>
      <c r="P3" s="5">
        <v>19868900000000</v>
      </c>
      <c r="Q3" s="5">
        <v>632835000</v>
      </c>
      <c r="R3" s="5">
        <v>0</v>
      </c>
      <c r="S3" s="5">
        <v>0</v>
      </c>
      <c r="T3" s="5">
        <v>2</v>
      </c>
      <c r="U3" s="5">
        <v>5405230000000</v>
      </c>
      <c r="V3" s="5">
        <v>4465940000000</v>
      </c>
      <c r="W3" s="5">
        <v>4532880000000</v>
      </c>
      <c r="X3" s="5">
        <v>4541970000000</v>
      </c>
      <c r="Y3" s="5">
        <v>922859000000</v>
      </c>
      <c r="AA3" s="15">
        <v>0.000960296</v>
      </c>
      <c r="AB3" s="5">
        <v>0.0013579</v>
      </c>
      <c r="AC3" s="5">
        <v>20535200000000</v>
      </c>
      <c r="AD3" s="5">
        <v>220653000</v>
      </c>
      <c r="AE3" s="5">
        <v>0</v>
      </c>
      <c r="AF3" s="5">
        <v>0</v>
      </c>
      <c r="AG3" s="5">
        <v>2</v>
      </c>
      <c r="AH3" s="5">
        <v>5273730000000</v>
      </c>
      <c r="AI3" s="5">
        <v>4269380000000</v>
      </c>
      <c r="AJ3" s="5">
        <v>4408490000000</v>
      </c>
      <c r="AK3" s="5">
        <v>4420210000000</v>
      </c>
      <c r="AL3" s="5">
        <v>2163370000000</v>
      </c>
      <c r="AN3" s="5">
        <f t="shared" si="0"/>
        <v>0.0010314</v>
      </c>
      <c r="AO3" s="5">
        <f t="shared" si="1"/>
        <v>20139300000000</v>
      </c>
      <c r="AP3" s="5">
        <f t="shared" si="2"/>
        <v>19868900000000</v>
      </c>
      <c r="AQ3" s="5">
        <f t="shared" si="3"/>
        <v>20535200000000</v>
      </c>
      <c r="AR3" s="5">
        <f t="shared" si="4"/>
        <v>1415576333333.33</v>
      </c>
      <c r="AS3" s="5">
        <f t="shared" si="5"/>
        <v>922859000000</v>
      </c>
      <c r="AT3" s="5">
        <f t="shared" si="6"/>
        <v>2163370000000</v>
      </c>
    </row>
    <row r="4" customHeight="1" spans="1:46">
      <c r="A4" s="15">
        <v>0.0019802</v>
      </c>
      <c r="B4" s="5">
        <v>0.00230752</v>
      </c>
      <c r="C4" s="5">
        <v>20141200000000</v>
      </c>
      <c r="D4" s="5">
        <v>378395000</v>
      </c>
      <c r="E4" s="5">
        <v>0</v>
      </c>
      <c r="F4" s="5">
        <v>0</v>
      </c>
      <c r="G4" s="5">
        <v>2</v>
      </c>
      <c r="H4" s="5">
        <v>5250520000000</v>
      </c>
      <c r="I4" s="5">
        <v>4441070000000</v>
      </c>
      <c r="J4" s="5">
        <v>4502860000000</v>
      </c>
      <c r="K4" s="5">
        <v>4458200000000</v>
      </c>
      <c r="L4" s="5">
        <v>1488500000000</v>
      </c>
      <c r="N4" s="15">
        <v>0.00203421</v>
      </c>
      <c r="O4" s="5">
        <v>0.00229227</v>
      </c>
      <c r="P4" s="5">
        <v>19865500000000</v>
      </c>
      <c r="Q4" s="5">
        <v>1197830000</v>
      </c>
      <c r="R4" s="5">
        <v>0</v>
      </c>
      <c r="S4" s="5">
        <v>0</v>
      </c>
      <c r="T4" s="5">
        <v>2</v>
      </c>
      <c r="U4" s="5">
        <v>5392860000000</v>
      </c>
      <c r="V4" s="5">
        <v>4372260000000</v>
      </c>
      <c r="W4" s="5">
        <v>4422630000000</v>
      </c>
      <c r="X4" s="5">
        <v>4573730000000</v>
      </c>
      <c r="Y4" s="5">
        <v>1104000000000</v>
      </c>
      <c r="AA4" s="15">
        <v>0.00199204</v>
      </c>
      <c r="AB4" s="5">
        <v>0.00240817</v>
      </c>
      <c r="AC4" s="5">
        <v>20792600000000</v>
      </c>
      <c r="AD4" s="5">
        <v>321967000</v>
      </c>
      <c r="AE4" s="5">
        <v>0</v>
      </c>
      <c r="AF4" s="5">
        <v>0</v>
      </c>
      <c r="AG4" s="5">
        <v>2</v>
      </c>
      <c r="AH4" s="5">
        <v>5061140000000</v>
      </c>
      <c r="AI4" s="5">
        <v>4144840000000</v>
      </c>
      <c r="AJ4" s="5">
        <v>4152770000000</v>
      </c>
      <c r="AK4" s="5">
        <v>4264250000000</v>
      </c>
      <c r="AL4" s="5">
        <v>3169600000000</v>
      </c>
      <c r="AN4" s="5">
        <f t="shared" si="0"/>
        <v>0.0019802</v>
      </c>
      <c r="AO4" s="5">
        <f t="shared" si="1"/>
        <v>20266433333333.3</v>
      </c>
      <c r="AP4" s="5">
        <f t="shared" si="2"/>
        <v>19865500000000</v>
      </c>
      <c r="AQ4" s="5">
        <f t="shared" si="3"/>
        <v>20792600000000</v>
      </c>
      <c r="AR4" s="5">
        <f t="shared" si="4"/>
        <v>1920700000000</v>
      </c>
      <c r="AS4" s="5">
        <f t="shared" si="5"/>
        <v>1104000000000</v>
      </c>
      <c r="AT4" s="5">
        <f t="shared" si="6"/>
        <v>3169600000000</v>
      </c>
    </row>
    <row r="5" customHeight="1" spans="1:46">
      <c r="A5" s="15">
        <v>0.00301019</v>
      </c>
      <c r="B5" s="5">
        <v>0.0033391</v>
      </c>
      <c r="C5" s="5">
        <v>20018700000000</v>
      </c>
      <c r="D5" s="5">
        <v>349721000</v>
      </c>
      <c r="E5" s="5">
        <v>0</v>
      </c>
      <c r="F5" s="5">
        <v>0</v>
      </c>
      <c r="G5" s="5">
        <v>2</v>
      </c>
      <c r="H5" s="5">
        <v>5102480000000</v>
      </c>
      <c r="I5" s="5">
        <v>4267940000000</v>
      </c>
      <c r="J5" s="5">
        <v>4316440000000</v>
      </c>
      <c r="K5" s="5">
        <v>4290430000000</v>
      </c>
      <c r="L5" s="5">
        <v>2041400000000</v>
      </c>
      <c r="N5" s="15">
        <v>0.0030135</v>
      </c>
      <c r="O5" s="5">
        <v>0.00331924</v>
      </c>
      <c r="P5" s="5">
        <v>19927700000000</v>
      </c>
      <c r="Q5" s="5">
        <v>803691000</v>
      </c>
      <c r="R5" s="5">
        <v>0</v>
      </c>
      <c r="S5" s="5">
        <v>0</v>
      </c>
      <c r="T5" s="5">
        <v>2</v>
      </c>
      <c r="U5" s="5">
        <v>5231050000000</v>
      </c>
      <c r="V5" s="5">
        <v>4258890000000</v>
      </c>
      <c r="W5" s="5">
        <v>4204050000000</v>
      </c>
      <c r="X5" s="5">
        <v>4391270000000</v>
      </c>
      <c r="Y5" s="5">
        <v>1842420000000</v>
      </c>
      <c r="AA5" s="15">
        <v>0.0029811</v>
      </c>
      <c r="AB5" s="5">
        <v>0.00343351</v>
      </c>
      <c r="AC5" s="5">
        <v>20523100000000</v>
      </c>
      <c r="AD5" s="5">
        <v>183026000</v>
      </c>
      <c r="AE5" s="5">
        <v>0</v>
      </c>
      <c r="AF5" s="5">
        <v>0</v>
      </c>
      <c r="AG5" s="5">
        <v>2</v>
      </c>
      <c r="AH5" s="5">
        <v>4985290000000</v>
      </c>
      <c r="AI5" s="5">
        <v>3887750000000</v>
      </c>
      <c r="AJ5" s="5">
        <v>3937340000000</v>
      </c>
      <c r="AK5" s="5">
        <v>3602020000000</v>
      </c>
      <c r="AL5" s="5">
        <v>4110600000000</v>
      </c>
      <c r="AN5" s="5">
        <f t="shared" si="0"/>
        <v>0.00301019</v>
      </c>
      <c r="AO5" s="5">
        <f t="shared" si="1"/>
        <v>20156500000000</v>
      </c>
      <c r="AP5" s="5">
        <f t="shared" si="2"/>
        <v>19927700000000</v>
      </c>
      <c r="AQ5" s="5">
        <f t="shared" si="3"/>
        <v>20523100000000</v>
      </c>
      <c r="AR5" s="5">
        <f t="shared" si="4"/>
        <v>2664806666666.67</v>
      </c>
      <c r="AS5" s="5">
        <f t="shared" si="5"/>
        <v>1842420000000</v>
      </c>
      <c r="AT5" s="5">
        <f t="shared" si="6"/>
        <v>4110600000000</v>
      </c>
    </row>
    <row r="6" customHeight="1" spans="1:46">
      <c r="A6" s="15">
        <v>0.00399264</v>
      </c>
      <c r="B6" s="5">
        <v>0.00430762</v>
      </c>
      <c r="C6" s="5">
        <v>19956900000000</v>
      </c>
      <c r="D6" s="5">
        <v>709843000</v>
      </c>
      <c r="E6" s="5">
        <v>0</v>
      </c>
      <c r="F6" s="5">
        <v>0</v>
      </c>
      <c r="G6" s="5">
        <v>2</v>
      </c>
      <c r="H6" s="5">
        <v>4960940000000</v>
      </c>
      <c r="I6" s="5">
        <v>4161020000000</v>
      </c>
      <c r="J6" s="5">
        <v>4239450000000</v>
      </c>
      <c r="K6" s="5">
        <v>4084390000000</v>
      </c>
      <c r="L6" s="5">
        <v>2511110000000</v>
      </c>
      <c r="N6" s="15">
        <v>0.00400784</v>
      </c>
      <c r="O6" s="5">
        <v>0.00433181</v>
      </c>
      <c r="P6" s="5">
        <v>20040800000000</v>
      </c>
      <c r="Q6" s="5">
        <v>210134000</v>
      </c>
      <c r="R6" s="5">
        <v>0</v>
      </c>
      <c r="S6" s="5">
        <v>0</v>
      </c>
      <c r="T6" s="5">
        <v>2</v>
      </c>
      <c r="U6" s="5">
        <v>5041320000000</v>
      </c>
      <c r="V6" s="5">
        <v>4188310000000</v>
      </c>
      <c r="W6" s="5">
        <v>4324730000000</v>
      </c>
      <c r="X6" s="5">
        <v>4223450000000</v>
      </c>
      <c r="Y6" s="5">
        <v>2262940000000</v>
      </c>
      <c r="AA6" s="15">
        <v>0.00400162</v>
      </c>
      <c r="AB6" s="5">
        <v>0.00443568</v>
      </c>
      <c r="AC6" s="5">
        <v>20590700000000</v>
      </c>
      <c r="AD6" s="5">
        <v>376490000</v>
      </c>
      <c r="AE6" s="5">
        <v>0</v>
      </c>
      <c r="AF6" s="5">
        <v>0</v>
      </c>
      <c r="AG6" s="5">
        <v>2</v>
      </c>
      <c r="AH6" s="5">
        <v>4961840000000</v>
      </c>
      <c r="AI6" s="5">
        <v>4206250000000</v>
      </c>
      <c r="AJ6" s="5">
        <v>3897760000000</v>
      </c>
      <c r="AK6" s="5">
        <v>3746000000000</v>
      </c>
      <c r="AL6" s="5">
        <v>3778700000000</v>
      </c>
      <c r="AN6" s="5">
        <f t="shared" si="0"/>
        <v>0.00399264</v>
      </c>
      <c r="AO6" s="5">
        <f t="shared" si="1"/>
        <v>20196133333333.3</v>
      </c>
      <c r="AP6" s="5">
        <f t="shared" si="2"/>
        <v>19956900000000</v>
      </c>
      <c r="AQ6" s="5">
        <f t="shared" si="3"/>
        <v>20590700000000</v>
      </c>
      <c r="AR6" s="5">
        <f t="shared" si="4"/>
        <v>2850916666666.67</v>
      </c>
      <c r="AS6" s="5">
        <f t="shared" si="5"/>
        <v>2262940000000</v>
      </c>
      <c r="AT6" s="5">
        <f t="shared" si="6"/>
        <v>3778700000000</v>
      </c>
    </row>
    <row r="7" customHeight="1" spans="1:46">
      <c r="A7" s="15">
        <v>0.00497829</v>
      </c>
      <c r="B7" s="5">
        <v>0.00533422</v>
      </c>
      <c r="C7" s="5">
        <v>20067900000000</v>
      </c>
      <c r="D7" s="5">
        <v>604516000</v>
      </c>
      <c r="E7" s="5">
        <v>0</v>
      </c>
      <c r="F7" s="5">
        <v>0</v>
      </c>
      <c r="G7" s="5">
        <v>2</v>
      </c>
      <c r="H7" s="5">
        <v>4966450000000</v>
      </c>
      <c r="I7" s="5">
        <v>4089530000000</v>
      </c>
      <c r="J7" s="5">
        <v>4173280000000</v>
      </c>
      <c r="K7" s="5">
        <v>4027520000000</v>
      </c>
      <c r="L7" s="5">
        <v>2811000000000</v>
      </c>
      <c r="N7" s="15">
        <v>0.00500666</v>
      </c>
      <c r="O7" s="5">
        <v>0.00532555</v>
      </c>
      <c r="P7" s="5">
        <v>20001800000000</v>
      </c>
      <c r="Q7" s="5">
        <v>397202000</v>
      </c>
      <c r="R7" s="5">
        <v>0</v>
      </c>
      <c r="S7" s="5">
        <v>0</v>
      </c>
      <c r="T7" s="5">
        <v>2</v>
      </c>
      <c r="U7" s="5">
        <v>4954620000000</v>
      </c>
      <c r="V7" s="5">
        <v>4066150000000</v>
      </c>
      <c r="W7" s="5">
        <v>4281820000000</v>
      </c>
      <c r="X7" s="5">
        <v>4118610000000</v>
      </c>
      <c r="Y7" s="5">
        <v>2580570000000</v>
      </c>
      <c r="AA7" s="15">
        <v>0.00501609</v>
      </c>
      <c r="AB7" s="5">
        <v>0.00540544</v>
      </c>
      <c r="AC7" s="5">
        <v>20211400000000</v>
      </c>
      <c r="AD7" s="5">
        <v>597070000</v>
      </c>
      <c r="AE7" s="5">
        <v>0</v>
      </c>
      <c r="AF7" s="5">
        <v>0</v>
      </c>
      <c r="AG7" s="5">
        <v>2</v>
      </c>
      <c r="AH7" s="5">
        <v>4826070000000</v>
      </c>
      <c r="AI7" s="5">
        <v>3901110000000</v>
      </c>
      <c r="AJ7" s="5">
        <v>3708390000000</v>
      </c>
      <c r="AK7" s="5">
        <v>3794610000000</v>
      </c>
      <c r="AL7" s="5">
        <v>3980490000000</v>
      </c>
      <c r="AN7" s="5">
        <f t="shared" si="0"/>
        <v>0.00497829</v>
      </c>
      <c r="AO7" s="5">
        <f t="shared" si="1"/>
        <v>20093700000000</v>
      </c>
      <c r="AP7" s="5">
        <f t="shared" si="2"/>
        <v>20001800000000</v>
      </c>
      <c r="AQ7" s="5">
        <f t="shared" si="3"/>
        <v>20211400000000</v>
      </c>
      <c r="AR7" s="5">
        <f t="shared" si="4"/>
        <v>3124020000000</v>
      </c>
      <c r="AS7" s="5">
        <f t="shared" si="5"/>
        <v>2580570000000</v>
      </c>
      <c r="AT7" s="5">
        <f t="shared" si="6"/>
        <v>3980490000000</v>
      </c>
    </row>
    <row r="8" customHeight="1" spans="1:46">
      <c r="A8" s="15">
        <v>0.00597872</v>
      </c>
      <c r="B8" s="5">
        <v>0.00635327</v>
      </c>
      <c r="C8" s="5">
        <v>20243500000000</v>
      </c>
      <c r="D8" s="5">
        <v>292155000</v>
      </c>
      <c r="E8" s="5">
        <v>0</v>
      </c>
      <c r="F8" s="5">
        <v>0</v>
      </c>
      <c r="G8" s="5">
        <v>2</v>
      </c>
      <c r="H8" s="5">
        <v>5069240000000</v>
      </c>
      <c r="I8" s="5">
        <v>4121010000000</v>
      </c>
      <c r="J8" s="5">
        <v>4177620000000</v>
      </c>
      <c r="K8" s="5">
        <v>4120440000000</v>
      </c>
      <c r="L8" s="5">
        <v>2755070000000</v>
      </c>
      <c r="N8" s="15">
        <v>0.00598976</v>
      </c>
      <c r="O8" s="5">
        <v>0.00629911</v>
      </c>
      <c r="P8" s="5">
        <v>19809000000000</v>
      </c>
      <c r="Q8" s="5">
        <v>316074000</v>
      </c>
      <c r="R8" s="5">
        <v>0</v>
      </c>
      <c r="S8" s="5">
        <v>0</v>
      </c>
      <c r="T8" s="5">
        <v>2</v>
      </c>
      <c r="U8" s="5">
        <v>5014060000000</v>
      </c>
      <c r="V8" s="5">
        <v>4026610000000</v>
      </c>
      <c r="W8" s="5">
        <v>4122060000000</v>
      </c>
      <c r="X8" s="5">
        <v>3930940000000</v>
      </c>
      <c r="Y8" s="5">
        <v>2715360000000</v>
      </c>
      <c r="AA8" s="15">
        <v>0.00601132</v>
      </c>
      <c r="AB8" s="5">
        <v>0.00643712</v>
      </c>
      <c r="AC8" s="5">
        <v>20453100000000</v>
      </c>
      <c r="AD8" s="5">
        <v>796153000</v>
      </c>
      <c r="AE8" s="5">
        <v>0</v>
      </c>
      <c r="AF8" s="5">
        <v>0</v>
      </c>
      <c r="AG8" s="5">
        <v>2</v>
      </c>
      <c r="AH8" s="5">
        <v>4675950000000</v>
      </c>
      <c r="AI8" s="5">
        <v>3953360000000</v>
      </c>
      <c r="AJ8" s="5">
        <v>3781480000000</v>
      </c>
      <c r="AK8" s="5">
        <v>4068200000000</v>
      </c>
      <c r="AL8" s="5">
        <v>3973980000000</v>
      </c>
      <c r="AN8" s="5">
        <f t="shared" si="0"/>
        <v>0.00597872</v>
      </c>
      <c r="AO8" s="5">
        <f t="shared" si="1"/>
        <v>20168533333333.3</v>
      </c>
      <c r="AP8" s="5">
        <f t="shared" si="2"/>
        <v>19809000000000</v>
      </c>
      <c r="AQ8" s="5">
        <f t="shared" si="3"/>
        <v>20453100000000</v>
      </c>
      <c r="AR8" s="5">
        <f t="shared" si="4"/>
        <v>3148136666666.67</v>
      </c>
      <c r="AS8" s="5">
        <f t="shared" si="5"/>
        <v>2715360000000</v>
      </c>
      <c r="AT8" s="5">
        <f t="shared" si="6"/>
        <v>3973980000000</v>
      </c>
    </row>
    <row r="9" customHeight="1" spans="1:46">
      <c r="A9" s="15">
        <v>0.00702629</v>
      </c>
      <c r="B9" s="5">
        <v>0.00740712</v>
      </c>
      <c r="C9" s="5">
        <v>20216500000000</v>
      </c>
      <c r="D9" s="5">
        <v>703006000</v>
      </c>
      <c r="E9" s="5">
        <v>0</v>
      </c>
      <c r="F9" s="5">
        <v>0</v>
      </c>
      <c r="G9" s="5">
        <v>2</v>
      </c>
      <c r="H9" s="5">
        <v>4898880000000</v>
      </c>
      <c r="I9" s="5">
        <v>4089060000000</v>
      </c>
      <c r="J9" s="5">
        <v>3927020000000</v>
      </c>
      <c r="K9" s="5">
        <v>3905460000000</v>
      </c>
      <c r="L9" s="5">
        <v>3396060000000</v>
      </c>
      <c r="N9" s="15">
        <v>0.00702113</v>
      </c>
      <c r="O9" s="5">
        <v>0.00734609</v>
      </c>
      <c r="P9" s="5">
        <v>19852600000000</v>
      </c>
      <c r="Q9" s="5">
        <v>335786000</v>
      </c>
      <c r="R9" s="5">
        <v>0</v>
      </c>
      <c r="S9" s="5">
        <v>0</v>
      </c>
      <c r="T9" s="5">
        <v>2</v>
      </c>
      <c r="U9" s="5">
        <v>5037310000000</v>
      </c>
      <c r="V9" s="5">
        <v>4039810000000</v>
      </c>
      <c r="W9" s="5">
        <v>4220710000000</v>
      </c>
      <c r="X9" s="5">
        <v>4098080000000</v>
      </c>
      <c r="Y9" s="5">
        <v>2456740000000</v>
      </c>
      <c r="AA9" s="15">
        <v>0.00710354</v>
      </c>
      <c r="AB9" s="5">
        <v>0.00753921</v>
      </c>
      <c r="AC9" s="5">
        <v>20597800000000</v>
      </c>
      <c r="AD9" s="5">
        <v>166069000</v>
      </c>
      <c r="AE9" s="5">
        <v>0</v>
      </c>
      <c r="AF9" s="5">
        <v>0</v>
      </c>
      <c r="AG9" s="5">
        <v>2</v>
      </c>
      <c r="AH9" s="5">
        <v>4700070000000</v>
      </c>
      <c r="AI9" s="5">
        <v>3851210000000</v>
      </c>
      <c r="AJ9" s="5">
        <v>3797160000000</v>
      </c>
      <c r="AK9" s="5">
        <v>3848270000000</v>
      </c>
      <c r="AL9" s="5">
        <v>4401000000000</v>
      </c>
      <c r="AN9" s="5">
        <f t="shared" si="0"/>
        <v>0.00702629</v>
      </c>
      <c r="AO9" s="5">
        <f t="shared" si="1"/>
        <v>20222300000000</v>
      </c>
      <c r="AP9" s="5">
        <f t="shared" si="2"/>
        <v>19852600000000</v>
      </c>
      <c r="AQ9" s="5">
        <f t="shared" si="3"/>
        <v>20597800000000</v>
      </c>
      <c r="AR9" s="5">
        <f t="shared" si="4"/>
        <v>3417933333333.33</v>
      </c>
      <c r="AS9" s="5">
        <f t="shared" si="5"/>
        <v>2456740000000</v>
      </c>
      <c r="AT9" s="5">
        <f t="shared" si="6"/>
        <v>4401000000000</v>
      </c>
    </row>
    <row r="10" customHeight="1" spans="1:46">
      <c r="A10" s="15">
        <v>0.0079974</v>
      </c>
      <c r="B10" s="5">
        <v>0.00842568</v>
      </c>
      <c r="C10" s="5">
        <v>20328900000000</v>
      </c>
      <c r="D10" s="5">
        <v>506835000</v>
      </c>
      <c r="E10" s="5">
        <v>0</v>
      </c>
      <c r="F10" s="5">
        <v>0</v>
      </c>
      <c r="G10" s="5">
        <v>2</v>
      </c>
      <c r="H10" s="5">
        <v>4547080000000</v>
      </c>
      <c r="I10" s="5">
        <v>4006850000000</v>
      </c>
      <c r="J10" s="5">
        <v>3668750000000</v>
      </c>
      <c r="K10" s="5">
        <v>3547230000000</v>
      </c>
      <c r="L10" s="5">
        <v>4558870000000</v>
      </c>
      <c r="N10" s="15">
        <v>0.00800662</v>
      </c>
      <c r="O10" s="5">
        <v>0.00835702</v>
      </c>
      <c r="P10" s="5">
        <v>20078500000000</v>
      </c>
      <c r="Q10" s="5">
        <v>414348000</v>
      </c>
      <c r="R10" s="5">
        <v>0</v>
      </c>
      <c r="S10" s="5">
        <v>0</v>
      </c>
      <c r="T10" s="5">
        <v>2</v>
      </c>
      <c r="U10" s="5">
        <v>5135530000000</v>
      </c>
      <c r="V10" s="5">
        <v>4202790000000</v>
      </c>
      <c r="W10" s="5">
        <v>4332540000000</v>
      </c>
      <c r="X10" s="5">
        <v>4140970000000</v>
      </c>
      <c r="Y10" s="5">
        <v>2266650000000</v>
      </c>
      <c r="AA10" s="15">
        <v>0.00802118</v>
      </c>
      <c r="AB10" s="5">
        <v>0.00848847</v>
      </c>
      <c r="AC10" s="5">
        <v>20718800000000</v>
      </c>
      <c r="AD10" s="5">
        <v>335073000</v>
      </c>
      <c r="AE10" s="5">
        <v>0</v>
      </c>
      <c r="AF10" s="5">
        <v>0</v>
      </c>
      <c r="AG10" s="5">
        <v>2</v>
      </c>
      <c r="AH10" s="5">
        <v>4684190000000</v>
      </c>
      <c r="AI10" s="5">
        <v>3957160000000</v>
      </c>
      <c r="AJ10" s="5">
        <v>3522380000000</v>
      </c>
      <c r="AK10" s="5">
        <v>3564600000000</v>
      </c>
      <c r="AL10" s="5">
        <v>4989940000000</v>
      </c>
      <c r="AN10" s="5">
        <f t="shared" si="0"/>
        <v>0.0079974</v>
      </c>
      <c r="AO10" s="5">
        <f t="shared" si="1"/>
        <v>20375400000000</v>
      </c>
      <c r="AP10" s="5">
        <f t="shared" si="2"/>
        <v>20078500000000</v>
      </c>
      <c r="AQ10" s="5">
        <f t="shared" si="3"/>
        <v>20718800000000</v>
      </c>
      <c r="AR10" s="5">
        <f t="shared" si="4"/>
        <v>3938486666666.67</v>
      </c>
      <c r="AS10" s="5">
        <f t="shared" si="5"/>
        <v>2266650000000</v>
      </c>
      <c r="AT10" s="5">
        <f t="shared" si="6"/>
        <v>4989940000000</v>
      </c>
    </row>
    <row r="11" customHeight="1" spans="1:46">
      <c r="A11" s="15">
        <v>0.00901321</v>
      </c>
      <c r="B11" s="5">
        <v>0.0094265</v>
      </c>
      <c r="C11" s="5">
        <v>20351000000000</v>
      </c>
      <c r="D11" s="5">
        <v>703777000</v>
      </c>
      <c r="E11" s="5">
        <v>0</v>
      </c>
      <c r="F11" s="5">
        <v>0</v>
      </c>
      <c r="G11" s="5">
        <v>2</v>
      </c>
      <c r="H11" s="5">
        <v>4667780000000</v>
      </c>
      <c r="I11" s="5">
        <v>3921700000000</v>
      </c>
      <c r="J11" s="5">
        <v>3700000000000</v>
      </c>
      <c r="K11" s="5">
        <v>3769040000000</v>
      </c>
      <c r="L11" s="5">
        <v>4292370000000</v>
      </c>
      <c r="N11" s="15">
        <v>0.00898227</v>
      </c>
      <c r="O11" s="5">
        <v>0.00939848</v>
      </c>
      <c r="P11" s="5">
        <v>20405000000000</v>
      </c>
      <c r="Q11" s="5">
        <v>274152000</v>
      </c>
      <c r="R11" s="5">
        <v>0</v>
      </c>
      <c r="S11" s="5">
        <v>0</v>
      </c>
      <c r="T11" s="5">
        <v>2</v>
      </c>
      <c r="U11" s="5">
        <v>5153770000000</v>
      </c>
      <c r="V11" s="5">
        <v>4130460000000</v>
      </c>
      <c r="W11" s="5">
        <v>4362180000000</v>
      </c>
      <c r="X11" s="5">
        <v>4151580000000</v>
      </c>
      <c r="Y11" s="5">
        <v>2606990000000</v>
      </c>
      <c r="AA11" s="15">
        <v>0.00904358</v>
      </c>
      <c r="AB11" s="5">
        <v>0.00947837</v>
      </c>
      <c r="AC11" s="5">
        <v>20692400000000</v>
      </c>
      <c r="AD11" s="5">
        <v>378981000</v>
      </c>
      <c r="AE11" s="5">
        <v>0</v>
      </c>
      <c r="AF11" s="5">
        <v>0</v>
      </c>
      <c r="AG11" s="5">
        <v>2</v>
      </c>
      <c r="AH11" s="5">
        <v>4736060000000</v>
      </c>
      <c r="AI11" s="5">
        <v>4052820000000</v>
      </c>
      <c r="AJ11" s="5">
        <v>3563180000000</v>
      </c>
      <c r="AK11" s="5">
        <v>3500640000000</v>
      </c>
      <c r="AL11" s="5">
        <v>4839440000000</v>
      </c>
      <c r="AN11" s="5">
        <f t="shared" si="0"/>
        <v>0.00901321</v>
      </c>
      <c r="AO11" s="5">
        <f t="shared" si="1"/>
        <v>20482800000000</v>
      </c>
      <c r="AP11" s="5">
        <f t="shared" si="2"/>
        <v>20351000000000</v>
      </c>
      <c r="AQ11" s="5">
        <f t="shared" si="3"/>
        <v>20692400000000</v>
      </c>
      <c r="AR11" s="5">
        <f t="shared" si="4"/>
        <v>3912933333333.33</v>
      </c>
      <c r="AS11" s="5">
        <f t="shared" si="5"/>
        <v>2606990000000</v>
      </c>
      <c r="AT11" s="5">
        <f t="shared" si="6"/>
        <v>4839440000000</v>
      </c>
    </row>
    <row r="12" customHeight="1" spans="1:46">
      <c r="A12" s="15">
        <v>0.010019</v>
      </c>
      <c r="B12" s="5">
        <v>0.010448</v>
      </c>
      <c r="C12" s="5">
        <v>20243400000000</v>
      </c>
      <c r="D12" s="5">
        <v>208817000</v>
      </c>
      <c r="E12" s="5">
        <v>0</v>
      </c>
      <c r="F12" s="5">
        <v>0</v>
      </c>
      <c r="G12" s="5">
        <v>2</v>
      </c>
      <c r="H12" s="5">
        <v>4577750000000</v>
      </c>
      <c r="I12" s="5">
        <v>4039750000000</v>
      </c>
      <c r="J12" s="5">
        <v>3754690000000</v>
      </c>
      <c r="K12" s="5">
        <v>3822210000000</v>
      </c>
      <c r="L12" s="5">
        <v>4048940000000</v>
      </c>
      <c r="N12" s="15">
        <v>0.00999001</v>
      </c>
      <c r="O12" s="5">
        <v>0.0104295</v>
      </c>
      <c r="P12" s="5">
        <v>20574700000000</v>
      </c>
      <c r="Q12" s="5">
        <v>262144000</v>
      </c>
      <c r="R12" s="5">
        <v>0</v>
      </c>
      <c r="S12" s="5">
        <v>0</v>
      </c>
      <c r="T12" s="5">
        <v>2</v>
      </c>
      <c r="U12" s="5">
        <v>4792430000000</v>
      </c>
      <c r="V12" s="5">
        <v>4067420000000</v>
      </c>
      <c r="W12" s="5">
        <v>4110050000000</v>
      </c>
      <c r="X12" s="5">
        <v>4085370000000</v>
      </c>
      <c r="Y12" s="5">
        <v>3519420000000</v>
      </c>
      <c r="AA12" s="15">
        <v>0.00998583</v>
      </c>
      <c r="AB12" s="5">
        <v>0.0104635</v>
      </c>
      <c r="AC12" s="5">
        <v>21155200000000</v>
      </c>
      <c r="AD12" s="5">
        <v>595902000</v>
      </c>
      <c r="AE12" s="5">
        <v>0</v>
      </c>
      <c r="AF12" s="5">
        <v>0</v>
      </c>
      <c r="AG12" s="5">
        <v>2</v>
      </c>
      <c r="AH12" s="5">
        <v>4783860000000</v>
      </c>
      <c r="AI12" s="5">
        <v>4042480000000</v>
      </c>
      <c r="AJ12" s="5">
        <v>3387220000000</v>
      </c>
      <c r="AK12" s="5">
        <v>3347530000000</v>
      </c>
      <c r="AL12" s="5">
        <v>5594000000000</v>
      </c>
      <c r="AN12" s="5">
        <f t="shared" si="0"/>
        <v>0.010019</v>
      </c>
      <c r="AO12" s="5">
        <f t="shared" si="1"/>
        <v>20657766666666.7</v>
      </c>
      <c r="AP12" s="5">
        <f t="shared" si="2"/>
        <v>20243400000000</v>
      </c>
      <c r="AQ12" s="5">
        <f t="shared" si="3"/>
        <v>21155200000000</v>
      </c>
      <c r="AR12" s="5">
        <f t="shared" si="4"/>
        <v>4387453333333.33</v>
      </c>
      <c r="AS12" s="5">
        <f t="shared" si="5"/>
        <v>3519420000000</v>
      </c>
      <c r="AT12" s="5">
        <f t="shared" si="6"/>
        <v>5594000000000</v>
      </c>
    </row>
    <row r="13" customHeight="1" spans="1:46">
      <c r="A13" s="15">
        <v>0.0110126</v>
      </c>
      <c r="B13" s="5">
        <v>0.011473</v>
      </c>
      <c r="C13" s="5">
        <v>20606900000000</v>
      </c>
      <c r="D13" s="5">
        <v>240015000</v>
      </c>
      <c r="E13" s="5">
        <v>0</v>
      </c>
      <c r="F13" s="5">
        <v>0</v>
      </c>
      <c r="G13" s="5">
        <v>2</v>
      </c>
      <c r="H13" s="5">
        <v>4822960000000</v>
      </c>
      <c r="I13" s="5">
        <v>3777890000000</v>
      </c>
      <c r="J13" s="5">
        <v>3905960000000</v>
      </c>
      <c r="K13" s="5">
        <v>3707370000000</v>
      </c>
      <c r="L13" s="5">
        <v>4392630000000</v>
      </c>
      <c r="N13" s="15">
        <v>0.0109735</v>
      </c>
      <c r="O13" s="5">
        <v>0.0114089</v>
      </c>
      <c r="P13" s="5">
        <v>20428100000000</v>
      </c>
      <c r="Q13" s="5">
        <v>221355000</v>
      </c>
      <c r="R13" s="5">
        <v>0</v>
      </c>
      <c r="S13" s="5">
        <v>0</v>
      </c>
      <c r="T13" s="5">
        <v>2</v>
      </c>
      <c r="U13" s="5">
        <v>4896110000000</v>
      </c>
      <c r="V13" s="5">
        <v>4129470000000</v>
      </c>
      <c r="W13" s="5">
        <v>3892850000000</v>
      </c>
      <c r="X13" s="5">
        <v>4037530000000</v>
      </c>
      <c r="Y13" s="5">
        <v>3472150000000</v>
      </c>
      <c r="AA13" s="15">
        <v>0.0109949</v>
      </c>
      <c r="AB13" s="5">
        <v>0.011468</v>
      </c>
      <c r="AC13" s="5">
        <v>21352900000000</v>
      </c>
      <c r="AD13" s="5">
        <v>314469000</v>
      </c>
      <c r="AE13" s="5">
        <v>0</v>
      </c>
      <c r="AF13" s="5">
        <v>0</v>
      </c>
      <c r="AG13" s="5">
        <v>2</v>
      </c>
      <c r="AH13" s="5">
        <v>4542340000000</v>
      </c>
      <c r="AI13" s="5">
        <v>4209810000000</v>
      </c>
      <c r="AJ13" s="5">
        <v>3238210000000</v>
      </c>
      <c r="AK13" s="5">
        <v>3465830000000</v>
      </c>
      <c r="AL13" s="5">
        <v>5896370000000</v>
      </c>
      <c r="AN13" s="5">
        <f t="shared" si="0"/>
        <v>0.0110126</v>
      </c>
      <c r="AO13" s="5">
        <f t="shared" si="1"/>
        <v>20795966666666.7</v>
      </c>
      <c r="AP13" s="5">
        <f t="shared" si="2"/>
        <v>20428100000000</v>
      </c>
      <c r="AQ13" s="5">
        <f t="shared" si="3"/>
        <v>21352900000000</v>
      </c>
      <c r="AR13" s="5">
        <f t="shared" si="4"/>
        <v>4587050000000</v>
      </c>
      <c r="AS13" s="5">
        <f t="shared" si="5"/>
        <v>3472150000000</v>
      </c>
      <c r="AT13" s="5">
        <f t="shared" si="6"/>
        <v>5896370000000</v>
      </c>
    </row>
    <row r="14" customHeight="1" spans="1:46">
      <c r="A14" s="15">
        <v>0.0120309</v>
      </c>
      <c r="B14" s="5">
        <v>0.012478</v>
      </c>
      <c r="C14" s="5">
        <v>20543800000000</v>
      </c>
      <c r="D14" s="5">
        <v>261336000</v>
      </c>
      <c r="E14" s="5">
        <v>0</v>
      </c>
      <c r="F14" s="5">
        <v>0</v>
      </c>
      <c r="G14" s="5">
        <v>2</v>
      </c>
      <c r="H14" s="5">
        <v>4721360000000</v>
      </c>
      <c r="I14" s="5">
        <v>3817600000000</v>
      </c>
      <c r="J14" s="5">
        <v>3683630000000</v>
      </c>
      <c r="K14" s="5">
        <v>3824390000000</v>
      </c>
      <c r="L14" s="5">
        <v>4496700000000</v>
      </c>
      <c r="N14" s="15">
        <v>0.0119855</v>
      </c>
      <c r="O14" s="5">
        <v>0.0124389</v>
      </c>
      <c r="P14" s="5">
        <v>20523200000000</v>
      </c>
      <c r="Q14" s="5">
        <v>303138000</v>
      </c>
      <c r="R14" s="5">
        <v>0</v>
      </c>
      <c r="S14" s="5">
        <v>0</v>
      </c>
      <c r="T14" s="5">
        <v>2</v>
      </c>
      <c r="U14" s="5">
        <v>5055980000000</v>
      </c>
      <c r="V14" s="5">
        <v>4216090000000</v>
      </c>
      <c r="W14" s="5">
        <v>3864170000000</v>
      </c>
      <c r="X14" s="5">
        <v>4031900000000</v>
      </c>
      <c r="Y14" s="5">
        <v>3354740000000</v>
      </c>
      <c r="AA14" s="15">
        <v>0.0120428</v>
      </c>
      <c r="AB14" s="5">
        <v>0.0124981</v>
      </c>
      <c r="AC14" s="5">
        <v>21706200000000</v>
      </c>
      <c r="AD14" s="5">
        <v>245662000</v>
      </c>
      <c r="AE14" s="5">
        <v>0</v>
      </c>
      <c r="AF14" s="5">
        <v>0</v>
      </c>
      <c r="AG14" s="5">
        <v>2</v>
      </c>
      <c r="AH14" s="5">
        <v>4536300000000</v>
      </c>
      <c r="AI14" s="5">
        <v>4027490000000</v>
      </c>
      <c r="AJ14" s="5">
        <v>3808290000000</v>
      </c>
      <c r="AK14" s="5">
        <v>3411710000000</v>
      </c>
      <c r="AL14" s="5">
        <v>5922060000000</v>
      </c>
      <c r="AN14" s="5">
        <f t="shared" si="0"/>
        <v>0.0120309</v>
      </c>
      <c r="AO14" s="5">
        <f t="shared" si="1"/>
        <v>20924400000000</v>
      </c>
      <c r="AP14" s="5">
        <f t="shared" si="2"/>
        <v>20523200000000</v>
      </c>
      <c r="AQ14" s="5">
        <f t="shared" si="3"/>
        <v>21706200000000</v>
      </c>
      <c r="AR14" s="5">
        <f t="shared" si="4"/>
        <v>4591166666666.67</v>
      </c>
      <c r="AS14" s="5">
        <f t="shared" si="5"/>
        <v>3354740000000</v>
      </c>
      <c r="AT14" s="5">
        <f t="shared" si="6"/>
        <v>5922060000000</v>
      </c>
    </row>
    <row r="15" customHeight="1" spans="1:46">
      <c r="A15" s="15">
        <v>0.0130007</v>
      </c>
      <c r="B15" s="5">
        <v>0.013457</v>
      </c>
      <c r="C15" s="5">
        <v>20410000000000</v>
      </c>
      <c r="D15" s="5">
        <v>265492000</v>
      </c>
      <c r="E15" s="5">
        <v>0</v>
      </c>
      <c r="F15" s="5">
        <v>0</v>
      </c>
      <c r="G15" s="5">
        <v>2</v>
      </c>
      <c r="H15" s="5">
        <v>4605520000000</v>
      </c>
      <c r="I15" s="5">
        <v>3729250000000</v>
      </c>
      <c r="J15" s="5">
        <v>3633830000000</v>
      </c>
      <c r="K15" s="5">
        <v>3492480000000</v>
      </c>
      <c r="L15" s="5">
        <v>4944230000000</v>
      </c>
      <c r="N15" s="15">
        <v>0.0130202</v>
      </c>
      <c r="O15" s="5">
        <v>0.0134287</v>
      </c>
      <c r="P15" s="5">
        <v>20781400000000</v>
      </c>
      <c r="Q15" s="5">
        <v>199327000</v>
      </c>
      <c r="R15" s="5">
        <v>0</v>
      </c>
      <c r="S15" s="5">
        <v>0</v>
      </c>
      <c r="T15" s="5">
        <v>2</v>
      </c>
      <c r="U15" s="5">
        <v>4992650000000</v>
      </c>
      <c r="V15" s="5">
        <v>4161040000000</v>
      </c>
      <c r="W15" s="5">
        <v>4067340000000</v>
      </c>
      <c r="X15" s="5">
        <v>4019520000000</v>
      </c>
      <c r="Y15" s="5">
        <v>3540750000000</v>
      </c>
      <c r="AA15" s="15">
        <v>0.0130079</v>
      </c>
      <c r="AB15" s="5">
        <v>0.0134386</v>
      </c>
      <c r="AC15" s="5">
        <v>21590300000000</v>
      </c>
      <c r="AD15" s="5">
        <v>834097000</v>
      </c>
      <c r="AE15" s="5">
        <v>0</v>
      </c>
      <c r="AF15" s="5">
        <v>0</v>
      </c>
      <c r="AG15" s="5">
        <v>2</v>
      </c>
      <c r="AH15" s="5">
        <v>4171840000000</v>
      </c>
      <c r="AI15" s="5">
        <v>3999440000000</v>
      </c>
      <c r="AJ15" s="5">
        <v>3797440000000</v>
      </c>
      <c r="AK15" s="5">
        <v>3686920000000</v>
      </c>
      <c r="AL15" s="5">
        <v>5934430000000</v>
      </c>
      <c r="AN15" s="5">
        <f t="shared" si="0"/>
        <v>0.0130007</v>
      </c>
      <c r="AO15" s="5">
        <f t="shared" si="1"/>
        <v>20927233333333.3</v>
      </c>
      <c r="AP15" s="5">
        <f t="shared" si="2"/>
        <v>20410000000000</v>
      </c>
      <c r="AQ15" s="5">
        <f t="shared" si="3"/>
        <v>21590300000000</v>
      </c>
      <c r="AR15" s="5">
        <f t="shared" si="4"/>
        <v>4806470000000</v>
      </c>
      <c r="AS15" s="5">
        <f t="shared" si="5"/>
        <v>3540750000000</v>
      </c>
      <c r="AT15" s="5">
        <f t="shared" si="6"/>
        <v>5934430000000</v>
      </c>
    </row>
    <row r="16" customHeight="1" spans="1:46">
      <c r="A16" s="15">
        <v>0.0140228</v>
      </c>
      <c r="B16" s="5">
        <v>0.0144786</v>
      </c>
      <c r="C16" s="5">
        <v>20639500000000</v>
      </c>
      <c r="D16" s="5">
        <v>344370000</v>
      </c>
      <c r="E16" s="5">
        <v>0</v>
      </c>
      <c r="F16" s="5">
        <v>0</v>
      </c>
      <c r="G16" s="5">
        <v>2</v>
      </c>
      <c r="H16" s="5">
        <v>4685390000000</v>
      </c>
      <c r="I16" s="5">
        <v>4021600000000</v>
      </c>
      <c r="J16" s="5">
        <v>3451680000000</v>
      </c>
      <c r="K16" s="5">
        <v>3516200000000</v>
      </c>
      <c r="L16" s="5">
        <v>4964030000000</v>
      </c>
      <c r="N16" s="15">
        <v>0.0140046</v>
      </c>
      <c r="O16" s="5">
        <v>0.0144465</v>
      </c>
      <c r="P16" s="5">
        <v>20617800000000</v>
      </c>
      <c r="Q16" s="5">
        <v>485376000</v>
      </c>
      <c r="R16" s="5">
        <v>0</v>
      </c>
      <c r="S16" s="5">
        <v>0</v>
      </c>
      <c r="T16" s="5">
        <v>2</v>
      </c>
      <c r="U16" s="5">
        <v>4792500000000</v>
      </c>
      <c r="V16" s="5">
        <v>3743650000000</v>
      </c>
      <c r="W16" s="5">
        <v>3925960000000</v>
      </c>
      <c r="X16" s="5">
        <v>3939640000000</v>
      </c>
      <c r="Y16" s="5">
        <v>4215890000000</v>
      </c>
      <c r="AA16" s="15">
        <v>0.0139963</v>
      </c>
      <c r="AB16" s="5">
        <v>0.0144413</v>
      </c>
      <c r="AC16" s="5">
        <v>20973800000000</v>
      </c>
      <c r="AD16" s="5">
        <v>369885000</v>
      </c>
      <c r="AE16" s="5">
        <v>0</v>
      </c>
      <c r="AF16" s="5">
        <v>0</v>
      </c>
      <c r="AG16" s="5">
        <v>2</v>
      </c>
      <c r="AH16" s="5">
        <v>4111220000000</v>
      </c>
      <c r="AI16" s="5">
        <v>3975470000000</v>
      </c>
      <c r="AJ16" s="5">
        <v>3774620000000</v>
      </c>
      <c r="AK16" s="5">
        <v>3475580000000</v>
      </c>
      <c r="AL16" s="5">
        <v>5636630000000</v>
      </c>
      <c r="AN16" s="5">
        <f t="shared" si="0"/>
        <v>0.0140228</v>
      </c>
      <c r="AO16" s="5">
        <f t="shared" si="1"/>
        <v>20743700000000</v>
      </c>
      <c r="AP16" s="5">
        <f t="shared" si="2"/>
        <v>20617800000000</v>
      </c>
      <c r="AQ16" s="5">
        <f t="shared" si="3"/>
        <v>20973800000000</v>
      </c>
      <c r="AR16" s="5">
        <f t="shared" si="4"/>
        <v>4938850000000</v>
      </c>
      <c r="AS16" s="5">
        <f t="shared" si="5"/>
        <v>4215890000000</v>
      </c>
      <c r="AT16" s="5">
        <f t="shared" si="6"/>
        <v>5636630000000</v>
      </c>
    </row>
    <row r="17" customHeight="1" spans="1:46">
      <c r="A17" s="15">
        <v>0.0149987</v>
      </c>
      <c r="B17" s="5">
        <v>0.0154567</v>
      </c>
      <c r="C17" s="5">
        <v>20486900000000</v>
      </c>
      <c r="D17" s="5">
        <v>332439000</v>
      </c>
      <c r="E17" s="5">
        <v>0</v>
      </c>
      <c r="F17" s="5">
        <v>0</v>
      </c>
      <c r="G17" s="5">
        <v>2</v>
      </c>
      <c r="H17" s="5">
        <v>4697090000000</v>
      </c>
      <c r="I17" s="5">
        <v>3556050000000</v>
      </c>
      <c r="J17" s="5">
        <v>3706840000000</v>
      </c>
      <c r="K17" s="5">
        <v>3622600000000</v>
      </c>
      <c r="L17" s="5">
        <v>4904090000000</v>
      </c>
      <c r="N17" s="15">
        <v>0.0150129</v>
      </c>
      <c r="O17" s="5">
        <v>0.0154727</v>
      </c>
      <c r="P17" s="5">
        <v>20815500000000</v>
      </c>
      <c r="Q17" s="5">
        <v>663339000</v>
      </c>
      <c r="R17" s="5">
        <v>0</v>
      </c>
      <c r="S17" s="5">
        <v>0</v>
      </c>
      <c r="T17" s="5">
        <v>2</v>
      </c>
      <c r="U17" s="5">
        <v>4687930000000</v>
      </c>
      <c r="V17" s="5">
        <v>3435480000000</v>
      </c>
      <c r="W17" s="5">
        <v>3877090000000</v>
      </c>
      <c r="X17" s="5">
        <v>3774360000000</v>
      </c>
      <c r="Y17" s="5">
        <v>5040430000000</v>
      </c>
      <c r="AA17" s="15">
        <v>0.0150105</v>
      </c>
      <c r="AB17" s="5">
        <v>0.015499</v>
      </c>
      <c r="AC17" s="5">
        <v>20732700000000</v>
      </c>
      <c r="AD17" s="5">
        <v>837920000</v>
      </c>
      <c r="AE17" s="5">
        <v>0</v>
      </c>
      <c r="AF17" s="5">
        <v>0</v>
      </c>
      <c r="AG17" s="5">
        <v>2</v>
      </c>
      <c r="AH17" s="5">
        <v>3853940000000</v>
      </c>
      <c r="AI17" s="5">
        <v>3585350000000</v>
      </c>
      <c r="AJ17" s="5">
        <v>3316170000000</v>
      </c>
      <c r="AK17" s="5">
        <v>3139430000000</v>
      </c>
      <c r="AL17" s="5">
        <v>6837540000000</v>
      </c>
      <c r="AN17" s="5">
        <f t="shared" si="0"/>
        <v>0.0149987</v>
      </c>
      <c r="AO17" s="5">
        <f t="shared" si="1"/>
        <v>20678366666666.7</v>
      </c>
      <c r="AP17" s="5">
        <f t="shared" si="2"/>
        <v>20486900000000</v>
      </c>
      <c r="AQ17" s="5">
        <f t="shared" si="3"/>
        <v>20815500000000</v>
      </c>
      <c r="AR17" s="5">
        <f t="shared" si="4"/>
        <v>5594020000000</v>
      </c>
      <c r="AS17" s="5">
        <f t="shared" si="5"/>
        <v>4904090000000</v>
      </c>
      <c r="AT17" s="5">
        <f t="shared" si="6"/>
        <v>6837540000000</v>
      </c>
    </row>
    <row r="18" customHeight="1" spans="1:46">
      <c r="A18" s="15">
        <v>0.0160003</v>
      </c>
      <c r="B18" s="5">
        <v>0.0164682</v>
      </c>
      <c r="C18" s="5">
        <v>20638800000000</v>
      </c>
      <c r="D18" s="5">
        <v>451591000</v>
      </c>
      <c r="E18" s="5">
        <v>0</v>
      </c>
      <c r="F18" s="5">
        <v>0</v>
      </c>
      <c r="G18" s="5">
        <v>2</v>
      </c>
      <c r="H18" s="5">
        <v>4641680000000</v>
      </c>
      <c r="I18" s="5">
        <v>3751030000000</v>
      </c>
      <c r="J18" s="5">
        <v>3914740000000</v>
      </c>
      <c r="K18" s="5">
        <v>3893810000000</v>
      </c>
      <c r="L18" s="5">
        <v>4437350000000</v>
      </c>
      <c r="N18" s="15">
        <v>0.0159849</v>
      </c>
      <c r="O18" s="5">
        <v>0.0164585</v>
      </c>
      <c r="P18" s="5">
        <v>21167000000000</v>
      </c>
      <c r="Q18" s="5">
        <v>285255000</v>
      </c>
      <c r="R18" s="5">
        <v>0</v>
      </c>
      <c r="S18" s="5">
        <v>0</v>
      </c>
      <c r="T18" s="5">
        <v>2</v>
      </c>
      <c r="U18" s="5">
        <v>4525440000000</v>
      </c>
      <c r="V18" s="5">
        <v>3760150000000</v>
      </c>
      <c r="W18" s="5">
        <v>3903890000000</v>
      </c>
      <c r="X18" s="5">
        <v>3674630000000</v>
      </c>
      <c r="Y18" s="5">
        <v>5302760000000</v>
      </c>
      <c r="AA18" s="15">
        <v>0.0159918</v>
      </c>
      <c r="AB18" s="5">
        <v>0.0164226</v>
      </c>
      <c r="AC18" s="5">
        <v>20282500000000</v>
      </c>
      <c r="AD18" s="5">
        <v>458280000</v>
      </c>
      <c r="AE18" s="5">
        <v>0</v>
      </c>
      <c r="AF18" s="5">
        <v>0</v>
      </c>
      <c r="AG18" s="5">
        <v>2</v>
      </c>
      <c r="AH18" s="5">
        <v>3803260000000</v>
      </c>
      <c r="AI18" s="5">
        <v>3494260000000</v>
      </c>
      <c r="AJ18" s="5">
        <v>3034710000000</v>
      </c>
      <c r="AK18" s="5">
        <v>3179680000000</v>
      </c>
      <c r="AL18" s="5">
        <v>6770050000000</v>
      </c>
      <c r="AN18" s="5">
        <f t="shared" si="0"/>
        <v>0.0160003</v>
      </c>
      <c r="AO18" s="5">
        <f t="shared" si="1"/>
        <v>20696100000000</v>
      </c>
      <c r="AP18" s="5">
        <f t="shared" si="2"/>
        <v>20282500000000</v>
      </c>
      <c r="AQ18" s="5">
        <f t="shared" si="3"/>
        <v>21167000000000</v>
      </c>
      <c r="AR18" s="5">
        <f t="shared" si="4"/>
        <v>5503386666666.67</v>
      </c>
      <c r="AS18" s="5">
        <f t="shared" si="5"/>
        <v>4437350000000</v>
      </c>
      <c r="AT18" s="5">
        <f t="shared" si="6"/>
        <v>6770050000000</v>
      </c>
    </row>
    <row r="19" customHeight="1" spans="1:46">
      <c r="A19" s="4">
        <v>0.0169947</v>
      </c>
      <c r="B19" s="4">
        <v>0.0174402</v>
      </c>
      <c r="C19" s="4">
        <v>20751500000000</v>
      </c>
      <c r="D19" s="4">
        <v>456196000</v>
      </c>
      <c r="E19" s="4">
        <v>0</v>
      </c>
      <c r="F19" s="4">
        <v>0</v>
      </c>
      <c r="G19" s="4">
        <v>2</v>
      </c>
      <c r="H19" s="4">
        <v>4975430000000</v>
      </c>
      <c r="I19" s="4">
        <v>3627560000000</v>
      </c>
      <c r="J19" s="4">
        <v>3908970000000</v>
      </c>
      <c r="K19" s="4">
        <v>3857120000000</v>
      </c>
      <c r="L19" s="4">
        <v>4382010000000</v>
      </c>
      <c r="M19" s="4"/>
      <c r="N19" s="4">
        <v>0.017002</v>
      </c>
      <c r="O19" s="4">
        <v>0.0174539</v>
      </c>
      <c r="P19" s="4">
        <v>21082400000000</v>
      </c>
      <c r="Q19" s="4">
        <v>550821000</v>
      </c>
      <c r="R19" s="4">
        <v>0</v>
      </c>
      <c r="S19" s="4">
        <v>0</v>
      </c>
      <c r="T19" s="4">
        <v>2</v>
      </c>
      <c r="U19" s="4">
        <v>4345980000000</v>
      </c>
      <c r="V19" s="4">
        <v>3347840000000</v>
      </c>
      <c r="W19" s="4">
        <v>3717520000000</v>
      </c>
      <c r="X19" s="4">
        <v>3416050000000</v>
      </c>
      <c r="Y19" s="4">
        <v>6254960000000</v>
      </c>
      <c r="Z19" s="4"/>
      <c r="AA19" s="4">
        <v>0.0169953</v>
      </c>
      <c r="AB19" s="4">
        <v>0.0174508</v>
      </c>
      <c r="AC19" s="4">
        <v>20284600000000</v>
      </c>
      <c r="AD19" s="4">
        <v>295288000</v>
      </c>
      <c r="AE19" s="4">
        <v>0</v>
      </c>
      <c r="AF19" s="4">
        <v>0</v>
      </c>
      <c r="AG19" s="4">
        <v>2</v>
      </c>
      <c r="AH19" s="4">
        <v>3884930000000</v>
      </c>
      <c r="AI19" s="4">
        <v>3532130000000</v>
      </c>
      <c r="AJ19" s="4">
        <v>3201270000000</v>
      </c>
      <c r="AK19" s="4">
        <v>3450960000000</v>
      </c>
      <c r="AL19" s="4">
        <v>6214980000000</v>
      </c>
      <c r="AM19" s="4"/>
      <c r="AN19" s="4">
        <f t="shared" si="0"/>
        <v>0.0169947</v>
      </c>
      <c r="AO19" s="4">
        <f t="shared" si="1"/>
        <v>20706166666666.7</v>
      </c>
      <c r="AP19" s="4">
        <f t="shared" si="2"/>
        <v>20284600000000</v>
      </c>
      <c r="AQ19" s="4">
        <f t="shared" si="3"/>
        <v>21082400000000</v>
      </c>
      <c r="AR19" s="5">
        <f t="shared" si="4"/>
        <v>5617316666666.67</v>
      </c>
      <c r="AS19" s="5">
        <f t="shared" si="5"/>
        <v>4382010000000</v>
      </c>
      <c r="AT19" s="5">
        <f t="shared" si="6"/>
        <v>6254960000000</v>
      </c>
    </row>
    <row r="20" customHeight="1" spans="1:46">
      <c r="A20" s="4">
        <v>0.0180069</v>
      </c>
      <c r="B20" s="4">
        <v>0.0184386</v>
      </c>
      <c r="C20" s="4">
        <v>20453900000000</v>
      </c>
      <c r="D20" s="4">
        <v>525954000</v>
      </c>
      <c r="E20" s="4">
        <v>0</v>
      </c>
      <c r="F20" s="4">
        <v>0</v>
      </c>
      <c r="G20" s="4">
        <v>2</v>
      </c>
      <c r="H20" s="4">
        <v>4976530000000</v>
      </c>
      <c r="I20" s="4">
        <v>3828810000000</v>
      </c>
      <c r="J20" s="4">
        <v>3750540000000</v>
      </c>
      <c r="K20" s="4">
        <v>3887570000000</v>
      </c>
      <c r="L20" s="4">
        <v>4010140000000</v>
      </c>
      <c r="M20" s="4"/>
      <c r="N20" s="4">
        <v>0.0180037</v>
      </c>
      <c r="O20" s="4">
        <v>0.0184835</v>
      </c>
      <c r="P20" s="4">
        <v>20335500000000</v>
      </c>
      <c r="Q20" s="4">
        <v>785542000</v>
      </c>
      <c r="R20" s="4">
        <v>0</v>
      </c>
      <c r="S20" s="4">
        <v>0</v>
      </c>
      <c r="T20" s="4">
        <v>2</v>
      </c>
      <c r="U20" s="4">
        <v>3919180000000</v>
      </c>
      <c r="V20" s="4">
        <v>3023300000000</v>
      </c>
      <c r="W20" s="4">
        <v>3217970000000</v>
      </c>
      <c r="X20" s="4">
        <v>3315850000000</v>
      </c>
      <c r="Y20" s="4">
        <v>6858970000000</v>
      </c>
      <c r="Z20" s="4"/>
      <c r="AA20" s="4">
        <v>0.0179875</v>
      </c>
      <c r="AB20" s="4">
        <v>0.0184645</v>
      </c>
      <c r="AC20" s="4">
        <v>20509800000000</v>
      </c>
      <c r="AD20" s="4">
        <v>501707000</v>
      </c>
      <c r="AE20" s="4">
        <v>0</v>
      </c>
      <c r="AF20" s="4">
        <v>0</v>
      </c>
      <c r="AG20" s="4">
        <v>2</v>
      </c>
      <c r="AH20" s="4">
        <v>3953200000000</v>
      </c>
      <c r="AI20" s="4">
        <v>3686830000000</v>
      </c>
      <c r="AJ20" s="4">
        <v>3480680000000</v>
      </c>
      <c r="AK20" s="4">
        <v>3642600000000</v>
      </c>
      <c r="AL20" s="4">
        <v>5746370000000</v>
      </c>
      <c r="AM20" s="4"/>
      <c r="AN20" s="4">
        <f t="shared" si="0"/>
        <v>0.0180069</v>
      </c>
      <c r="AO20" s="4">
        <f t="shared" si="1"/>
        <v>20433066666666.7</v>
      </c>
      <c r="AP20" s="4">
        <f t="shared" si="2"/>
        <v>20335500000000</v>
      </c>
      <c r="AQ20" s="4">
        <f t="shared" si="3"/>
        <v>20509800000000</v>
      </c>
      <c r="AR20" s="5">
        <f t="shared" si="4"/>
        <v>5538493333333.33</v>
      </c>
      <c r="AS20" s="5">
        <f t="shared" si="5"/>
        <v>4010140000000</v>
      </c>
      <c r="AT20" s="5">
        <f t="shared" si="6"/>
        <v>6858970000000</v>
      </c>
    </row>
    <row r="21" customHeight="1" spans="1:46">
      <c r="A21" s="4">
        <v>0.0190033</v>
      </c>
      <c r="B21" s="4">
        <v>0.019443</v>
      </c>
      <c r="C21" s="4">
        <v>20472800000000</v>
      </c>
      <c r="D21" s="4">
        <v>464565000</v>
      </c>
      <c r="E21" s="4">
        <v>0</v>
      </c>
      <c r="F21" s="4">
        <v>0</v>
      </c>
      <c r="G21" s="4">
        <v>2</v>
      </c>
      <c r="H21" s="4">
        <v>5005270000000</v>
      </c>
      <c r="I21" s="4">
        <v>3799660000000</v>
      </c>
      <c r="J21" s="4">
        <v>3890630000000</v>
      </c>
      <c r="K21" s="4">
        <v>3773160000000</v>
      </c>
      <c r="L21" s="4">
        <v>4004090000000</v>
      </c>
      <c r="M21" s="4"/>
      <c r="N21" s="4">
        <v>0.0190219</v>
      </c>
      <c r="O21" s="4">
        <v>0.0194934</v>
      </c>
      <c r="P21" s="4">
        <v>20489900000000</v>
      </c>
      <c r="Q21" s="4">
        <v>548500000</v>
      </c>
      <c r="R21" s="4">
        <v>0</v>
      </c>
      <c r="S21" s="4">
        <v>0</v>
      </c>
      <c r="T21" s="4">
        <v>2</v>
      </c>
      <c r="U21" s="4">
        <v>3912690000000</v>
      </c>
      <c r="V21" s="4">
        <v>3054290000000</v>
      </c>
      <c r="W21" s="4">
        <v>3148950000000</v>
      </c>
      <c r="X21" s="4">
        <v>3220850000000</v>
      </c>
      <c r="Y21" s="4">
        <v>7152360000000</v>
      </c>
      <c r="Z21" s="4"/>
      <c r="AA21" s="4">
        <v>0.0190178</v>
      </c>
      <c r="AB21" s="4">
        <v>0.0194448</v>
      </c>
      <c r="AC21" s="4">
        <v>20487800000000</v>
      </c>
      <c r="AD21" s="4">
        <v>226999000</v>
      </c>
      <c r="AE21" s="4">
        <v>0</v>
      </c>
      <c r="AF21" s="4">
        <v>0</v>
      </c>
      <c r="AG21" s="4">
        <v>2</v>
      </c>
      <c r="AH21" s="4">
        <v>4109760000000</v>
      </c>
      <c r="AI21" s="4">
        <v>3745840000000</v>
      </c>
      <c r="AJ21" s="4">
        <v>3719780000000</v>
      </c>
      <c r="AK21" s="4">
        <v>3821850000000</v>
      </c>
      <c r="AL21" s="4">
        <v>5089980000000</v>
      </c>
      <c r="AM21" s="4"/>
      <c r="AN21" s="4">
        <f t="shared" si="0"/>
        <v>0.0190033</v>
      </c>
      <c r="AO21" s="4">
        <f t="shared" si="1"/>
        <v>20483500000000</v>
      </c>
      <c r="AP21" s="4">
        <f t="shared" si="2"/>
        <v>20472800000000</v>
      </c>
      <c r="AQ21" s="4">
        <f t="shared" si="3"/>
        <v>20489900000000</v>
      </c>
      <c r="AR21" s="5">
        <f t="shared" si="4"/>
        <v>5415476666666.67</v>
      </c>
      <c r="AS21" s="5">
        <f t="shared" si="5"/>
        <v>4004090000000</v>
      </c>
      <c r="AT21" s="5">
        <f t="shared" si="6"/>
        <v>7152360000000</v>
      </c>
    </row>
    <row r="22" customHeight="1" spans="1:46">
      <c r="A22" s="4">
        <v>0.0199878</v>
      </c>
      <c r="B22" s="4">
        <v>0.0204521</v>
      </c>
      <c r="C22" s="4">
        <v>20654700000000</v>
      </c>
      <c r="D22" s="4">
        <v>364972000</v>
      </c>
      <c r="E22" s="4">
        <v>0</v>
      </c>
      <c r="F22" s="4">
        <v>0</v>
      </c>
      <c r="G22" s="4">
        <v>2</v>
      </c>
      <c r="H22" s="4">
        <v>4755430000000</v>
      </c>
      <c r="I22" s="4">
        <v>3846590000000</v>
      </c>
      <c r="J22" s="4">
        <v>3772540000000</v>
      </c>
      <c r="K22" s="4">
        <v>3898890000000</v>
      </c>
      <c r="L22" s="4">
        <v>4381090000000</v>
      </c>
      <c r="M22" s="4"/>
      <c r="N22" s="4">
        <v>0.0200239</v>
      </c>
      <c r="O22" s="4">
        <v>0.0204628</v>
      </c>
      <c r="P22" s="4">
        <v>20038000000000</v>
      </c>
      <c r="Q22" s="4">
        <v>365651000</v>
      </c>
      <c r="R22" s="4">
        <v>0</v>
      </c>
      <c r="S22" s="4">
        <v>0</v>
      </c>
      <c r="T22" s="4">
        <v>2</v>
      </c>
      <c r="U22" s="4">
        <v>4105690000000</v>
      </c>
      <c r="V22" s="4">
        <v>3035370000000</v>
      </c>
      <c r="W22" s="4">
        <v>3197180000000</v>
      </c>
      <c r="X22" s="4">
        <v>3109220000000</v>
      </c>
      <c r="Y22" s="4">
        <v>6590000000000</v>
      </c>
      <c r="Z22" s="4"/>
      <c r="AA22" s="4">
        <v>0.0200189</v>
      </c>
      <c r="AB22" s="4">
        <v>0.0204</v>
      </c>
      <c r="AC22" s="4">
        <v>20150300000000</v>
      </c>
      <c r="AD22" s="4">
        <v>475368000</v>
      </c>
      <c r="AE22" s="4">
        <v>0</v>
      </c>
      <c r="AF22" s="4">
        <v>0</v>
      </c>
      <c r="AG22" s="4">
        <v>2</v>
      </c>
      <c r="AH22" s="4">
        <v>4116740000000</v>
      </c>
      <c r="AI22" s="4">
        <v>3498710000000</v>
      </c>
      <c r="AJ22" s="4">
        <v>3708610000000</v>
      </c>
      <c r="AK22" s="4">
        <v>3815000000000</v>
      </c>
      <c r="AL22" s="4">
        <v>5010830000000</v>
      </c>
      <c r="AM22" s="4"/>
      <c r="AN22" s="4">
        <f t="shared" si="0"/>
        <v>0.0199878</v>
      </c>
      <c r="AO22" s="4">
        <f t="shared" si="1"/>
        <v>20281000000000</v>
      </c>
      <c r="AP22" s="4">
        <f t="shared" si="2"/>
        <v>20038000000000</v>
      </c>
      <c r="AQ22" s="4">
        <f t="shared" si="3"/>
        <v>20654700000000</v>
      </c>
      <c r="AR22" s="5">
        <f t="shared" si="4"/>
        <v>5327306666666.67</v>
      </c>
      <c r="AS22" s="5">
        <f t="shared" si="5"/>
        <v>4381090000000</v>
      </c>
      <c r="AT22" s="5">
        <f t="shared" si="6"/>
        <v>6590000000000</v>
      </c>
    </row>
    <row r="23" customHeight="1" spans="1:46">
      <c r="A23" s="4">
        <v>0.0210526</v>
      </c>
      <c r="B23" s="4">
        <v>0.0214902</v>
      </c>
      <c r="C23" s="4">
        <v>20691700000000</v>
      </c>
      <c r="D23" s="4">
        <v>323039000</v>
      </c>
      <c r="E23" s="4">
        <v>0</v>
      </c>
      <c r="F23" s="4">
        <v>0</v>
      </c>
      <c r="G23" s="4">
        <v>2</v>
      </c>
      <c r="H23" s="4">
        <v>4981410000000</v>
      </c>
      <c r="I23" s="4">
        <v>3973430000000</v>
      </c>
      <c r="J23" s="4">
        <v>3916380000000</v>
      </c>
      <c r="K23" s="4">
        <v>3910260000000</v>
      </c>
      <c r="L23" s="4">
        <v>3910050000000</v>
      </c>
      <c r="M23" s="4"/>
      <c r="N23" s="4">
        <v>0.0210344</v>
      </c>
      <c r="O23" s="4">
        <v>0.0214894</v>
      </c>
      <c r="P23" s="4">
        <v>20110000000000</v>
      </c>
      <c r="Q23" s="4">
        <v>393157000</v>
      </c>
      <c r="R23" s="4">
        <v>0</v>
      </c>
      <c r="S23" s="4">
        <v>0</v>
      </c>
      <c r="T23" s="4">
        <v>2</v>
      </c>
      <c r="U23" s="4">
        <v>3970860000000</v>
      </c>
      <c r="V23" s="4">
        <v>3381880000000</v>
      </c>
      <c r="W23" s="4">
        <v>3168960000000</v>
      </c>
      <c r="X23" s="4">
        <v>3234610000000</v>
      </c>
      <c r="Y23" s="4">
        <v>6353010000000</v>
      </c>
      <c r="Z23" s="4"/>
      <c r="AA23" s="4">
        <v>0.0210033</v>
      </c>
      <c r="AB23" s="4">
        <v>0.021412</v>
      </c>
      <c r="AC23" s="4">
        <v>20223500000000</v>
      </c>
      <c r="AD23" s="4">
        <v>827097000</v>
      </c>
      <c r="AE23" s="4">
        <v>0</v>
      </c>
      <c r="AF23" s="4">
        <v>0</v>
      </c>
      <c r="AG23" s="4">
        <v>2</v>
      </c>
      <c r="AH23" s="4">
        <v>4496770000000</v>
      </c>
      <c r="AI23" s="4">
        <v>3676980000000</v>
      </c>
      <c r="AJ23" s="4">
        <v>3698800000000</v>
      </c>
      <c r="AK23" s="4">
        <v>3700930000000</v>
      </c>
      <c r="AL23" s="4">
        <v>4649470000000</v>
      </c>
      <c r="AM23" s="4"/>
      <c r="AN23" s="4">
        <f t="shared" si="0"/>
        <v>0.0210526</v>
      </c>
      <c r="AO23" s="4">
        <f t="shared" si="1"/>
        <v>20341733333333.3</v>
      </c>
      <c r="AP23" s="4">
        <f t="shared" si="2"/>
        <v>20110000000000</v>
      </c>
      <c r="AQ23" s="4">
        <f t="shared" si="3"/>
        <v>20691700000000</v>
      </c>
      <c r="AR23" s="5">
        <f t="shared" si="4"/>
        <v>4970843333333.33</v>
      </c>
      <c r="AS23" s="5">
        <f t="shared" si="5"/>
        <v>3910050000000</v>
      </c>
      <c r="AT23" s="5">
        <f t="shared" si="6"/>
        <v>6353010000000</v>
      </c>
    </row>
    <row r="24" customHeight="1" spans="1:46">
      <c r="A24" s="4">
        <v>0.0220272</v>
      </c>
      <c r="B24" s="4">
        <v>0.0224398</v>
      </c>
      <c r="C24" s="4">
        <v>20513800000000</v>
      </c>
      <c r="D24" s="4">
        <v>374231000</v>
      </c>
      <c r="E24" s="4">
        <v>0</v>
      </c>
      <c r="F24" s="4">
        <v>0</v>
      </c>
      <c r="G24" s="4">
        <v>2</v>
      </c>
      <c r="H24" s="4">
        <v>4750140000000</v>
      </c>
      <c r="I24" s="4">
        <v>3896110000000</v>
      </c>
      <c r="J24" s="4">
        <v>3864150000000</v>
      </c>
      <c r="K24" s="4">
        <v>3792950000000</v>
      </c>
      <c r="L24" s="4">
        <v>4208690000000</v>
      </c>
      <c r="M24" s="4"/>
      <c r="N24" s="4">
        <v>0.0220483</v>
      </c>
      <c r="O24" s="4">
        <v>0.02246</v>
      </c>
      <c r="P24" s="4">
        <v>20104600000000</v>
      </c>
      <c r="Q24" s="4">
        <v>408576000</v>
      </c>
      <c r="R24" s="4">
        <v>0</v>
      </c>
      <c r="S24" s="4">
        <v>0</v>
      </c>
      <c r="T24" s="4">
        <v>2</v>
      </c>
      <c r="U24" s="4">
        <v>4105380000000</v>
      </c>
      <c r="V24" s="4">
        <v>3464060000000</v>
      </c>
      <c r="W24" s="4">
        <v>3425190000000</v>
      </c>
      <c r="X24" s="4">
        <v>3336610000000</v>
      </c>
      <c r="Y24" s="4">
        <v>5772890000000</v>
      </c>
      <c r="Z24" s="4"/>
      <c r="AA24" s="4">
        <v>0.0220039</v>
      </c>
      <c r="AB24" s="4">
        <v>0.0224265</v>
      </c>
      <c r="AC24" s="4">
        <v>20366600000000</v>
      </c>
      <c r="AD24" s="4">
        <v>595232000</v>
      </c>
      <c r="AE24" s="4">
        <v>0</v>
      </c>
      <c r="AF24" s="4">
        <v>0</v>
      </c>
      <c r="AG24" s="4">
        <v>2</v>
      </c>
      <c r="AH24" s="4">
        <v>4520900000000</v>
      </c>
      <c r="AI24" s="4">
        <v>3818190000000</v>
      </c>
      <c r="AJ24" s="4">
        <v>3792610000000</v>
      </c>
      <c r="AK24" s="4">
        <v>3750260000000</v>
      </c>
      <c r="AL24" s="4">
        <v>4484380000000</v>
      </c>
      <c r="AM24" s="4"/>
      <c r="AN24" s="4">
        <f t="shared" si="0"/>
        <v>0.0220272</v>
      </c>
      <c r="AO24" s="4">
        <f t="shared" si="1"/>
        <v>20328333333333.3</v>
      </c>
      <c r="AP24" s="4">
        <f t="shared" si="2"/>
        <v>20104600000000</v>
      </c>
      <c r="AQ24" s="4">
        <f t="shared" si="3"/>
        <v>20513800000000</v>
      </c>
      <c r="AR24" s="5">
        <f t="shared" si="4"/>
        <v>4821986666666.67</v>
      </c>
      <c r="AS24" s="5">
        <f t="shared" si="5"/>
        <v>4208690000000</v>
      </c>
      <c r="AT24" s="5">
        <f t="shared" si="6"/>
        <v>5772890000000</v>
      </c>
    </row>
    <row r="25" customHeight="1" spans="1:46">
      <c r="A25" s="4">
        <v>0.0230008</v>
      </c>
      <c r="B25" s="4">
        <v>0.0234327</v>
      </c>
      <c r="C25" s="4">
        <v>20539600000000</v>
      </c>
      <c r="D25" s="4">
        <v>551117000</v>
      </c>
      <c r="E25" s="4">
        <v>0</v>
      </c>
      <c r="F25" s="4">
        <v>0</v>
      </c>
      <c r="G25" s="4">
        <v>2</v>
      </c>
      <c r="H25" s="4">
        <v>4613580000000</v>
      </c>
      <c r="I25" s="4">
        <v>3876250000000</v>
      </c>
      <c r="J25" s="4">
        <v>3930280000000</v>
      </c>
      <c r="K25" s="4">
        <v>3636140000000</v>
      </c>
      <c r="L25" s="4">
        <v>4482030000000</v>
      </c>
      <c r="M25" s="4"/>
      <c r="N25" s="4">
        <v>0.0229973</v>
      </c>
      <c r="O25" s="4">
        <v>0.0234412</v>
      </c>
      <c r="P25" s="4">
        <v>19818600000000</v>
      </c>
      <c r="Q25" s="4">
        <v>368331000</v>
      </c>
      <c r="R25" s="4">
        <v>0</v>
      </c>
      <c r="S25" s="4">
        <v>0</v>
      </c>
      <c r="T25" s="4">
        <v>2</v>
      </c>
      <c r="U25" s="4">
        <v>3820430000000</v>
      </c>
      <c r="V25" s="4">
        <v>3286510000000</v>
      </c>
      <c r="W25" s="4">
        <v>3024610000000</v>
      </c>
      <c r="X25" s="4">
        <v>2929150000000</v>
      </c>
      <c r="Y25" s="4">
        <v>6757120000000</v>
      </c>
      <c r="Z25" s="4"/>
      <c r="AA25" s="4">
        <v>0.0230299</v>
      </c>
      <c r="AB25" s="4">
        <v>0.0234371</v>
      </c>
      <c r="AC25" s="4">
        <v>20540700000000</v>
      </c>
      <c r="AD25" s="4">
        <v>500021000</v>
      </c>
      <c r="AE25" s="4">
        <v>0</v>
      </c>
      <c r="AF25" s="4">
        <v>0</v>
      </c>
      <c r="AG25" s="4">
        <v>2</v>
      </c>
      <c r="AH25" s="4">
        <v>4949860000000</v>
      </c>
      <c r="AI25" s="4">
        <v>3739810000000</v>
      </c>
      <c r="AJ25" s="4">
        <v>3883290000000</v>
      </c>
      <c r="AK25" s="4">
        <v>3745390000000</v>
      </c>
      <c r="AL25" s="4">
        <v>4222210000000</v>
      </c>
      <c r="AM25" s="4"/>
      <c r="AN25" s="4">
        <f t="shared" si="0"/>
        <v>0.0230008</v>
      </c>
      <c r="AO25" s="4">
        <f t="shared" si="1"/>
        <v>20299633333333.3</v>
      </c>
      <c r="AP25" s="4">
        <f t="shared" si="2"/>
        <v>19818600000000</v>
      </c>
      <c r="AQ25" s="4">
        <f t="shared" si="3"/>
        <v>20540700000000</v>
      </c>
      <c r="AR25" s="5">
        <f t="shared" si="4"/>
        <v>5153786666666.67</v>
      </c>
      <c r="AS25" s="5">
        <f t="shared" si="5"/>
        <v>4222210000000</v>
      </c>
      <c r="AT25" s="5">
        <f t="shared" si="6"/>
        <v>6757120000000</v>
      </c>
    </row>
    <row r="26" customHeight="1" spans="1:46">
      <c r="A26" s="4">
        <v>0.0240276</v>
      </c>
      <c r="B26" s="4">
        <v>0.024415</v>
      </c>
      <c r="C26" s="4">
        <v>20348900000000</v>
      </c>
      <c r="D26" s="4">
        <v>1821660000</v>
      </c>
      <c r="E26" s="4">
        <v>0</v>
      </c>
      <c r="F26" s="4">
        <v>0</v>
      </c>
      <c r="G26" s="4">
        <v>2</v>
      </c>
      <c r="H26" s="4">
        <v>4461930000000</v>
      </c>
      <c r="I26" s="4">
        <v>3586700000000</v>
      </c>
      <c r="J26" s="4">
        <v>3676230000000</v>
      </c>
      <c r="K26" s="4">
        <v>3500150000000</v>
      </c>
      <c r="L26" s="4">
        <v>5123090000000</v>
      </c>
      <c r="M26" s="4"/>
      <c r="N26" s="4">
        <v>0.0240021</v>
      </c>
      <c r="O26" s="4">
        <v>0.0244124</v>
      </c>
      <c r="P26" s="4">
        <v>20060800000000</v>
      </c>
      <c r="Q26" s="4">
        <v>308898000</v>
      </c>
      <c r="R26" s="4">
        <v>0</v>
      </c>
      <c r="S26" s="4">
        <v>0</v>
      </c>
      <c r="T26" s="4">
        <v>2</v>
      </c>
      <c r="U26" s="4">
        <v>4212980000000</v>
      </c>
      <c r="V26" s="4">
        <v>3144500000000</v>
      </c>
      <c r="W26" s="4">
        <v>3319510000000</v>
      </c>
      <c r="X26" s="4">
        <v>2952310000000</v>
      </c>
      <c r="Y26" s="4">
        <v>6431050000000</v>
      </c>
      <c r="Z26" s="4"/>
      <c r="AA26" s="4">
        <v>0.0239689</v>
      </c>
      <c r="AB26" s="4">
        <v>0.0243927</v>
      </c>
      <c r="AC26" s="4">
        <v>20340700000000</v>
      </c>
      <c r="AD26" s="4">
        <v>436115000</v>
      </c>
      <c r="AE26" s="4">
        <v>0</v>
      </c>
      <c r="AF26" s="4">
        <v>0</v>
      </c>
      <c r="AG26" s="4">
        <v>2</v>
      </c>
      <c r="AH26" s="4">
        <v>4611280000000</v>
      </c>
      <c r="AI26" s="4">
        <v>3867370000000</v>
      </c>
      <c r="AJ26" s="4">
        <v>3950820000000</v>
      </c>
      <c r="AK26" s="4">
        <v>3803530000000</v>
      </c>
      <c r="AL26" s="4">
        <v>4107600000000</v>
      </c>
      <c r="AM26" s="4"/>
      <c r="AN26" s="4">
        <f t="shared" si="0"/>
        <v>0.0240276</v>
      </c>
      <c r="AO26" s="4">
        <f t="shared" si="1"/>
        <v>20250133333333.3</v>
      </c>
      <c r="AP26" s="4">
        <f t="shared" si="2"/>
        <v>20060800000000</v>
      </c>
      <c r="AQ26" s="4">
        <f t="shared" si="3"/>
        <v>20348900000000</v>
      </c>
      <c r="AR26" s="5">
        <f t="shared" si="4"/>
        <v>5220580000000</v>
      </c>
      <c r="AS26" s="5">
        <f t="shared" si="5"/>
        <v>4107600000000</v>
      </c>
      <c r="AT26" s="5">
        <f t="shared" si="6"/>
        <v>6431050000000</v>
      </c>
    </row>
    <row r="27" customHeight="1" spans="1:46">
      <c r="A27" s="4">
        <v>0.024966</v>
      </c>
      <c r="B27" s="4">
        <v>0.0254008</v>
      </c>
      <c r="C27" s="4">
        <v>20628000000000</v>
      </c>
      <c r="D27" s="4">
        <v>308431000</v>
      </c>
      <c r="E27" s="4">
        <v>0</v>
      </c>
      <c r="F27" s="4">
        <v>0</v>
      </c>
      <c r="G27" s="4">
        <v>2</v>
      </c>
      <c r="H27" s="4">
        <v>4613040000000</v>
      </c>
      <c r="I27" s="4">
        <v>3852020000000</v>
      </c>
      <c r="J27" s="4">
        <v>3637690000000</v>
      </c>
      <c r="K27" s="4">
        <v>3695110000000</v>
      </c>
      <c r="L27" s="4">
        <v>4829710000000</v>
      </c>
      <c r="M27" s="4"/>
      <c r="N27" s="4">
        <v>0.0249778</v>
      </c>
      <c r="O27" s="4">
        <v>0.0253726</v>
      </c>
      <c r="P27" s="4">
        <v>19816300000000</v>
      </c>
      <c r="Q27" s="4">
        <v>585487000</v>
      </c>
      <c r="R27" s="4">
        <v>0</v>
      </c>
      <c r="S27" s="4">
        <v>0</v>
      </c>
      <c r="T27" s="4">
        <v>2</v>
      </c>
      <c r="U27" s="4">
        <v>4023230000000</v>
      </c>
      <c r="V27" s="4">
        <v>3090550000000</v>
      </c>
      <c r="W27" s="4">
        <v>3372070000000</v>
      </c>
      <c r="X27" s="4">
        <v>3099460000000</v>
      </c>
      <c r="Y27" s="4">
        <v>6230040000000</v>
      </c>
      <c r="Z27" s="4"/>
      <c r="AA27" s="4">
        <v>0.025005</v>
      </c>
      <c r="AB27" s="4">
        <v>0.0254337</v>
      </c>
      <c r="AC27" s="4">
        <v>20707000000000</v>
      </c>
      <c r="AD27" s="4">
        <v>644016000</v>
      </c>
      <c r="AE27" s="4">
        <v>0</v>
      </c>
      <c r="AF27" s="4">
        <v>0</v>
      </c>
      <c r="AG27" s="4">
        <v>2</v>
      </c>
      <c r="AH27" s="4">
        <v>4692770000000</v>
      </c>
      <c r="AI27" s="4">
        <v>3770830000000</v>
      </c>
      <c r="AJ27" s="4">
        <v>3854120000000</v>
      </c>
      <c r="AK27" s="4">
        <v>3729840000000</v>
      </c>
      <c r="AL27" s="4">
        <v>4659230000000</v>
      </c>
      <c r="AM27" s="4"/>
      <c r="AN27" s="4">
        <f t="shared" si="0"/>
        <v>0.024966</v>
      </c>
      <c r="AO27" s="4">
        <f t="shared" si="1"/>
        <v>20383766666666.7</v>
      </c>
      <c r="AP27" s="4">
        <f t="shared" si="2"/>
        <v>19816300000000</v>
      </c>
      <c r="AQ27" s="4">
        <f t="shared" si="3"/>
        <v>20707000000000</v>
      </c>
      <c r="AR27" s="5">
        <f t="shared" si="4"/>
        <v>5239660000000</v>
      </c>
      <c r="AS27" s="5">
        <f t="shared" si="5"/>
        <v>4659230000000</v>
      </c>
      <c r="AT27" s="5">
        <f t="shared" si="6"/>
        <v>6230040000000</v>
      </c>
    </row>
    <row r="28" customHeight="1" spans="1:46">
      <c r="A28" s="4">
        <v>0.0259776</v>
      </c>
      <c r="B28" s="4">
        <v>0.0264072</v>
      </c>
      <c r="C28" s="4">
        <v>20103700000000</v>
      </c>
      <c r="D28" s="4">
        <v>451657000</v>
      </c>
      <c r="E28" s="4">
        <v>0</v>
      </c>
      <c r="F28" s="4">
        <v>0</v>
      </c>
      <c r="G28" s="4">
        <v>2</v>
      </c>
      <c r="H28" s="4">
        <v>4262930000000</v>
      </c>
      <c r="I28" s="4">
        <v>3569310000000</v>
      </c>
      <c r="J28" s="4">
        <v>3469710000000</v>
      </c>
      <c r="K28" s="4">
        <v>3285200000000</v>
      </c>
      <c r="L28" s="4">
        <v>5516070000000</v>
      </c>
      <c r="M28" s="4"/>
      <c r="N28" s="4">
        <v>0.0260088</v>
      </c>
      <c r="O28" s="4">
        <v>0.0264071</v>
      </c>
      <c r="P28" s="4">
        <v>19764000000000</v>
      </c>
      <c r="Q28" s="4">
        <v>509790000</v>
      </c>
      <c r="R28" s="4">
        <v>0</v>
      </c>
      <c r="S28" s="4">
        <v>0</v>
      </c>
      <c r="T28" s="4">
        <v>2</v>
      </c>
      <c r="U28" s="4">
        <v>3999810000000</v>
      </c>
      <c r="V28" s="4">
        <v>3191670000000</v>
      </c>
      <c r="W28" s="4">
        <v>3297460000000</v>
      </c>
      <c r="X28" s="4">
        <v>3008650000000</v>
      </c>
      <c r="Y28" s="4">
        <v>6265930000000</v>
      </c>
      <c r="Z28" s="4"/>
      <c r="AA28" s="4">
        <v>0.0260077</v>
      </c>
      <c r="AB28" s="4">
        <v>0.026442</v>
      </c>
      <c r="AC28" s="4">
        <v>20730300000000</v>
      </c>
      <c r="AD28" s="4">
        <v>287665000</v>
      </c>
      <c r="AE28" s="4">
        <v>0</v>
      </c>
      <c r="AF28" s="4">
        <v>0</v>
      </c>
      <c r="AG28" s="4">
        <v>2</v>
      </c>
      <c r="AH28" s="4">
        <v>4823100000000</v>
      </c>
      <c r="AI28" s="4">
        <v>3859610000000</v>
      </c>
      <c r="AJ28" s="4">
        <v>3954810000000</v>
      </c>
      <c r="AK28" s="4">
        <v>3668690000000</v>
      </c>
      <c r="AL28" s="4">
        <v>4424080000000</v>
      </c>
      <c r="AM28" s="4"/>
      <c r="AN28" s="4">
        <f t="shared" si="0"/>
        <v>0.0259776</v>
      </c>
      <c r="AO28" s="4">
        <f t="shared" si="1"/>
        <v>20199333333333.3</v>
      </c>
      <c r="AP28" s="4">
        <f t="shared" si="2"/>
        <v>19764000000000</v>
      </c>
      <c r="AQ28" s="4">
        <f t="shared" si="3"/>
        <v>20730300000000</v>
      </c>
      <c r="AR28" s="5">
        <f t="shared" si="4"/>
        <v>5402026666666.67</v>
      </c>
      <c r="AS28" s="5">
        <f t="shared" si="5"/>
        <v>4424080000000</v>
      </c>
      <c r="AT28" s="5">
        <f t="shared" si="6"/>
        <v>6265930000000</v>
      </c>
    </row>
    <row r="29" customHeight="1" spans="1:46">
      <c r="A29" s="4">
        <v>0.0270304</v>
      </c>
      <c r="B29" s="4">
        <v>0.027452</v>
      </c>
      <c r="C29" s="4">
        <v>20316600000000</v>
      </c>
      <c r="D29" s="4">
        <v>397116000</v>
      </c>
      <c r="E29" s="4">
        <v>0</v>
      </c>
      <c r="F29" s="4">
        <v>0</v>
      </c>
      <c r="G29" s="4">
        <v>2</v>
      </c>
      <c r="H29" s="4">
        <v>4258630000000</v>
      </c>
      <c r="I29" s="4">
        <v>3602010000000</v>
      </c>
      <c r="J29" s="4">
        <v>3571430000000</v>
      </c>
      <c r="K29" s="4">
        <v>3347590000000</v>
      </c>
      <c r="L29" s="4">
        <v>5536710000000</v>
      </c>
      <c r="M29" s="4"/>
      <c r="N29" s="4">
        <v>0.0270319</v>
      </c>
      <c r="O29" s="4">
        <v>0.0274438</v>
      </c>
      <c r="P29" s="4">
        <v>19886700000000</v>
      </c>
      <c r="Q29" s="4">
        <v>333190000</v>
      </c>
      <c r="R29" s="4">
        <v>0</v>
      </c>
      <c r="S29" s="4">
        <v>0</v>
      </c>
      <c r="T29" s="4">
        <v>2</v>
      </c>
      <c r="U29" s="4">
        <v>4074690000000</v>
      </c>
      <c r="V29" s="4">
        <v>3219830000000</v>
      </c>
      <c r="W29" s="4">
        <v>3253880000000</v>
      </c>
      <c r="X29" s="4">
        <v>3174970000000</v>
      </c>
      <c r="Y29" s="4">
        <v>6163110000000</v>
      </c>
      <c r="Z29" s="4"/>
      <c r="AA29" s="4">
        <v>0.0269921</v>
      </c>
      <c r="AB29" s="4">
        <v>0.0274573</v>
      </c>
      <c r="AC29" s="4">
        <v>20730000000000</v>
      </c>
      <c r="AD29" s="4">
        <v>206048000</v>
      </c>
      <c r="AE29" s="4">
        <v>0</v>
      </c>
      <c r="AF29" s="4">
        <v>0</v>
      </c>
      <c r="AG29" s="4">
        <v>2</v>
      </c>
      <c r="AH29" s="4">
        <v>4614900000000</v>
      </c>
      <c r="AI29" s="4">
        <v>3752980000000</v>
      </c>
      <c r="AJ29" s="4">
        <v>3999770000000</v>
      </c>
      <c r="AK29" s="4">
        <v>3679930000000</v>
      </c>
      <c r="AL29" s="4">
        <v>4682290000000</v>
      </c>
      <c r="AM29" s="4"/>
      <c r="AN29" s="4">
        <f t="shared" si="0"/>
        <v>0.0270304</v>
      </c>
      <c r="AO29" s="4">
        <f t="shared" si="1"/>
        <v>20311100000000</v>
      </c>
      <c r="AP29" s="4">
        <f t="shared" si="2"/>
        <v>19886700000000</v>
      </c>
      <c r="AQ29" s="4">
        <f t="shared" si="3"/>
        <v>20730000000000</v>
      </c>
      <c r="AR29" s="5">
        <f t="shared" si="4"/>
        <v>5460703333333.33</v>
      </c>
      <c r="AS29" s="5">
        <f t="shared" si="5"/>
        <v>4682290000000</v>
      </c>
      <c r="AT29" s="5">
        <f t="shared" si="6"/>
        <v>6163110000000</v>
      </c>
    </row>
    <row r="30" customHeight="1" spans="1:46">
      <c r="A30" s="4">
        <v>0.0279959</v>
      </c>
      <c r="B30" s="4">
        <v>0.0284426</v>
      </c>
      <c r="C30" s="4">
        <v>20311700000000</v>
      </c>
      <c r="D30" s="4">
        <v>519065000</v>
      </c>
      <c r="E30" s="4">
        <v>0</v>
      </c>
      <c r="F30" s="4">
        <v>0</v>
      </c>
      <c r="G30" s="4">
        <v>2</v>
      </c>
      <c r="H30" s="4">
        <v>4226400000000</v>
      </c>
      <c r="I30" s="4">
        <v>3468430000000</v>
      </c>
      <c r="J30" s="4">
        <v>3615520000000</v>
      </c>
      <c r="K30" s="4">
        <v>3310120000000</v>
      </c>
      <c r="L30" s="4">
        <v>5691000000000</v>
      </c>
      <c r="M30" s="4"/>
      <c r="N30" s="4">
        <v>0.0279904</v>
      </c>
      <c r="O30" s="4">
        <v>0.0284009</v>
      </c>
      <c r="P30" s="4">
        <v>19629000000000</v>
      </c>
      <c r="Q30" s="4">
        <v>371474000</v>
      </c>
      <c r="R30" s="4">
        <v>0</v>
      </c>
      <c r="S30" s="4">
        <v>0</v>
      </c>
      <c r="T30" s="4">
        <v>2</v>
      </c>
      <c r="U30" s="4">
        <v>3854680000000</v>
      </c>
      <c r="V30" s="4">
        <v>3010420000000</v>
      </c>
      <c r="W30" s="4">
        <v>3130430000000</v>
      </c>
      <c r="X30" s="4">
        <v>3042580000000</v>
      </c>
      <c r="Y30" s="4">
        <v>6590440000000</v>
      </c>
      <c r="Z30" s="4"/>
      <c r="AA30" s="4">
        <v>0.0280151</v>
      </c>
      <c r="AB30" s="4">
        <v>0.0284434</v>
      </c>
      <c r="AC30" s="4">
        <v>21364200000000</v>
      </c>
      <c r="AD30" s="4">
        <v>431981000</v>
      </c>
      <c r="AE30" s="4">
        <v>0</v>
      </c>
      <c r="AF30" s="4">
        <v>0</v>
      </c>
      <c r="AG30" s="4">
        <v>2</v>
      </c>
      <c r="AH30" s="4">
        <v>4683270000000</v>
      </c>
      <c r="AI30" s="4">
        <v>4340360000000</v>
      </c>
      <c r="AJ30" s="4">
        <v>3967040000000</v>
      </c>
      <c r="AK30" s="4">
        <v>3884920000000</v>
      </c>
      <c r="AL30" s="4">
        <v>4488470000000</v>
      </c>
      <c r="AM30" s="4"/>
      <c r="AN30" s="4">
        <f t="shared" si="0"/>
        <v>0.0279959</v>
      </c>
      <c r="AO30" s="4">
        <f t="shared" si="1"/>
        <v>20434966666666.7</v>
      </c>
      <c r="AP30" s="4">
        <f t="shared" si="2"/>
        <v>19629000000000</v>
      </c>
      <c r="AQ30" s="4">
        <f t="shared" si="3"/>
        <v>21364200000000</v>
      </c>
      <c r="AR30" s="5">
        <f t="shared" si="4"/>
        <v>5589970000000</v>
      </c>
      <c r="AS30" s="5">
        <f t="shared" si="5"/>
        <v>4488470000000</v>
      </c>
      <c r="AT30" s="5">
        <f t="shared" si="6"/>
        <v>6590440000000</v>
      </c>
    </row>
    <row r="31" customHeight="1" spans="1:46">
      <c r="A31" s="4">
        <v>0.0289979</v>
      </c>
      <c r="B31" s="4">
        <v>0.0294239</v>
      </c>
      <c r="C31" s="4">
        <v>20371400000000</v>
      </c>
      <c r="D31" s="4">
        <v>656232000</v>
      </c>
      <c r="E31" s="4">
        <v>0</v>
      </c>
      <c r="F31" s="4">
        <v>0</v>
      </c>
      <c r="G31" s="4">
        <v>2</v>
      </c>
      <c r="H31" s="4">
        <v>4446890000000</v>
      </c>
      <c r="I31" s="4">
        <v>3336360000000</v>
      </c>
      <c r="J31" s="4">
        <v>3518360000000</v>
      </c>
      <c r="K31" s="4">
        <v>3223180000000</v>
      </c>
      <c r="L31" s="4">
        <v>5845850000000</v>
      </c>
      <c r="M31" s="4"/>
      <c r="N31" s="4">
        <v>0.0289701</v>
      </c>
      <c r="O31" s="4">
        <v>0.0293962</v>
      </c>
      <c r="P31" s="4">
        <v>19413500000000</v>
      </c>
      <c r="Q31" s="4">
        <v>554278000</v>
      </c>
      <c r="R31" s="4">
        <v>0</v>
      </c>
      <c r="S31" s="4">
        <v>0</v>
      </c>
      <c r="T31" s="4">
        <v>2</v>
      </c>
      <c r="U31" s="4">
        <v>3555680000000</v>
      </c>
      <c r="V31" s="4">
        <v>2616810000000</v>
      </c>
      <c r="W31" s="4">
        <v>2871360000000</v>
      </c>
      <c r="X31" s="4">
        <v>2737840000000</v>
      </c>
      <c r="Y31" s="4">
        <v>7630940000000</v>
      </c>
      <c r="Z31" s="4"/>
      <c r="AA31" s="4">
        <v>0.029043</v>
      </c>
      <c r="AB31" s="4">
        <v>0.0294477</v>
      </c>
      <c r="AC31" s="4">
        <v>21911800000000</v>
      </c>
      <c r="AD31" s="4">
        <v>274627000</v>
      </c>
      <c r="AE31" s="4">
        <v>0</v>
      </c>
      <c r="AF31" s="4">
        <v>0</v>
      </c>
      <c r="AG31" s="4">
        <v>2</v>
      </c>
      <c r="AH31" s="4">
        <v>4590360000000</v>
      </c>
      <c r="AI31" s="4">
        <v>4309140000000</v>
      </c>
      <c r="AJ31" s="4">
        <v>4261390000000</v>
      </c>
      <c r="AK31" s="4">
        <v>4054900000000</v>
      </c>
      <c r="AL31" s="4">
        <v>4695910000000</v>
      </c>
      <c r="AM31" s="4"/>
      <c r="AN31" s="4">
        <f t="shared" si="0"/>
        <v>0.0289979</v>
      </c>
      <c r="AO31" s="4">
        <f t="shared" si="1"/>
        <v>20565566666666.7</v>
      </c>
      <c r="AP31" s="4">
        <f t="shared" si="2"/>
        <v>19413500000000</v>
      </c>
      <c r="AQ31" s="4">
        <f t="shared" si="3"/>
        <v>21911800000000</v>
      </c>
      <c r="AR31" s="5">
        <f t="shared" si="4"/>
        <v>6057566666666.67</v>
      </c>
      <c r="AS31" s="5">
        <f t="shared" si="5"/>
        <v>4695910000000</v>
      </c>
      <c r="AT31" s="5">
        <f t="shared" si="6"/>
        <v>7630940000000</v>
      </c>
    </row>
    <row r="32" customHeight="1" spans="1:46">
      <c r="A32" s="4">
        <v>0.0300238</v>
      </c>
      <c r="B32" s="4">
        <v>0.0304274</v>
      </c>
      <c r="C32" s="4">
        <v>20155200000000</v>
      </c>
      <c r="D32" s="4">
        <v>499718000</v>
      </c>
      <c r="E32" s="4">
        <v>0</v>
      </c>
      <c r="F32" s="4">
        <v>0</v>
      </c>
      <c r="G32" s="4">
        <v>2</v>
      </c>
      <c r="H32" s="4">
        <v>4084830000000</v>
      </c>
      <c r="I32" s="4">
        <v>3023820000000</v>
      </c>
      <c r="J32" s="4">
        <v>3263580000000</v>
      </c>
      <c r="K32" s="4">
        <v>2971320000000</v>
      </c>
      <c r="L32" s="4">
        <v>6811110000000</v>
      </c>
      <c r="M32" s="4"/>
      <c r="N32" s="4">
        <v>0.0300091</v>
      </c>
      <c r="O32" s="4">
        <v>0.0304198</v>
      </c>
      <c r="P32" s="4">
        <v>19420400000000</v>
      </c>
      <c r="Q32" s="4">
        <v>553049000</v>
      </c>
      <c r="R32" s="4">
        <v>0</v>
      </c>
      <c r="S32" s="4">
        <v>0</v>
      </c>
      <c r="T32" s="4">
        <v>2</v>
      </c>
      <c r="U32" s="4">
        <v>3684660000000</v>
      </c>
      <c r="V32" s="4">
        <v>2869030000000</v>
      </c>
      <c r="W32" s="4">
        <v>2843980000000</v>
      </c>
      <c r="X32" s="4">
        <v>2772340000000</v>
      </c>
      <c r="Y32" s="4">
        <v>7250080000000</v>
      </c>
      <c r="Z32" s="4"/>
      <c r="AA32" s="4">
        <v>0.0300196</v>
      </c>
      <c r="AB32" s="4">
        <v>0.0304808</v>
      </c>
      <c r="AC32" s="4">
        <v>21319900000000</v>
      </c>
      <c r="AD32" s="4">
        <v>260674000</v>
      </c>
      <c r="AE32" s="4">
        <v>0</v>
      </c>
      <c r="AF32" s="4">
        <v>0</v>
      </c>
      <c r="AG32" s="4">
        <v>2</v>
      </c>
      <c r="AH32" s="4">
        <v>3768230000000</v>
      </c>
      <c r="AI32" s="4">
        <v>3821990000000</v>
      </c>
      <c r="AJ32" s="4">
        <v>4179390000000</v>
      </c>
      <c r="AK32" s="4">
        <v>4036920000000</v>
      </c>
      <c r="AL32" s="4">
        <v>5513150000000</v>
      </c>
      <c r="AM32" s="4"/>
      <c r="AN32" s="4">
        <f t="shared" si="0"/>
        <v>0.0300238</v>
      </c>
      <c r="AO32" s="4">
        <f t="shared" si="1"/>
        <v>20298500000000</v>
      </c>
      <c r="AP32" s="4">
        <f t="shared" si="2"/>
        <v>19420400000000</v>
      </c>
      <c r="AQ32" s="4">
        <f t="shared" si="3"/>
        <v>21319900000000</v>
      </c>
      <c r="AR32" s="5">
        <f t="shared" si="4"/>
        <v>6524780000000</v>
      </c>
      <c r="AS32" s="5">
        <f t="shared" si="5"/>
        <v>5513150000000</v>
      </c>
      <c r="AT32" s="5">
        <f t="shared" si="6"/>
        <v>7250080000000</v>
      </c>
    </row>
    <row r="33" customHeight="1" spans="1:46">
      <c r="A33" s="4">
        <v>0.0309763</v>
      </c>
      <c r="B33" s="4">
        <v>0.0314271</v>
      </c>
      <c r="C33" s="4">
        <v>20250800000000</v>
      </c>
      <c r="D33" s="4">
        <v>517855000</v>
      </c>
      <c r="E33" s="4">
        <v>0</v>
      </c>
      <c r="F33" s="4">
        <v>0</v>
      </c>
      <c r="G33" s="4">
        <v>2</v>
      </c>
      <c r="H33" s="4">
        <v>4071930000000</v>
      </c>
      <c r="I33" s="4">
        <v>3061550000000</v>
      </c>
      <c r="J33" s="4">
        <v>3055430000000</v>
      </c>
      <c r="K33" s="4">
        <v>2979710000000</v>
      </c>
      <c r="L33" s="4">
        <v>7081670000000</v>
      </c>
      <c r="M33" s="4"/>
      <c r="N33" s="4">
        <v>0.0309876</v>
      </c>
      <c r="O33" s="4">
        <v>0.0313991</v>
      </c>
      <c r="P33" s="4">
        <v>19462500000000</v>
      </c>
      <c r="Q33" s="4">
        <v>452543000</v>
      </c>
      <c r="R33" s="4">
        <v>0</v>
      </c>
      <c r="S33" s="4">
        <v>0</v>
      </c>
      <c r="T33" s="4">
        <v>2</v>
      </c>
      <c r="U33" s="4">
        <v>3655940000000</v>
      </c>
      <c r="V33" s="4">
        <v>2745530000000</v>
      </c>
      <c r="W33" s="4">
        <v>2888990000000</v>
      </c>
      <c r="X33" s="4">
        <v>2830700000000</v>
      </c>
      <c r="Y33" s="4">
        <v>7340400000000</v>
      </c>
      <c r="Z33" s="4"/>
      <c r="AA33" s="4">
        <v>0.0310303</v>
      </c>
      <c r="AB33" s="4">
        <v>0.0314974</v>
      </c>
      <c r="AC33" s="4">
        <v>22180500000000</v>
      </c>
      <c r="AD33" s="4">
        <v>332878000</v>
      </c>
      <c r="AE33" s="4">
        <v>0</v>
      </c>
      <c r="AF33" s="4">
        <v>0</v>
      </c>
      <c r="AG33" s="4">
        <v>2</v>
      </c>
      <c r="AH33" s="4">
        <v>4118130000000</v>
      </c>
      <c r="AI33" s="4">
        <v>3782280000000</v>
      </c>
      <c r="AJ33" s="4">
        <v>4216260000000</v>
      </c>
      <c r="AK33" s="4">
        <v>3591870000000</v>
      </c>
      <c r="AL33" s="4">
        <v>6471490000000</v>
      </c>
      <c r="AM33" s="4"/>
      <c r="AN33" s="4">
        <f t="shared" si="0"/>
        <v>0.0309763</v>
      </c>
      <c r="AO33" s="4">
        <f t="shared" si="1"/>
        <v>20631266666666.7</v>
      </c>
      <c r="AP33" s="4">
        <f t="shared" si="2"/>
        <v>19462500000000</v>
      </c>
      <c r="AQ33" s="4">
        <f t="shared" si="3"/>
        <v>22180500000000</v>
      </c>
      <c r="AR33" s="5">
        <f t="shared" si="4"/>
        <v>6964520000000</v>
      </c>
      <c r="AS33" s="5">
        <f t="shared" si="5"/>
        <v>6471490000000</v>
      </c>
      <c r="AT33" s="5">
        <f t="shared" si="6"/>
        <v>7340400000000</v>
      </c>
    </row>
    <row r="34" customHeight="1" spans="1:46">
      <c r="A34" s="4">
        <v>0.0320282</v>
      </c>
      <c r="B34" s="4">
        <v>0.0324299</v>
      </c>
      <c r="C34" s="4">
        <v>20230800000000</v>
      </c>
      <c r="D34" s="4">
        <v>379534000</v>
      </c>
      <c r="E34" s="4">
        <v>0</v>
      </c>
      <c r="F34" s="4">
        <v>0</v>
      </c>
      <c r="G34" s="4">
        <v>2</v>
      </c>
      <c r="H34" s="4">
        <v>4234360000000</v>
      </c>
      <c r="I34" s="4">
        <v>3166500000000</v>
      </c>
      <c r="J34" s="4">
        <v>3269250000000</v>
      </c>
      <c r="K34" s="4">
        <v>3343190000000</v>
      </c>
      <c r="L34" s="4">
        <v>6217090000000</v>
      </c>
      <c r="M34" s="4"/>
      <c r="N34" s="4">
        <v>0.0319939</v>
      </c>
      <c r="O34" s="4">
        <v>0.0323918</v>
      </c>
      <c r="P34" s="4">
        <v>19352900000000</v>
      </c>
      <c r="Q34" s="4">
        <v>362891000</v>
      </c>
      <c r="R34" s="4">
        <v>0</v>
      </c>
      <c r="S34" s="4">
        <v>0</v>
      </c>
      <c r="T34" s="4">
        <v>2</v>
      </c>
      <c r="U34" s="4">
        <v>3820870000000</v>
      </c>
      <c r="V34" s="4">
        <v>2800030000000</v>
      </c>
      <c r="W34" s="4">
        <v>2974900000000</v>
      </c>
      <c r="X34" s="4">
        <v>2912330000000</v>
      </c>
      <c r="Y34" s="4">
        <v>6844460000000</v>
      </c>
      <c r="Z34" s="4"/>
      <c r="AA34" s="4">
        <v>0.0320287</v>
      </c>
      <c r="AB34" s="4">
        <v>0.0324572</v>
      </c>
      <c r="AC34" s="4">
        <v>21714000000000</v>
      </c>
      <c r="AD34" s="4">
        <v>290790000</v>
      </c>
      <c r="AE34" s="4">
        <v>0</v>
      </c>
      <c r="AF34" s="4">
        <v>0</v>
      </c>
      <c r="AG34" s="4">
        <v>2</v>
      </c>
      <c r="AH34" s="4">
        <v>4257710000000</v>
      </c>
      <c r="AI34" s="4">
        <v>3675960000000</v>
      </c>
      <c r="AJ34" s="4">
        <v>4609290000000</v>
      </c>
      <c r="AK34" s="4">
        <v>3358370000000</v>
      </c>
      <c r="AL34" s="4">
        <v>5812560000000</v>
      </c>
      <c r="AM34" s="4"/>
      <c r="AN34" s="4">
        <f t="shared" si="0"/>
        <v>0.0320282</v>
      </c>
      <c r="AO34" s="4">
        <f t="shared" si="1"/>
        <v>20432566666666.7</v>
      </c>
      <c r="AP34" s="4">
        <f t="shared" si="2"/>
        <v>19352900000000</v>
      </c>
      <c r="AQ34" s="4">
        <f t="shared" si="3"/>
        <v>21714000000000</v>
      </c>
      <c r="AR34" s="5">
        <f t="shared" si="4"/>
        <v>6291370000000</v>
      </c>
      <c r="AS34" s="5">
        <f t="shared" si="5"/>
        <v>5812560000000</v>
      </c>
      <c r="AT34" s="5">
        <f t="shared" si="6"/>
        <v>6844460000000</v>
      </c>
    </row>
    <row r="35" customHeight="1" spans="1:46">
      <c r="A35" s="4">
        <v>0.0330144</v>
      </c>
      <c r="B35" s="4">
        <v>0.0334492</v>
      </c>
      <c r="C35" s="4">
        <v>20183500000000</v>
      </c>
      <c r="D35" s="4">
        <v>1322300000</v>
      </c>
      <c r="E35" s="4">
        <v>0</v>
      </c>
      <c r="F35" s="4">
        <v>0</v>
      </c>
      <c r="G35" s="4">
        <v>2</v>
      </c>
      <c r="H35" s="4">
        <v>3964910000000</v>
      </c>
      <c r="I35" s="4">
        <v>3147650000000</v>
      </c>
      <c r="J35" s="4">
        <v>3357340000000</v>
      </c>
      <c r="K35" s="4">
        <v>3275720000000</v>
      </c>
      <c r="L35" s="4">
        <v>6437330000000</v>
      </c>
      <c r="M35" s="4"/>
      <c r="N35" s="4">
        <v>0.0330188</v>
      </c>
      <c r="O35" s="4">
        <v>0.0333524</v>
      </c>
      <c r="P35" s="4">
        <v>19130800000000</v>
      </c>
      <c r="Q35" s="4">
        <v>691181000</v>
      </c>
      <c r="R35" s="4">
        <v>0</v>
      </c>
      <c r="S35" s="4">
        <v>0</v>
      </c>
      <c r="T35" s="4">
        <v>2</v>
      </c>
      <c r="U35" s="4">
        <v>3868700000000</v>
      </c>
      <c r="V35" s="4">
        <v>2994660000000</v>
      </c>
      <c r="W35" s="4">
        <v>3011930000000</v>
      </c>
      <c r="X35" s="4">
        <v>2902870000000</v>
      </c>
      <c r="Y35" s="4">
        <v>6352390000000</v>
      </c>
      <c r="Z35" s="4"/>
      <c r="AA35" s="4">
        <v>0.0330272</v>
      </c>
      <c r="AB35" s="4">
        <v>0.0334486</v>
      </c>
      <c r="AC35" s="4">
        <v>21443600000000</v>
      </c>
      <c r="AD35" s="4">
        <v>440948000</v>
      </c>
      <c r="AE35" s="4">
        <v>0</v>
      </c>
      <c r="AF35" s="4">
        <v>0</v>
      </c>
      <c r="AG35" s="4">
        <v>2</v>
      </c>
      <c r="AH35" s="4">
        <v>4278410000000</v>
      </c>
      <c r="AI35" s="4">
        <v>4067770000000</v>
      </c>
      <c r="AJ35" s="4">
        <v>4248680000000</v>
      </c>
      <c r="AK35" s="4">
        <v>3394950000000</v>
      </c>
      <c r="AL35" s="4">
        <v>5453590000000</v>
      </c>
      <c r="AM35" s="4"/>
      <c r="AN35" s="4">
        <f t="shared" si="0"/>
        <v>0.0330144</v>
      </c>
      <c r="AO35" s="4">
        <f t="shared" si="1"/>
        <v>20252633333333.3</v>
      </c>
      <c r="AP35" s="4">
        <f t="shared" si="2"/>
        <v>19130800000000</v>
      </c>
      <c r="AQ35" s="4">
        <f t="shared" si="3"/>
        <v>21443600000000</v>
      </c>
      <c r="AR35" s="5">
        <f t="shared" si="4"/>
        <v>6081103333333.33</v>
      </c>
      <c r="AS35" s="5">
        <f t="shared" si="5"/>
        <v>5453590000000</v>
      </c>
      <c r="AT35" s="5">
        <f t="shared" si="6"/>
        <v>6437330000000</v>
      </c>
    </row>
    <row r="36" customHeight="1" spans="1:46">
      <c r="A36" s="4">
        <v>0.034017</v>
      </c>
      <c r="B36" s="4">
        <v>0.0344653</v>
      </c>
      <c r="C36" s="4">
        <v>20142200000000</v>
      </c>
      <c r="D36" s="4">
        <v>558207000</v>
      </c>
      <c r="E36" s="4">
        <v>0</v>
      </c>
      <c r="F36" s="4">
        <v>0</v>
      </c>
      <c r="G36" s="4">
        <v>2</v>
      </c>
      <c r="H36" s="4">
        <v>3925150000000</v>
      </c>
      <c r="I36" s="4">
        <v>3054010000000</v>
      </c>
      <c r="J36" s="4">
        <v>3243430000000</v>
      </c>
      <c r="K36" s="4">
        <v>3074060000000</v>
      </c>
      <c r="L36" s="4">
        <v>6844920000000</v>
      </c>
      <c r="M36" s="4"/>
      <c r="N36" s="4">
        <v>0.0340156</v>
      </c>
      <c r="O36" s="4">
        <v>0.0343665</v>
      </c>
      <c r="P36" s="4">
        <v>19018100000000</v>
      </c>
      <c r="Q36" s="4">
        <v>394426000</v>
      </c>
      <c r="R36" s="4">
        <v>0</v>
      </c>
      <c r="S36" s="4">
        <v>0</v>
      </c>
      <c r="T36" s="4">
        <v>2</v>
      </c>
      <c r="U36" s="4">
        <v>3484820000000</v>
      </c>
      <c r="V36" s="4">
        <v>2762930000000</v>
      </c>
      <c r="W36" s="4">
        <v>2759180000000</v>
      </c>
      <c r="X36" s="4">
        <v>2670030000000</v>
      </c>
      <c r="Y36" s="4">
        <v>7340610000000</v>
      </c>
      <c r="Z36" s="4"/>
      <c r="AA36" s="4">
        <v>0.0340178</v>
      </c>
      <c r="AB36" s="4">
        <v>0.0344414</v>
      </c>
      <c r="AC36" s="4">
        <v>21489000000000</v>
      </c>
      <c r="AD36" s="4">
        <v>377292000</v>
      </c>
      <c r="AE36" s="4">
        <v>0</v>
      </c>
      <c r="AF36" s="4">
        <v>0</v>
      </c>
      <c r="AG36" s="4">
        <v>2</v>
      </c>
      <c r="AH36" s="4">
        <v>4490040000000</v>
      </c>
      <c r="AI36" s="4">
        <v>4201620000000</v>
      </c>
      <c r="AJ36" s="4">
        <v>4068270000000</v>
      </c>
      <c r="AK36" s="4">
        <v>3465680000000</v>
      </c>
      <c r="AL36" s="4">
        <v>5263210000000</v>
      </c>
      <c r="AM36" s="4"/>
      <c r="AN36" s="4">
        <f t="shared" si="0"/>
        <v>0.034017</v>
      </c>
      <c r="AO36" s="4">
        <f t="shared" si="1"/>
        <v>20216433333333.3</v>
      </c>
      <c r="AP36" s="4">
        <f t="shared" si="2"/>
        <v>19018100000000</v>
      </c>
      <c r="AQ36" s="4">
        <f t="shared" si="3"/>
        <v>21489000000000</v>
      </c>
      <c r="AR36" s="5">
        <f t="shared" si="4"/>
        <v>6482913333333.33</v>
      </c>
      <c r="AS36" s="5">
        <f t="shared" si="5"/>
        <v>5263210000000</v>
      </c>
      <c r="AT36" s="5">
        <f t="shared" si="6"/>
        <v>7340610000000</v>
      </c>
    </row>
    <row r="37" customHeight="1" spans="1:46">
      <c r="A37" s="4">
        <v>0.0349789</v>
      </c>
      <c r="B37" s="4">
        <v>0.0353954</v>
      </c>
      <c r="C37" s="4">
        <v>20126000000000</v>
      </c>
      <c r="D37" s="4">
        <v>610962000</v>
      </c>
      <c r="E37" s="4">
        <v>0</v>
      </c>
      <c r="F37" s="4">
        <v>0</v>
      </c>
      <c r="G37" s="4">
        <v>2</v>
      </c>
      <c r="H37" s="4">
        <v>4069930000000</v>
      </c>
      <c r="I37" s="4">
        <v>3325170000000</v>
      </c>
      <c r="J37" s="4">
        <v>3284330000000</v>
      </c>
      <c r="K37" s="4">
        <v>2871670000000</v>
      </c>
      <c r="L37" s="4">
        <v>6574210000000</v>
      </c>
      <c r="M37" s="4"/>
      <c r="N37" s="4">
        <v>0.0350148</v>
      </c>
      <c r="O37" s="4">
        <v>0.0353506</v>
      </c>
      <c r="P37" s="4">
        <v>18948200000000</v>
      </c>
      <c r="Q37" s="4">
        <v>451198000</v>
      </c>
      <c r="R37" s="4">
        <v>0</v>
      </c>
      <c r="S37" s="4">
        <v>0</v>
      </c>
      <c r="T37" s="4">
        <v>2</v>
      </c>
      <c r="U37" s="4">
        <v>3422950000000</v>
      </c>
      <c r="V37" s="4">
        <v>2713840000000</v>
      </c>
      <c r="W37" s="4">
        <v>2700680000000</v>
      </c>
      <c r="X37" s="4">
        <v>2641540000000</v>
      </c>
      <c r="Y37" s="4">
        <v>7467700000000</v>
      </c>
      <c r="Z37" s="4"/>
      <c r="AA37" s="4">
        <v>0.0349856</v>
      </c>
      <c r="AB37" s="4">
        <v>0.0354123</v>
      </c>
      <c r="AC37" s="4">
        <v>20689700000000</v>
      </c>
      <c r="AD37" s="4">
        <v>537163000</v>
      </c>
      <c r="AE37" s="4">
        <v>0</v>
      </c>
      <c r="AF37" s="4">
        <v>0</v>
      </c>
      <c r="AG37" s="4">
        <v>2</v>
      </c>
      <c r="AH37" s="4">
        <v>4147230000000</v>
      </c>
      <c r="AI37" s="4">
        <v>3919990000000</v>
      </c>
      <c r="AJ37" s="4">
        <v>3662480000000</v>
      </c>
      <c r="AK37" s="4">
        <v>3391740000000</v>
      </c>
      <c r="AL37" s="4">
        <v>5568080000000</v>
      </c>
      <c r="AM37" s="4"/>
      <c r="AN37" s="4">
        <f t="shared" si="0"/>
        <v>0.0349789</v>
      </c>
      <c r="AO37" s="4">
        <f t="shared" si="1"/>
        <v>19921300000000</v>
      </c>
      <c r="AP37" s="4">
        <f t="shared" si="2"/>
        <v>18948200000000</v>
      </c>
      <c r="AQ37" s="4">
        <f t="shared" si="3"/>
        <v>20689700000000</v>
      </c>
      <c r="AR37" s="5">
        <f t="shared" si="4"/>
        <v>6536663333333.33</v>
      </c>
      <c r="AS37" s="5">
        <f t="shared" si="5"/>
        <v>5568080000000</v>
      </c>
      <c r="AT37" s="5">
        <f t="shared" si="6"/>
        <v>7467700000000</v>
      </c>
    </row>
    <row r="38" customHeight="1" spans="1:46">
      <c r="A38" s="4">
        <v>0.0360148</v>
      </c>
      <c r="B38" s="4">
        <v>0.0363911</v>
      </c>
      <c r="C38" s="4">
        <v>19633100000000</v>
      </c>
      <c r="D38" s="4">
        <v>470536000</v>
      </c>
      <c r="E38" s="4">
        <v>0</v>
      </c>
      <c r="F38" s="4">
        <v>0</v>
      </c>
      <c r="G38" s="4">
        <v>2</v>
      </c>
      <c r="H38" s="4">
        <v>3968030000000</v>
      </c>
      <c r="I38" s="4">
        <v>3092730000000</v>
      </c>
      <c r="J38" s="4">
        <v>3240140000000</v>
      </c>
      <c r="K38" s="4">
        <v>2948440000000</v>
      </c>
      <c r="L38" s="4">
        <v>6383240000000</v>
      </c>
      <c r="M38" s="4"/>
      <c r="N38" s="4">
        <v>0.0360169</v>
      </c>
      <c r="O38" s="4">
        <v>0.0363557</v>
      </c>
      <c r="P38" s="4">
        <v>18845400000000</v>
      </c>
      <c r="Q38" s="4">
        <v>776196000</v>
      </c>
      <c r="R38" s="4">
        <v>0</v>
      </c>
      <c r="S38" s="4">
        <v>0</v>
      </c>
      <c r="T38" s="4">
        <v>2</v>
      </c>
      <c r="U38" s="4">
        <v>3377030000000</v>
      </c>
      <c r="V38" s="4">
        <v>2583140000000</v>
      </c>
      <c r="W38" s="4">
        <v>2587880000000</v>
      </c>
      <c r="X38" s="4">
        <v>2600740000000</v>
      </c>
      <c r="Y38" s="4">
        <v>7696410000000</v>
      </c>
      <c r="Z38" s="4"/>
      <c r="AA38" s="4">
        <v>0.0359506</v>
      </c>
      <c r="AB38" s="4">
        <v>0.0363925</v>
      </c>
      <c r="AC38" s="4">
        <v>20784300000000</v>
      </c>
      <c r="AD38" s="4">
        <v>412195000</v>
      </c>
      <c r="AE38" s="4">
        <v>0</v>
      </c>
      <c r="AF38" s="4">
        <v>0</v>
      </c>
      <c r="AG38" s="4">
        <v>2</v>
      </c>
      <c r="AH38" s="4">
        <v>4338620000000</v>
      </c>
      <c r="AI38" s="4">
        <v>4016020000000</v>
      </c>
      <c r="AJ38" s="4">
        <v>3660360000000</v>
      </c>
      <c r="AK38" s="4">
        <v>3597880000000</v>
      </c>
      <c r="AL38" s="4">
        <v>5170270000000</v>
      </c>
      <c r="AM38" s="4"/>
      <c r="AN38" s="4">
        <f t="shared" si="0"/>
        <v>0.0360148</v>
      </c>
      <c r="AO38" s="4">
        <f t="shared" si="1"/>
        <v>19754266666666.7</v>
      </c>
      <c r="AP38" s="4">
        <f t="shared" si="2"/>
        <v>18845400000000</v>
      </c>
      <c r="AQ38" s="4">
        <f t="shared" si="3"/>
        <v>20784300000000</v>
      </c>
      <c r="AR38" s="5">
        <f t="shared" si="4"/>
        <v>6416640000000</v>
      </c>
      <c r="AS38" s="5">
        <f t="shared" si="5"/>
        <v>5170270000000</v>
      </c>
      <c r="AT38" s="5">
        <f t="shared" si="6"/>
        <v>7696410000000</v>
      </c>
    </row>
    <row r="39" customHeight="1" spans="1:46">
      <c r="A39" s="4">
        <v>0.0370154</v>
      </c>
      <c r="B39" s="4">
        <v>0.0373892</v>
      </c>
      <c r="C39" s="4">
        <v>19373100000000</v>
      </c>
      <c r="D39" s="4">
        <v>603128000</v>
      </c>
      <c r="E39" s="4">
        <v>0</v>
      </c>
      <c r="F39" s="4">
        <v>0</v>
      </c>
      <c r="G39" s="4">
        <v>2</v>
      </c>
      <c r="H39" s="4">
        <v>3715540000000</v>
      </c>
      <c r="I39" s="4">
        <v>2852640000000</v>
      </c>
      <c r="J39" s="4">
        <v>3004410000000</v>
      </c>
      <c r="K39" s="4">
        <v>2819260000000</v>
      </c>
      <c r="L39" s="4">
        <v>6981130000000</v>
      </c>
      <c r="M39" s="4"/>
      <c r="N39" s="4">
        <v>0.0369964</v>
      </c>
      <c r="O39" s="4">
        <v>0.0372907</v>
      </c>
      <c r="P39" s="4">
        <v>18758800000000</v>
      </c>
      <c r="Q39" s="4">
        <v>639252000</v>
      </c>
      <c r="R39" s="4">
        <v>0</v>
      </c>
      <c r="S39" s="4">
        <v>0</v>
      </c>
      <c r="T39" s="4">
        <v>2</v>
      </c>
      <c r="U39" s="4">
        <v>3321250000000</v>
      </c>
      <c r="V39" s="4">
        <v>2578700000000</v>
      </c>
      <c r="W39" s="4">
        <v>2598100000000</v>
      </c>
      <c r="X39" s="4">
        <v>2566270000000</v>
      </c>
      <c r="Y39" s="4">
        <v>7694310000000</v>
      </c>
      <c r="Z39" s="4"/>
      <c r="AA39" s="4">
        <v>0.0369761</v>
      </c>
      <c r="AB39" s="4">
        <v>0.0373727</v>
      </c>
      <c r="AC39" s="4">
        <v>20827300000000</v>
      </c>
      <c r="AD39" s="4">
        <v>397403000</v>
      </c>
      <c r="AE39" s="4">
        <v>0</v>
      </c>
      <c r="AF39" s="4">
        <v>0</v>
      </c>
      <c r="AG39" s="4">
        <v>2</v>
      </c>
      <c r="AH39" s="4">
        <v>4292770000000</v>
      </c>
      <c r="AI39" s="4">
        <v>3913480000000</v>
      </c>
      <c r="AJ39" s="4">
        <v>3701080000000</v>
      </c>
      <c r="AK39" s="4">
        <v>3702970000000</v>
      </c>
      <c r="AL39" s="4">
        <v>5216370000000</v>
      </c>
      <c r="AM39" s="4"/>
      <c r="AN39" s="4">
        <f t="shared" si="0"/>
        <v>0.0370154</v>
      </c>
      <c r="AO39" s="4">
        <f t="shared" si="1"/>
        <v>19653066666666.7</v>
      </c>
      <c r="AP39" s="4">
        <f t="shared" si="2"/>
        <v>18758800000000</v>
      </c>
      <c r="AQ39" s="4">
        <f t="shared" si="3"/>
        <v>20827300000000</v>
      </c>
      <c r="AR39" s="5">
        <f t="shared" si="4"/>
        <v>6630603333333.33</v>
      </c>
      <c r="AS39" s="5">
        <f t="shared" si="5"/>
        <v>5216370000000</v>
      </c>
      <c r="AT39" s="5">
        <f t="shared" si="6"/>
        <v>7694310000000</v>
      </c>
    </row>
    <row r="40" customHeight="1" spans="1:46">
      <c r="A40" s="4">
        <v>0.0380341</v>
      </c>
      <c r="B40" s="4">
        <v>0.0384381</v>
      </c>
      <c r="C40" s="4">
        <v>19676600000000</v>
      </c>
      <c r="D40" s="4">
        <v>216746000</v>
      </c>
      <c r="E40" s="4">
        <v>0</v>
      </c>
      <c r="F40" s="4">
        <v>0</v>
      </c>
      <c r="G40" s="4">
        <v>2</v>
      </c>
      <c r="H40" s="4">
        <v>3916870000000</v>
      </c>
      <c r="I40" s="4">
        <v>3183310000000</v>
      </c>
      <c r="J40" s="4">
        <v>3228740000000</v>
      </c>
      <c r="K40" s="4">
        <v>3182690000000</v>
      </c>
      <c r="L40" s="4">
        <v>6164750000000</v>
      </c>
      <c r="M40" s="4"/>
      <c r="N40" s="4">
        <v>0.0380013</v>
      </c>
      <c r="O40" s="4">
        <v>0.0382728</v>
      </c>
      <c r="P40" s="4">
        <v>18708200000000</v>
      </c>
      <c r="Q40" s="4">
        <v>1401220000</v>
      </c>
      <c r="R40" s="4">
        <v>0</v>
      </c>
      <c r="S40" s="4">
        <v>0</v>
      </c>
      <c r="T40" s="4">
        <v>2</v>
      </c>
      <c r="U40" s="4">
        <v>3314080000000</v>
      </c>
      <c r="V40" s="4">
        <v>2623930000000</v>
      </c>
      <c r="W40" s="4">
        <v>2660220000000</v>
      </c>
      <c r="X40" s="4">
        <v>2606700000000</v>
      </c>
      <c r="Y40" s="4">
        <v>7503230000000</v>
      </c>
      <c r="Z40" s="4"/>
      <c r="AA40" s="4">
        <v>0.0380062</v>
      </c>
      <c r="AB40" s="4">
        <v>0.0384146</v>
      </c>
      <c r="AC40" s="4">
        <v>20697900000000</v>
      </c>
      <c r="AD40" s="4">
        <v>327762000</v>
      </c>
      <c r="AE40" s="4">
        <v>0</v>
      </c>
      <c r="AF40" s="4">
        <v>0</v>
      </c>
      <c r="AG40" s="4">
        <v>2</v>
      </c>
      <c r="AH40" s="4">
        <v>4808310000000</v>
      </c>
      <c r="AI40" s="4">
        <v>3859670000000</v>
      </c>
      <c r="AJ40" s="4">
        <v>3621730000000</v>
      </c>
      <c r="AK40" s="4">
        <v>3436350000000</v>
      </c>
      <c r="AL40" s="4">
        <v>4971560000000</v>
      </c>
      <c r="AM40" s="4"/>
      <c r="AN40" s="4">
        <f t="shared" si="0"/>
        <v>0.0380341</v>
      </c>
      <c r="AO40" s="4">
        <f t="shared" si="1"/>
        <v>19694233333333.3</v>
      </c>
      <c r="AP40" s="4">
        <f t="shared" si="2"/>
        <v>18708200000000</v>
      </c>
      <c r="AQ40" s="4">
        <f t="shared" si="3"/>
        <v>20697900000000</v>
      </c>
      <c r="AR40" s="5">
        <f t="shared" si="4"/>
        <v>6213180000000</v>
      </c>
      <c r="AS40" s="5">
        <f t="shared" si="5"/>
        <v>4971560000000</v>
      </c>
      <c r="AT40" s="5">
        <f t="shared" si="6"/>
        <v>7503230000000</v>
      </c>
    </row>
    <row r="41" customHeight="1" spans="1:46">
      <c r="A41" s="4">
        <v>0.0390065</v>
      </c>
      <c r="B41" s="4">
        <v>0.0394318</v>
      </c>
      <c r="C41" s="4">
        <v>19848200000000</v>
      </c>
      <c r="D41" s="4">
        <v>425346000</v>
      </c>
      <c r="E41" s="4">
        <v>0</v>
      </c>
      <c r="F41" s="4">
        <v>0</v>
      </c>
      <c r="G41" s="4">
        <v>2</v>
      </c>
      <c r="H41" s="4">
        <v>3955930000000</v>
      </c>
      <c r="I41" s="4">
        <v>3196030000000</v>
      </c>
      <c r="J41" s="4">
        <v>3167330000000</v>
      </c>
      <c r="K41" s="4">
        <v>3112270000000</v>
      </c>
      <c r="L41" s="4">
        <v>6416100000000</v>
      </c>
      <c r="M41" s="4"/>
      <c r="N41" s="4">
        <v>0.0389793</v>
      </c>
      <c r="O41" s="4">
        <v>0.0392137</v>
      </c>
      <c r="P41" s="4">
        <v>18607600000000</v>
      </c>
      <c r="Q41" s="4">
        <v>1074860000</v>
      </c>
      <c r="R41" s="4">
        <v>0</v>
      </c>
      <c r="S41" s="4">
        <v>0</v>
      </c>
      <c r="T41" s="4">
        <v>2</v>
      </c>
      <c r="U41" s="4">
        <v>3281570000000</v>
      </c>
      <c r="V41" s="4">
        <v>2523170000000</v>
      </c>
      <c r="W41" s="4">
        <v>2571870000000</v>
      </c>
      <c r="X41" s="4">
        <v>2561190000000</v>
      </c>
      <c r="Y41" s="4">
        <v>7669770000000</v>
      </c>
      <c r="Z41" s="4"/>
      <c r="AA41" s="4">
        <v>0.0389758</v>
      </c>
      <c r="AB41" s="4">
        <v>0.0394117</v>
      </c>
      <c r="AC41" s="4">
        <v>20459300000000</v>
      </c>
      <c r="AD41" s="4">
        <v>445067000</v>
      </c>
      <c r="AE41" s="4">
        <v>0</v>
      </c>
      <c r="AF41" s="4">
        <v>0</v>
      </c>
      <c r="AG41" s="4">
        <v>2</v>
      </c>
      <c r="AH41" s="4">
        <v>4495360000000</v>
      </c>
      <c r="AI41" s="4">
        <v>3753160000000</v>
      </c>
      <c r="AJ41" s="4">
        <v>3958600000000</v>
      </c>
      <c r="AK41" s="4">
        <v>3604680000000</v>
      </c>
      <c r="AL41" s="4">
        <v>4647210000000</v>
      </c>
      <c r="AM41" s="4"/>
      <c r="AN41" s="4">
        <f t="shared" si="0"/>
        <v>0.0390065</v>
      </c>
      <c r="AO41" s="4">
        <f t="shared" si="1"/>
        <v>19638366666666.7</v>
      </c>
      <c r="AP41" s="4">
        <f t="shared" si="2"/>
        <v>18607600000000</v>
      </c>
      <c r="AQ41" s="4">
        <f t="shared" si="3"/>
        <v>20459300000000</v>
      </c>
      <c r="AR41" s="5">
        <f t="shared" si="4"/>
        <v>6244360000000</v>
      </c>
      <c r="AS41" s="5">
        <f t="shared" si="5"/>
        <v>4647210000000</v>
      </c>
      <c r="AT41" s="5">
        <f t="shared" si="6"/>
        <v>7669770000000</v>
      </c>
    </row>
    <row r="42" customHeight="1" spans="1:46">
      <c r="A42" s="4">
        <v>0.0400098</v>
      </c>
      <c r="B42" s="4">
        <v>0.0404317</v>
      </c>
      <c r="C42" s="4">
        <v>19928800000000</v>
      </c>
      <c r="D42" s="4">
        <v>390707000</v>
      </c>
      <c r="E42" s="4">
        <v>0</v>
      </c>
      <c r="F42" s="4">
        <v>0</v>
      </c>
      <c r="G42" s="4">
        <v>2</v>
      </c>
      <c r="H42" s="4">
        <v>3968880000000</v>
      </c>
      <c r="I42" s="4">
        <v>3202050000000</v>
      </c>
      <c r="J42" s="4">
        <v>3158000000000</v>
      </c>
      <c r="K42" s="4">
        <v>2888910000000</v>
      </c>
      <c r="L42" s="4">
        <v>6710020000000</v>
      </c>
      <c r="M42" s="4"/>
      <c r="N42" s="4">
        <v>0.0398355</v>
      </c>
      <c r="O42" s="4">
        <v>0.040083</v>
      </c>
      <c r="P42" s="4">
        <v>18574100000000</v>
      </c>
      <c r="Q42" s="4">
        <v>467728000</v>
      </c>
      <c r="R42" s="4">
        <v>0</v>
      </c>
      <c r="S42" s="4">
        <v>0</v>
      </c>
      <c r="T42" s="4">
        <v>2</v>
      </c>
      <c r="U42" s="4">
        <v>3274270000000</v>
      </c>
      <c r="V42" s="4">
        <v>2427570000000</v>
      </c>
      <c r="W42" s="4">
        <v>2518420000000</v>
      </c>
      <c r="X42" s="4">
        <v>2451200000000</v>
      </c>
      <c r="Y42" s="4">
        <v>7902650000000</v>
      </c>
      <c r="Z42" s="4"/>
      <c r="AA42" s="4">
        <v>0.0400068</v>
      </c>
      <c r="AB42" s="4">
        <v>0.0404064</v>
      </c>
      <c r="AC42" s="4">
        <v>20525900000000</v>
      </c>
      <c r="AD42" s="4">
        <v>475811000</v>
      </c>
      <c r="AE42" s="4">
        <v>0</v>
      </c>
      <c r="AF42" s="4">
        <v>0</v>
      </c>
      <c r="AG42" s="4">
        <v>2</v>
      </c>
      <c r="AH42" s="4">
        <v>4227960000000</v>
      </c>
      <c r="AI42" s="4">
        <v>3673390000000</v>
      </c>
      <c r="AJ42" s="4">
        <v>3974810000000</v>
      </c>
      <c r="AK42" s="4">
        <v>3842920000000</v>
      </c>
      <c r="AL42" s="4">
        <v>4806610000000</v>
      </c>
      <c r="AM42" s="4"/>
      <c r="AN42" s="4">
        <f t="shared" si="0"/>
        <v>0.0400098</v>
      </c>
      <c r="AO42" s="4">
        <f t="shared" si="1"/>
        <v>19676266666666.7</v>
      </c>
      <c r="AP42" s="4">
        <f t="shared" si="2"/>
        <v>18574100000000</v>
      </c>
      <c r="AQ42" s="4">
        <f t="shared" si="3"/>
        <v>20525900000000</v>
      </c>
      <c r="AR42" s="5">
        <f t="shared" si="4"/>
        <v>6473093333333.33</v>
      </c>
      <c r="AS42" s="5">
        <f t="shared" si="5"/>
        <v>4806610000000</v>
      </c>
      <c r="AT42" s="5">
        <f t="shared" si="6"/>
        <v>7902650000000</v>
      </c>
    </row>
    <row r="43" customHeight="1" spans="1:46">
      <c r="A43" s="4">
        <v>0.0410097</v>
      </c>
      <c r="B43" s="4">
        <v>0.0414449</v>
      </c>
      <c r="C43" s="4">
        <v>20127800000000</v>
      </c>
      <c r="D43" s="4">
        <v>370496000</v>
      </c>
      <c r="E43" s="4">
        <v>0</v>
      </c>
      <c r="F43" s="4">
        <v>0</v>
      </c>
      <c r="G43" s="4">
        <v>2</v>
      </c>
      <c r="H43" s="4">
        <v>3971670000000</v>
      </c>
      <c r="I43" s="4">
        <v>3161500000000</v>
      </c>
      <c r="J43" s="4">
        <v>3269850000000</v>
      </c>
      <c r="K43" s="4">
        <v>2918490000000</v>
      </c>
      <c r="L43" s="4">
        <v>6805270000000</v>
      </c>
      <c r="M43" s="4"/>
      <c r="N43" s="4">
        <v>0.0410459</v>
      </c>
      <c r="O43" s="4">
        <v>0.0412769</v>
      </c>
      <c r="P43" s="4">
        <v>18558000000000</v>
      </c>
      <c r="Q43" s="4">
        <v>1379550000</v>
      </c>
      <c r="R43" s="4">
        <v>0</v>
      </c>
      <c r="S43" s="4">
        <v>0</v>
      </c>
      <c r="T43" s="4">
        <v>2</v>
      </c>
      <c r="U43" s="4">
        <v>3269970000000</v>
      </c>
      <c r="V43" s="4">
        <v>2477420000000</v>
      </c>
      <c r="W43" s="4">
        <v>2539600000000</v>
      </c>
      <c r="X43" s="4">
        <v>2485080000000</v>
      </c>
      <c r="Y43" s="4">
        <v>7785960000000</v>
      </c>
      <c r="Z43" s="4"/>
      <c r="AA43" s="4">
        <v>0.040979</v>
      </c>
      <c r="AB43" s="4">
        <v>0.0414215</v>
      </c>
      <c r="AC43" s="4">
        <v>20934700000000</v>
      </c>
      <c r="AD43" s="4">
        <v>616173000</v>
      </c>
      <c r="AE43" s="4">
        <v>0</v>
      </c>
      <c r="AF43" s="4">
        <v>0</v>
      </c>
      <c r="AG43" s="4">
        <v>2</v>
      </c>
      <c r="AH43" s="4">
        <v>4410600000000</v>
      </c>
      <c r="AI43" s="4">
        <v>3629020000000</v>
      </c>
      <c r="AJ43" s="4">
        <v>4003580000000</v>
      </c>
      <c r="AK43" s="4">
        <v>4124370000000</v>
      </c>
      <c r="AL43" s="4">
        <v>4766820000000</v>
      </c>
      <c r="AM43" s="4"/>
      <c r="AN43" s="4">
        <f t="shared" si="0"/>
        <v>0.0410097</v>
      </c>
      <c r="AO43" s="4">
        <f t="shared" si="1"/>
        <v>19873500000000</v>
      </c>
      <c r="AP43" s="4">
        <f t="shared" si="2"/>
        <v>18558000000000</v>
      </c>
      <c r="AQ43" s="4">
        <f t="shared" si="3"/>
        <v>20934700000000</v>
      </c>
      <c r="AR43" s="5">
        <f t="shared" si="4"/>
        <v>6452683333333.33</v>
      </c>
      <c r="AS43" s="5">
        <f t="shared" si="5"/>
        <v>4766820000000</v>
      </c>
      <c r="AT43" s="5">
        <f t="shared" si="6"/>
        <v>7785960000000</v>
      </c>
    </row>
    <row r="44" customHeight="1" spans="1:46">
      <c r="A44" s="4">
        <v>0.0419505</v>
      </c>
      <c r="B44" s="4">
        <v>0.0423567</v>
      </c>
      <c r="C44" s="4">
        <v>19951900000000</v>
      </c>
      <c r="D44" s="4">
        <v>405829000</v>
      </c>
      <c r="E44" s="4">
        <v>0</v>
      </c>
      <c r="F44" s="4">
        <v>0</v>
      </c>
      <c r="G44" s="4">
        <v>2</v>
      </c>
      <c r="H44" s="4">
        <v>3916270000000</v>
      </c>
      <c r="I44" s="4">
        <v>2877020000000</v>
      </c>
      <c r="J44" s="4">
        <v>3115890000000</v>
      </c>
      <c r="K44" s="4">
        <v>2820200000000</v>
      </c>
      <c r="L44" s="4">
        <v>7221590000000</v>
      </c>
      <c r="M44" s="4"/>
      <c r="N44" s="4">
        <v>0.0419991</v>
      </c>
      <c r="O44" s="4">
        <v>0.0422256</v>
      </c>
      <c r="P44" s="4">
        <v>18537800000000</v>
      </c>
      <c r="Q44" s="4">
        <v>689387000</v>
      </c>
      <c r="R44" s="4">
        <v>0</v>
      </c>
      <c r="S44" s="4">
        <v>0</v>
      </c>
      <c r="T44" s="4">
        <v>2</v>
      </c>
      <c r="U44" s="4">
        <v>3284880000000</v>
      </c>
      <c r="V44" s="4">
        <v>2483390000000</v>
      </c>
      <c r="W44" s="4">
        <v>2540570000000</v>
      </c>
      <c r="X44" s="4">
        <v>2499520000000</v>
      </c>
      <c r="Y44" s="4">
        <v>7729350000000</v>
      </c>
      <c r="Z44" s="4"/>
      <c r="AA44" s="4">
        <v>0.0419876</v>
      </c>
      <c r="AB44" s="4">
        <v>0.0424255</v>
      </c>
      <c r="AC44" s="4">
        <v>20707500000000</v>
      </c>
      <c r="AD44" s="4">
        <v>235274000</v>
      </c>
      <c r="AE44" s="4">
        <v>0</v>
      </c>
      <c r="AF44" s="4">
        <v>0</v>
      </c>
      <c r="AG44" s="4">
        <v>2</v>
      </c>
      <c r="AH44" s="4">
        <v>4569790000000</v>
      </c>
      <c r="AI44" s="4">
        <v>3711440000000</v>
      </c>
      <c r="AJ44" s="4">
        <v>3697040000000</v>
      </c>
      <c r="AK44" s="4">
        <v>3661300000000</v>
      </c>
      <c r="AL44" s="4">
        <v>5067730000000</v>
      </c>
      <c r="AM44" s="4"/>
      <c r="AN44" s="4">
        <f t="shared" si="0"/>
        <v>0.0419505</v>
      </c>
      <c r="AO44" s="4">
        <f t="shared" si="1"/>
        <v>19732400000000</v>
      </c>
      <c r="AP44" s="4">
        <f t="shared" si="2"/>
        <v>18537800000000</v>
      </c>
      <c r="AQ44" s="4">
        <f t="shared" si="3"/>
        <v>20707500000000</v>
      </c>
      <c r="AR44" s="5">
        <f t="shared" si="4"/>
        <v>6672890000000</v>
      </c>
      <c r="AS44" s="5">
        <f t="shared" si="5"/>
        <v>5067730000000</v>
      </c>
      <c r="AT44" s="5">
        <f t="shared" si="6"/>
        <v>7729350000000</v>
      </c>
    </row>
    <row r="45" customHeight="1" spans="1:46">
      <c r="A45" s="4">
        <v>0.0429866</v>
      </c>
      <c r="B45" s="4">
        <v>0.0434148</v>
      </c>
      <c r="C45" s="4">
        <v>19710600000000</v>
      </c>
      <c r="D45" s="4">
        <v>454890000</v>
      </c>
      <c r="E45" s="4">
        <v>0</v>
      </c>
      <c r="F45" s="4">
        <v>0</v>
      </c>
      <c r="G45" s="4">
        <v>2</v>
      </c>
      <c r="H45" s="4">
        <v>3672990000000</v>
      </c>
      <c r="I45" s="4">
        <v>2922460000000</v>
      </c>
      <c r="J45" s="4">
        <v>2957340000000</v>
      </c>
      <c r="K45" s="4">
        <v>2844420000000</v>
      </c>
      <c r="L45" s="4">
        <v>7312740000000</v>
      </c>
      <c r="M45" s="4"/>
      <c r="N45" s="4">
        <v>0.0429978</v>
      </c>
      <c r="O45" s="4">
        <v>0.0432409</v>
      </c>
      <c r="P45" s="4">
        <v>18536700000000</v>
      </c>
      <c r="Q45" s="4">
        <v>1303320000</v>
      </c>
      <c r="R45" s="4">
        <v>0</v>
      </c>
      <c r="S45" s="4">
        <v>0</v>
      </c>
      <c r="T45" s="4">
        <v>2</v>
      </c>
      <c r="U45" s="4">
        <v>3261540000000</v>
      </c>
      <c r="V45" s="4">
        <v>2443280000000</v>
      </c>
      <c r="W45" s="4">
        <v>2519250000000</v>
      </c>
      <c r="X45" s="4">
        <v>2466270000000</v>
      </c>
      <c r="Y45" s="4">
        <v>7845970000000</v>
      </c>
      <c r="Z45" s="4"/>
      <c r="AA45" s="4">
        <v>0.0430154</v>
      </c>
      <c r="AB45" s="4">
        <v>0.0434624</v>
      </c>
      <c r="AC45" s="4">
        <v>20842900000000</v>
      </c>
      <c r="AD45" s="4">
        <v>384894000</v>
      </c>
      <c r="AE45" s="4">
        <v>0</v>
      </c>
      <c r="AF45" s="4">
        <v>0</v>
      </c>
      <c r="AG45" s="4">
        <v>2</v>
      </c>
      <c r="AH45" s="4">
        <v>4563440000000</v>
      </c>
      <c r="AI45" s="4">
        <v>3709450000000</v>
      </c>
      <c r="AJ45" s="4">
        <v>3888530000000</v>
      </c>
      <c r="AK45" s="4">
        <v>3970560000000</v>
      </c>
      <c r="AL45" s="4">
        <v>4710850000000</v>
      </c>
      <c r="AM45" s="4"/>
      <c r="AN45" s="4">
        <f t="shared" si="0"/>
        <v>0.0429866</v>
      </c>
      <c r="AO45" s="4">
        <f t="shared" si="1"/>
        <v>19696733333333.3</v>
      </c>
      <c r="AP45" s="4">
        <f t="shared" si="2"/>
        <v>18536700000000</v>
      </c>
      <c r="AQ45" s="4">
        <f t="shared" si="3"/>
        <v>20842900000000</v>
      </c>
      <c r="AR45" s="5">
        <f t="shared" si="4"/>
        <v>6623186666666.67</v>
      </c>
      <c r="AS45" s="5">
        <f t="shared" si="5"/>
        <v>4710850000000</v>
      </c>
      <c r="AT45" s="5">
        <f t="shared" si="6"/>
        <v>7845970000000</v>
      </c>
    </row>
    <row r="46" customHeight="1" spans="1:46">
      <c r="A46" s="4">
        <v>0.0440235</v>
      </c>
      <c r="B46" s="4">
        <v>0.0444462</v>
      </c>
      <c r="C46" s="4">
        <v>19819900000000</v>
      </c>
      <c r="D46" s="4">
        <v>501506000</v>
      </c>
      <c r="E46" s="4">
        <v>0</v>
      </c>
      <c r="F46" s="4">
        <v>0</v>
      </c>
      <c r="G46" s="4">
        <v>2</v>
      </c>
      <c r="H46" s="4">
        <v>4052400000000</v>
      </c>
      <c r="I46" s="4">
        <v>3171870000000</v>
      </c>
      <c r="J46" s="4">
        <v>3176160000000</v>
      </c>
      <c r="K46" s="4">
        <v>3133480000000</v>
      </c>
      <c r="L46" s="4">
        <v>6285610000000</v>
      </c>
      <c r="M46" s="4"/>
      <c r="N46" s="4">
        <v>0.0440065</v>
      </c>
      <c r="O46" s="4">
        <v>0.0442361</v>
      </c>
      <c r="P46" s="4">
        <v>18535500000000</v>
      </c>
      <c r="Q46" s="4">
        <v>1648480000</v>
      </c>
      <c r="R46" s="4">
        <v>0</v>
      </c>
      <c r="S46" s="4">
        <v>0</v>
      </c>
      <c r="T46" s="4">
        <v>2</v>
      </c>
      <c r="U46" s="4">
        <v>3303690000000</v>
      </c>
      <c r="V46" s="4">
        <v>2466850000000</v>
      </c>
      <c r="W46" s="4">
        <v>2549360000000</v>
      </c>
      <c r="X46" s="4">
        <v>2471030000000</v>
      </c>
      <c r="Y46" s="4">
        <v>7744500000000</v>
      </c>
      <c r="Z46" s="4"/>
      <c r="AA46" s="4">
        <v>0.0440116</v>
      </c>
      <c r="AB46" s="4">
        <v>0.0444883</v>
      </c>
      <c r="AC46" s="4">
        <v>21132400000000</v>
      </c>
      <c r="AD46" s="4">
        <v>448372000</v>
      </c>
      <c r="AE46" s="4">
        <v>0</v>
      </c>
      <c r="AF46" s="4">
        <v>0</v>
      </c>
      <c r="AG46" s="4">
        <v>2</v>
      </c>
      <c r="AH46" s="4">
        <v>4495190000000</v>
      </c>
      <c r="AI46" s="4">
        <v>3725280000000</v>
      </c>
      <c r="AJ46" s="4">
        <v>3605760000000</v>
      </c>
      <c r="AK46" s="4">
        <v>4099740000000</v>
      </c>
      <c r="AL46" s="4">
        <v>5206200000000</v>
      </c>
      <c r="AM46" s="4"/>
      <c r="AN46" s="4">
        <f t="shared" si="0"/>
        <v>0.0440235</v>
      </c>
      <c r="AO46" s="4">
        <f t="shared" si="1"/>
        <v>19829266666666.7</v>
      </c>
      <c r="AP46" s="4">
        <f t="shared" si="2"/>
        <v>18535500000000</v>
      </c>
      <c r="AQ46" s="4">
        <f t="shared" si="3"/>
        <v>21132400000000</v>
      </c>
      <c r="AR46" s="5">
        <f t="shared" si="4"/>
        <v>6412103333333.33</v>
      </c>
      <c r="AS46" s="5">
        <f t="shared" si="5"/>
        <v>5206200000000</v>
      </c>
      <c r="AT46" s="5">
        <f t="shared" si="6"/>
        <v>7744500000000</v>
      </c>
    </row>
    <row r="47" customHeight="1" spans="1:46">
      <c r="A47" s="4">
        <v>0.0449766</v>
      </c>
      <c r="B47" s="4">
        <v>0.045404</v>
      </c>
      <c r="C47" s="4">
        <v>19798800000000</v>
      </c>
      <c r="D47" s="4">
        <v>419171000</v>
      </c>
      <c r="E47" s="4">
        <v>0</v>
      </c>
      <c r="F47" s="4">
        <v>0</v>
      </c>
      <c r="G47" s="4">
        <v>2</v>
      </c>
      <c r="H47" s="4">
        <v>4030490000000</v>
      </c>
      <c r="I47" s="4">
        <v>3009210000000</v>
      </c>
      <c r="J47" s="4">
        <v>3241370000000</v>
      </c>
      <c r="K47" s="4">
        <v>3147520000000</v>
      </c>
      <c r="L47" s="4">
        <v>6369990000000</v>
      </c>
      <c r="M47" s="4"/>
      <c r="N47" s="4">
        <v>0.0449965</v>
      </c>
      <c r="O47" s="4">
        <v>0.0452378</v>
      </c>
      <c r="P47" s="4">
        <v>18557600000000</v>
      </c>
      <c r="Q47" s="4">
        <v>1125380000</v>
      </c>
      <c r="R47" s="4">
        <v>0</v>
      </c>
      <c r="S47" s="4">
        <v>0</v>
      </c>
      <c r="T47" s="4">
        <v>2</v>
      </c>
      <c r="U47" s="4">
        <v>3317610000000</v>
      </c>
      <c r="V47" s="4">
        <v>2503830000000</v>
      </c>
      <c r="W47" s="4">
        <v>2583260000000</v>
      </c>
      <c r="X47" s="4">
        <v>2501500000000</v>
      </c>
      <c r="Y47" s="4">
        <v>7651370000000</v>
      </c>
      <c r="Z47" s="4"/>
      <c r="AA47" s="4">
        <v>0.0450192</v>
      </c>
      <c r="AB47" s="4">
        <v>0.0454872</v>
      </c>
      <c r="AC47" s="4">
        <v>20741800000000</v>
      </c>
      <c r="AD47" s="4">
        <v>460887000</v>
      </c>
      <c r="AE47" s="4">
        <v>0</v>
      </c>
      <c r="AF47" s="4">
        <v>0</v>
      </c>
      <c r="AG47" s="4">
        <v>2</v>
      </c>
      <c r="AH47" s="4">
        <v>4226310000000</v>
      </c>
      <c r="AI47" s="4">
        <v>3738080000000</v>
      </c>
      <c r="AJ47" s="4">
        <v>3630490000000</v>
      </c>
      <c r="AK47" s="4">
        <v>3845510000000</v>
      </c>
      <c r="AL47" s="4">
        <v>5297890000000</v>
      </c>
      <c r="AM47" s="4"/>
      <c r="AN47" s="4">
        <f t="shared" si="0"/>
        <v>0.0449766</v>
      </c>
      <c r="AO47" s="4">
        <f t="shared" si="1"/>
        <v>19699400000000</v>
      </c>
      <c r="AP47" s="4">
        <f t="shared" si="2"/>
        <v>18557600000000</v>
      </c>
      <c r="AQ47" s="4">
        <f t="shared" si="3"/>
        <v>20741800000000</v>
      </c>
      <c r="AR47" s="5">
        <f t="shared" si="4"/>
        <v>6439750000000</v>
      </c>
      <c r="AS47" s="5">
        <f t="shared" si="5"/>
        <v>5297890000000</v>
      </c>
      <c r="AT47" s="5">
        <f t="shared" si="6"/>
        <v>7651370000000</v>
      </c>
    </row>
    <row r="48" customHeight="1" spans="1:46">
      <c r="A48" s="4">
        <v>0.0459686</v>
      </c>
      <c r="B48" s="4">
        <v>0.0463951</v>
      </c>
      <c r="C48" s="4">
        <v>19989500000000</v>
      </c>
      <c r="D48" s="4">
        <v>324776000</v>
      </c>
      <c r="E48" s="4">
        <v>0</v>
      </c>
      <c r="F48" s="4">
        <v>0</v>
      </c>
      <c r="G48" s="4">
        <v>2</v>
      </c>
      <c r="H48" s="4">
        <v>4070200000000</v>
      </c>
      <c r="I48" s="4">
        <v>3417070000000</v>
      </c>
      <c r="J48" s="4">
        <v>3293300000000</v>
      </c>
      <c r="K48" s="4">
        <v>3301590000000</v>
      </c>
      <c r="L48" s="4">
        <v>5907030000000</v>
      </c>
      <c r="M48" s="4"/>
      <c r="N48" s="4">
        <v>0.0460211</v>
      </c>
      <c r="O48" s="4">
        <v>0.0462648</v>
      </c>
      <c r="P48" s="4">
        <v>18579400000000</v>
      </c>
      <c r="Q48" s="4">
        <v>838251000</v>
      </c>
      <c r="R48" s="4">
        <v>0</v>
      </c>
      <c r="S48" s="4">
        <v>0</v>
      </c>
      <c r="T48" s="4">
        <v>2</v>
      </c>
      <c r="U48" s="4">
        <v>3320060000000</v>
      </c>
      <c r="V48" s="4">
        <v>2465090000000</v>
      </c>
      <c r="W48" s="4">
        <v>2557740000000</v>
      </c>
      <c r="X48" s="4">
        <v>2486250000000</v>
      </c>
      <c r="Y48" s="4">
        <v>7750130000000</v>
      </c>
      <c r="Z48" s="4"/>
      <c r="AA48" s="4">
        <v>0.0459989</v>
      </c>
      <c r="AB48" s="4">
        <v>0.046476</v>
      </c>
      <c r="AC48" s="4">
        <v>20881400000000</v>
      </c>
      <c r="AD48" s="4">
        <v>217644000</v>
      </c>
      <c r="AE48" s="4">
        <v>0</v>
      </c>
      <c r="AF48" s="4">
        <v>0</v>
      </c>
      <c r="AG48" s="4">
        <v>2</v>
      </c>
      <c r="AH48" s="4">
        <v>4597260000000</v>
      </c>
      <c r="AI48" s="4">
        <v>3874210000000</v>
      </c>
      <c r="AJ48" s="4">
        <v>4285050000000</v>
      </c>
      <c r="AK48" s="4">
        <v>3798280000000</v>
      </c>
      <c r="AL48" s="4">
        <v>4325450000000</v>
      </c>
      <c r="AM48" s="4"/>
      <c r="AN48" s="4">
        <f t="shared" si="0"/>
        <v>0.0459686</v>
      </c>
      <c r="AO48" s="4">
        <f t="shared" si="1"/>
        <v>19816766666666.7</v>
      </c>
      <c r="AP48" s="4">
        <f t="shared" si="2"/>
        <v>18579400000000</v>
      </c>
      <c r="AQ48" s="4">
        <f t="shared" si="3"/>
        <v>20881400000000</v>
      </c>
      <c r="AR48" s="5">
        <f t="shared" si="4"/>
        <v>5994203333333.33</v>
      </c>
      <c r="AS48" s="5">
        <f t="shared" si="5"/>
        <v>4325450000000</v>
      </c>
      <c r="AT48" s="5">
        <f t="shared" si="6"/>
        <v>7750130000000</v>
      </c>
    </row>
    <row r="49" customHeight="1" spans="1:46">
      <c r="A49" s="4">
        <v>0.0469861</v>
      </c>
      <c r="B49" s="4">
        <v>0.0474074</v>
      </c>
      <c r="C49" s="4">
        <v>20055900000000</v>
      </c>
      <c r="D49" s="4">
        <v>624894000</v>
      </c>
      <c r="E49" s="4">
        <v>0</v>
      </c>
      <c r="F49" s="4">
        <v>0</v>
      </c>
      <c r="G49" s="4">
        <v>2</v>
      </c>
      <c r="H49" s="4">
        <v>4137410000000</v>
      </c>
      <c r="I49" s="4">
        <v>3178900000000</v>
      </c>
      <c r="J49" s="4">
        <v>3526860000000</v>
      </c>
      <c r="K49" s="4">
        <v>3261860000000</v>
      </c>
      <c r="L49" s="4">
        <v>5950570000000</v>
      </c>
      <c r="M49" s="4"/>
      <c r="N49" s="4">
        <v>0.0470029</v>
      </c>
      <c r="O49" s="4">
        <v>0.0472804</v>
      </c>
      <c r="P49" s="4">
        <v>18674800000000</v>
      </c>
      <c r="Q49" s="4">
        <v>531971000</v>
      </c>
      <c r="R49" s="4">
        <v>0</v>
      </c>
      <c r="S49" s="4">
        <v>0</v>
      </c>
      <c r="T49" s="4">
        <v>2</v>
      </c>
      <c r="U49" s="4">
        <v>3385060000000</v>
      </c>
      <c r="V49" s="4">
        <v>2541780000000</v>
      </c>
      <c r="W49" s="4">
        <v>2646060000000</v>
      </c>
      <c r="X49" s="4">
        <v>2576790000000</v>
      </c>
      <c r="Y49" s="4">
        <v>7525000000000</v>
      </c>
      <c r="Z49" s="4"/>
      <c r="AA49" s="4">
        <v>0.0469977</v>
      </c>
      <c r="AB49" s="4">
        <v>0.0474296</v>
      </c>
      <c r="AC49" s="4">
        <v>20796600000000</v>
      </c>
      <c r="AD49" s="4">
        <v>241896000</v>
      </c>
      <c r="AE49" s="4">
        <v>0</v>
      </c>
      <c r="AF49" s="4">
        <v>0</v>
      </c>
      <c r="AG49" s="4">
        <v>2</v>
      </c>
      <c r="AH49" s="4">
        <v>5025650000000</v>
      </c>
      <c r="AI49" s="4">
        <v>3980130000000</v>
      </c>
      <c r="AJ49" s="4">
        <v>3998410000000</v>
      </c>
      <c r="AK49" s="4">
        <v>4016110000000</v>
      </c>
      <c r="AL49" s="4">
        <v>3776280000000</v>
      </c>
      <c r="AM49" s="4"/>
      <c r="AN49" s="4">
        <f t="shared" si="0"/>
        <v>0.0469861</v>
      </c>
      <c r="AO49" s="4">
        <f t="shared" si="1"/>
        <v>19842433333333.3</v>
      </c>
      <c r="AP49" s="4">
        <f t="shared" si="2"/>
        <v>18674800000000</v>
      </c>
      <c r="AQ49" s="4">
        <f t="shared" si="3"/>
        <v>20796600000000</v>
      </c>
      <c r="AR49" s="5">
        <f t="shared" si="4"/>
        <v>5750616666666.67</v>
      </c>
      <c r="AS49" s="5">
        <f t="shared" si="5"/>
        <v>3776280000000</v>
      </c>
      <c r="AT49" s="5">
        <f t="shared" si="6"/>
        <v>7525000000000</v>
      </c>
    </row>
    <row r="50" customHeight="1" spans="1:46">
      <c r="A50" s="4">
        <v>0.0479583</v>
      </c>
      <c r="B50" s="4">
        <v>0.0483923</v>
      </c>
      <c r="C50" s="4">
        <v>20286000000000</v>
      </c>
      <c r="D50" s="4">
        <v>528429000</v>
      </c>
      <c r="E50" s="4">
        <v>0</v>
      </c>
      <c r="F50" s="4">
        <v>0</v>
      </c>
      <c r="G50" s="4">
        <v>2</v>
      </c>
      <c r="H50" s="4">
        <v>4104900000000</v>
      </c>
      <c r="I50" s="4">
        <v>3449000000000</v>
      </c>
      <c r="J50" s="4">
        <v>3535760000000</v>
      </c>
      <c r="K50" s="4">
        <v>3323460000000</v>
      </c>
      <c r="L50" s="4">
        <v>5872500000000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>
        <v>0.0480466</v>
      </c>
      <c r="AB50" s="4">
        <v>0.0484929</v>
      </c>
      <c r="AC50" s="4">
        <v>20850100000000</v>
      </c>
      <c r="AD50" s="4">
        <v>245680000</v>
      </c>
      <c r="AE50" s="4">
        <v>0</v>
      </c>
      <c r="AF50" s="4">
        <v>0</v>
      </c>
      <c r="AG50" s="4">
        <v>2</v>
      </c>
      <c r="AH50" s="4">
        <v>4881040000000</v>
      </c>
      <c r="AI50" s="4">
        <v>4072800000000</v>
      </c>
      <c r="AJ50" s="4">
        <v>3723700000000</v>
      </c>
      <c r="AK50" s="4">
        <v>4015840000000</v>
      </c>
      <c r="AL50" s="4">
        <v>4156430000000</v>
      </c>
      <c r="AM50" s="4"/>
      <c r="AN50" s="4"/>
      <c r="AO50" s="4"/>
      <c r="AP50" s="4"/>
      <c r="AQ50" s="4"/>
      <c r="AR50" s="5"/>
      <c r="AS50" s="5"/>
      <c r="AT50" s="5"/>
    </row>
    <row r="51" customHeight="1" spans="1:46">
      <c r="A51" s="4">
        <v>0.0489754</v>
      </c>
      <c r="B51" s="4">
        <v>0.0494256</v>
      </c>
      <c r="C51" s="4">
        <v>20281600000000</v>
      </c>
      <c r="D51" s="4">
        <v>495288000</v>
      </c>
      <c r="E51" s="4">
        <v>0</v>
      </c>
      <c r="F51" s="4">
        <v>0</v>
      </c>
      <c r="G51" s="4">
        <v>2</v>
      </c>
      <c r="H51" s="4">
        <v>4121650000000</v>
      </c>
      <c r="I51" s="4">
        <v>3157860000000</v>
      </c>
      <c r="J51" s="4">
        <v>3424170000000</v>
      </c>
      <c r="K51" s="4">
        <v>3218360000000</v>
      </c>
      <c r="L51" s="4">
        <v>6355790000000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>
        <v>0.049015</v>
      </c>
      <c r="AB51" s="4">
        <v>0.0494472</v>
      </c>
      <c r="AC51" s="4">
        <v>20829100000000</v>
      </c>
      <c r="AD51" s="4">
        <v>603963000</v>
      </c>
      <c r="AE51" s="4">
        <v>0</v>
      </c>
      <c r="AF51" s="4">
        <v>0</v>
      </c>
      <c r="AG51" s="4">
        <v>2</v>
      </c>
      <c r="AH51" s="4">
        <v>4955950000000</v>
      </c>
      <c r="AI51" s="4">
        <v>3927990000000</v>
      </c>
      <c r="AJ51" s="4">
        <v>3513670000000</v>
      </c>
      <c r="AK51" s="4">
        <v>3696200000000</v>
      </c>
      <c r="AL51" s="4">
        <v>4735150000000</v>
      </c>
      <c r="AM51" s="4"/>
      <c r="AN51" s="4"/>
      <c r="AO51" s="4"/>
      <c r="AP51" s="4"/>
      <c r="AQ51" s="4"/>
      <c r="AR51" s="5"/>
      <c r="AS51" s="5"/>
      <c r="AT51" s="5"/>
    </row>
    <row r="52" customHeight="1" spans="1:46">
      <c r="A52" s="4">
        <v>0.0499946</v>
      </c>
      <c r="B52" s="4">
        <v>0.0504531</v>
      </c>
      <c r="C52" s="4">
        <v>20058400000000</v>
      </c>
      <c r="D52" s="4">
        <v>292716000</v>
      </c>
      <c r="E52" s="4">
        <v>0</v>
      </c>
      <c r="F52" s="4">
        <v>0</v>
      </c>
      <c r="G52" s="4">
        <v>2</v>
      </c>
      <c r="H52" s="4">
        <v>3979580000000</v>
      </c>
      <c r="I52" s="4">
        <v>3205280000000</v>
      </c>
      <c r="J52" s="4">
        <v>3357560000000</v>
      </c>
      <c r="K52" s="4">
        <v>3145460000000</v>
      </c>
      <c r="L52" s="4">
        <v>6370130000000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>
        <v>0.05004</v>
      </c>
      <c r="AB52" s="4">
        <v>0.0504657</v>
      </c>
      <c r="AC52" s="4">
        <v>21085600000000</v>
      </c>
      <c r="AD52" s="4">
        <v>358860000</v>
      </c>
      <c r="AE52" s="4">
        <v>0</v>
      </c>
      <c r="AF52" s="4">
        <v>0</v>
      </c>
      <c r="AG52" s="4">
        <v>2</v>
      </c>
      <c r="AH52" s="4">
        <v>5008270000000</v>
      </c>
      <c r="AI52" s="4">
        <v>3826160000000</v>
      </c>
      <c r="AJ52" s="4">
        <v>3464520000000</v>
      </c>
      <c r="AK52" s="4">
        <v>3950270000000</v>
      </c>
      <c r="AL52" s="4">
        <v>4836230000000</v>
      </c>
      <c r="AM52" s="4"/>
      <c r="AN52" s="4"/>
      <c r="AO52" s="4"/>
      <c r="AP52" s="4"/>
      <c r="AQ52" s="4"/>
      <c r="AR52" s="5"/>
      <c r="AS52" s="5"/>
      <c r="AT52" s="5"/>
    </row>
    <row r="53" customHeight="1" spans="1:4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>
        <v>0.0510182</v>
      </c>
      <c r="AB53" s="4">
        <v>0.051458</v>
      </c>
      <c r="AC53" s="4">
        <v>20532900000000</v>
      </c>
      <c r="AD53" s="4">
        <v>867616000</v>
      </c>
      <c r="AE53" s="4">
        <v>0</v>
      </c>
      <c r="AF53" s="4">
        <v>0</v>
      </c>
      <c r="AG53" s="4">
        <v>2</v>
      </c>
      <c r="AH53" s="4">
        <v>4106630000000</v>
      </c>
      <c r="AI53" s="4">
        <v>3698850000000</v>
      </c>
      <c r="AJ53" s="4">
        <v>3519840000000</v>
      </c>
      <c r="AK53" s="4">
        <v>3331490000000</v>
      </c>
      <c r="AL53" s="4">
        <v>5875840000000</v>
      </c>
      <c r="AM53" s="4"/>
      <c r="AN53" s="4"/>
      <c r="AO53" s="4"/>
      <c r="AP53" s="4"/>
      <c r="AQ53" s="4"/>
      <c r="AR53" s="5"/>
      <c r="AS53" s="5"/>
      <c r="AT53" s="5"/>
    </row>
    <row r="54" customHeight="1" spans="1:4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>
        <v>0.0520225</v>
      </c>
      <c r="AB54" s="4">
        <v>0.0524518</v>
      </c>
      <c r="AC54" s="4">
        <v>20416600000000</v>
      </c>
      <c r="AD54" s="4">
        <v>673243000</v>
      </c>
      <c r="AE54" s="4">
        <v>0</v>
      </c>
      <c r="AF54" s="4">
        <v>0</v>
      </c>
      <c r="AG54" s="4">
        <v>2</v>
      </c>
      <c r="AH54" s="4">
        <v>4120460000000</v>
      </c>
      <c r="AI54" s="4">
        <v>3418490000000</v>
      </c>
      <c r="AJ54" s="4">
        <v>3290140000000</v>
      </c>
      <c r="AK54" s="4">
        <v>3221010000000</v>
      </c>
      <c r="AL54" s="4">
        <v>6366250000000</v>
      </c>
      <c r="AM54" s="4"/>
      <c r="AN54" s="4"/>
      <c r="AO54" s="4"/>
      <c r="AP54" s="4"/>
      <c r="AQ54" s="4"/>
    </row>
    <row r="55" customHeight="1" spans="1:4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>
        <v>0.0527637</v>
      </c>
      <c r="AB55" s="4">
        <v>0.0531927</v>
      </c>
      <c r="AC55" s="4">
        <v>20359200000000</v>
      </c>
      <c r="AD55" s="4">
        <v>339564000</v>
      </c>
      <c r="AE55" s="4">
        <v>0</v>
      </c>
      <c r="AF55" s="4">
        <v>0</v>
      </c>
      <c r="AG55" s="4">
        <v>2</v>
      </c>
      <c r="AH55" s="4">
        <v>4603150000000</v>
      </c>
      <c r="AI55" s="4">
        <v>3639700000000</v>
      </c>
      <c r="AJ55" s="4">
        <v>3150010000000</v>
      </c>
      <c r="AK55" s="4">
        <v>3548760000000</v>
      </c>
      <c r="AL55" s="4">
        <v>5417430000000</v>
      </c>
      <c r="AM55" s="4"/>
      <c r="AN55" s="4"/>
      <c r="AO55" s="4"/>
      <c r="AP55" s="4"/>
      <c r="AQ55" s="4"/>
    </row>
    <row r="56" customHeight="1" spans="1:4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customHeight="1" spans="1:4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customHeight="1" spans="1:4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customHeight="1" spans="1:4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customHeight="1" spans="1:2">
      <c r="A60" s="5"/>
      <c r="B60" s="5"/>
    </row>
    <row r="61" customHeight="1" spans="1:2">
      <c r="A61" s="5"/>
      <c r="B61" s="5"/>
    </row>
    <row r="62" customHeight="1" spans="1:2">
      <c r="A62" s="5"/>
      <c r="B62" s="5"/>
    </row>
    <row r="63" customHeight="1" spans="1:2">
      <c r="A63" s="5"/>
      <c r="B63" s="5"/>
    </row>
    <row r="64" customHeight="1" spans="1:2">
      <c r="A64" s="5"/>
      <c r="B64" s="5"/>
    </row>
    <row r="65" customHeight="1" spans="1:2">
      <c r="A65" s="5"/>
      <c r="B65" s="5"/>
    </row>
    <row r="66" customHeight="1" spans="1:2">
      <c r="A66" s="5"/>
      <c r="B66" s="5"/>
    </row>
    <row r="67" customHeight="1" spans="1:2">
      <c r="A67" s="5"/>
      <c r="B67" s="5"/>
    </row>
    <row r="68" customHeight="1" spans="1:2">
      <c r="A68" s="5"/>
      <c r="B68" s="5"/>
    </row>
    <row r="69" customHeight="1" spans="1:2">
      <c r="A69" s="5"/>
      <c r="B69" s="5"/>
    </row>
    <row r="70" customHeight="1" spans="1:2">
      <c r="A70" s="5"/>
      <c r="B70" s="5"/>
    </row>
    <row r="71" customHeight="1" spans="1:2">
      <c r="A71" s="5"/>
      <c r="B71" s="5"/>
    </row>
    <row r="72" customHeight="1" spans="1:2">
      <c r="A72" s="5"/>
      <c r="B72" s="5"/>
    </row>
    <row r="73" customHeight="1" spans="1:2">
      <c r="A73" s="5"/>
      <c r="B73" s="5"/>
    </row>
    <row r="74" customHeight="1" spans="1:2">
      <c r="A74" s="5"/>
      <c r="B74" s="5"/>
    </row>
    <row r="75" customHeight="1" spans="1:2">
      <c r="A75" s="5"/>
      <c r="B75" s="5"/>
    </row>
    <row r="76" customHeight="1" spans="1:2">
      <c r="A76" s="5"/>
      <c r="B76" s="5"/>
    </row>
    <row r="77" customHeight="1" spans="1:2">
      <c r="A77" s="5"/>
      <c r="B77" s="5"/>
    </row>
    <row r="78" customHeight="1" spans="1:2">
      <c r="A78" s="5"/>
      <c r="B78" s="5"/>
    </row>
    <row r="79" customHeight="1" spans="1:2">
      <c r="A79" s="5"/>
      <c r="B79" s="5"/>
    </row>
    <row r="80" customHeight="1" spans="1:2">
      <c r="A80" s="5"/>
      <c r="B80" s="5"/>
    </row>
    <row r="81" customHeight="1" spans="1:2">
      <c r="A81" s="5"/>
      <c r="B81" s="5"/>
    </row>
    <row r="82" customHeight="1" spans="1:2">
      <c r="A82" s="5"/>
      <c r="B82" s="5"/>
    </row>
    <row r="83" customHeight="1" spans="1:2">
      <c r="A83" s="5"/>
      <c r="B83" s="5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zoomScale="180" zoomScaleNormal="180" workbookViewId="0">
      <selection activeCell="M14" sqref="M14"/>
    </sheetView>
  </sheetViews>
  <sheetFormatPr defaultColWidth="9.01481481481481" defaultRowHeight="15" customHeight="1"/>
  <cols>
    <col min="11" max="11" width="22.5703703703704" style="2" customWidth="1"/>
    <col min="14" max="15" width="8.71111111111111" style="7" customWidth="1"/>
    <col min="19" max="19" width="8.71111111111111" style="7" customWidth="1"/>
  </cols>
  <sheetData>
    <row r="1" customHeight="1" spans="1:11">
      <c r="A1" s="19" t="s">
        <v>12</v>
      </c>
      <c r="B1" s="19"/>
      <c r="D1" s="19" t="s">
        <v>13</v>
      </c>
      <c r="E1" s="19"/>
      <c r="G1" s="19" t="s">
        <v>14</v>
      </c>
      <c r="H1" s="19"/>
      <c r="J1" s="19" t="s">
        <v>15</v>
      </c>
      <c r="K1" s="19"/>
    </row>
    <row r="2" customHeight="1" spans="1:19">
      <c r="A2" s="5">
        <v>0.000201725</v>
      </c>
      <c r="B2" s="5">
        <v>46376300</v>
      </c>
      <c r="D2" s="5">
        <v>0.000198126</v>
      </c>
      <c r="E2" s="5">
        <v>43867500</v>
      </c>
      <c r="G2" s="5">
        <v>0.000189158</v>
      </c>
      <c r="H2" s="5">
        <v>51704800</v>
      </c>
      <c r="K2" s="3" t="s">
        <v>16</v>
      </c>
      <c r="L2" s="3" t="s">
        <v>17</v>
      </c>
      <c r="M2" s="3" t="s">
        <v>18</v>
      </c>
      <c r="N2" s="8" t="s">
        <v>19</v>
      </c>
      <c r="O2" s="8" t="s">
        <v>20</v>
      </c>
      <c r="P2" s="3" t="s">
        <v>21</v>
      </c>
      <c r="Q2" s="3" t="s">
        <v>22</v>
      </c>
      <c r="R2" s="3" t="s">
        <v>23</v>
      </c>
      <c r="S2" s="8" t="s">
        <v>24</v>
      </c>
    </row>
    <row r="3" customHeight="1" spans="1:19">
      <c r="A3" s="5">
        <v>0.0010314</v>
      </c>
      <c r="B3" s="5">
        <v>62324200</v>
      </c>
      <c r="D3" s="5">
        <v>0.000988084</v>
      </c>
      <c r="E3" s="5">
        <v>58560500</v>
      </c>
      <c r="G3" s="5">
        <v>0.000960296</v>
      </c>
      <c r="H3" s="5">
        <v>83440100</v>
      </c>
      <c r="J3" s="3" t="s">
        <v>2</v>
      </c>
      <c r="K3" s="3">
        <f>AVERAGE(B28:B32)/1000000</f>
        <v>89.29032</v>
      </c>
      <c r="L3" s="5">
        <f>AVERAGE('400K_SR10'!L28:L32)</f>
        <v>5880148000000</v>
      </c>
      <c r="M3" s="5">
        <f>AVERAGE('400K_SR10'!C28:C32)</f>
        <v>20251720000000</v>
      </c>
      <c r="N3" s="8">
        <f>Graphs!$B$1*80.9*0.248*SQRT(L3)/1000000</f>
        <v>24.3256433669613</v>
      </c>
      <c r="O3" s="8">
        <f>Graphs!$B$2*80.9*0.248*SQRT(M3)/1000000</f>
        <v>4.51441171095141</v>
      </c>
      <c r="P3" s="3">
        <f>SQRT(N3^2+O3^2)</f>
        <v>24.7409950954395</v>
      </c>
      <c r="Q3" s="3">
        <f>K3*0.4707</f>
        <v>42.028953624</v>
      </c>
      <c r="R3" s="3">
        <f>Q3/P3</f>
        <v>1.69875760703526</v>
      </c>
      <c r="S3" s="8">
        <f>L3/M3</f>
        <v>0.290353016928932</v>
      </c>
    </row>
    <row r="4" customHeight="1" spans="1:19">
      <c r="A4" s="5">
        <v>0.0019802</v>
      </c>
      <c r="B4" s="5">
        <v>68689300</v>
      </c>
      <c r="D4" s="5">
        <v>0.00203421</v>
      </c>
      <c r="E4" s="5">
        <v>54155700</v>
      </c>
      <c r="G4" s="5">
        <v>0.00199204</v>
      </c>
      <c r="H4" s="5">
        <v>87327800</v>
      </c>
      <c r="J4" s="3" t="s">
        <v>3</v>
      </c>
      <c r="K4" s="3">
        <f>AVERAGE(E28:E32)/1000000</f>
        <v>86.35624</v>
      </c>
      <c r="L4" s="5">
        <f>AVERAGE('400K_SR10'!Y28:Y32)</f>
        <v>6780100000000</v>
      </c>
      <c r="M4" s="5">
        <f>AVERAGE('400K_SR10'!P28:P32)</f>
        <v>19622720000000</v>
      </c>
      <c r="N4" s="8">
        <f>Graphs!$B$1*80.9*0.248*SQRT(L4)/1000000</f>
        <v>26.1209072112103</v>
      </c>
      <c r="O4" s="8">
        <f>Graphs!$B$2*80.9*0.248*SQRT(M4)/1000000</f>
        <v>4.44375196596669</v>
      </c>
      <c r="P4" s="3">
        <f>SQRT(N4^2+O4^2)</f>
        <v>26.4962020876896</v>
      </c>
      <c r="Q4" s="3">
        <f>K4*0.4707</f>
        <v>40.647882168</v>
      </c>
      <c r="R4" s="3">
        <f>Q4/P4</f>
        <v>1.53410220957234</v>
      </c>
      <c r="S4" s="8">
        <f>L4/M4</f>
        <v>0.345522944831298</v>
      </c>
    </row>
    <row r="5" customHeight="1" spans="1:19">
      <c r="A5" s="5">
        <v>0.00301019</v>
      </c>
      <c r="B5" s="5">
        <v>69022800</v>
      </c>
      <c r="D5" s="5">
        <v>0.0030135</v>
      </c>
      <c r="E5" s="5">
        <v>64160200</v>
      </c>
      <c r="G5" s="5">
        <v>0.0029811</v>
      </c>
      <c r="H5" s="5">
        <v>94942400</v>
      </c>
      <c r="J5" s="3" t="s">
        <v>14</v>
      </c>
      <c r="K5" s="3">
        <f>AVERAGE(H28:H32)/1000000</f>
        <v>92.06938</v>
      </c>
      <c r="L5" s="5">
        <f>AVERAGE('400K_SR10'!AL28:AL32)</f>
        <v>4760780000000</v>
      </c>
      <c r="M5" s="5">
        <f>AVERAGE('400K_SR10'!AC28:AC32)</f>
        <v>21211240000000</v>
      </c>
      <c r="N5" s="8">
        <f>Graphs!$B$1*80.9*0.248*SQRT(L5)/1000000</f>
        <v>21.8881604271459</v>
      </c>
      <c r="O5" s="8">
        <f>Graphs!$B$2*80.9*0.248*SQRT(M5)/1000000</f>
        <v>4.62011978673261</v>
      </c>
      <c r="P5" s="3">
        <f>SQRT(N5^2+O5^2)</f>
        <v>22.3704509057872</v>
      </c>
      <c r="Q5" s="3">
        <f>K5*0.4707</f>
        <v>43.337057166</v>
      </c>
      <c r="R5" s="3">
        <f>Q5/P5</f>
        <v>1.93724558116926</v>
      </c>
      <c r="S5" s="8">
        <f>L5/M5</f>
        <v>0.224446095560656</v>
      </c>
    </row>
    <row r="6" customHeight="1" spans="1:8">
      <c r="A6" s="5">
        <v>0.00399264</v>
      </c>
      <c r="B6" s="5">
        <v>66097900</v>
      </c>
      <c r="D6" s="5">
        <v>0.00400784</v>
      </c>
      <c r="E6" s="5">
        <v>67989200</v>
      </c>
      <c r="G6" s="5">
        <v>0.00400162</v>
      </c>
      <c r="H6" s="5">
        <v>91091000</v>
      </c>
    </row>
    <row r="7" customHeight="1" spans="1:8">
      <c r="A7" s="5">
        <v>0.00497829</v>
      </c>
      <c r="B7" s="5">
        <v>74695300</v>
      </c>
      <c r="D7" s="5">
        <v>0.00500666</v>
      </c>
      <c r="E7" s="5">
        <v>66921000</v>
      </c>
      <c r="G7" s="5">
        <v>0.00501609</v>
      </c>
      <c r="H7" s="5">
        <v>81708100</v>
      </c>
    </row>
    <row r="8" customHeight="1" spans="1:8">
      <c r="A8" s="5">
        <v>0.00597872</v>
      </c>
      <c r="B8" s="5">
        <v>78600600</v>
      </c>
      <c r="D8" s="5">
        <v>0.00598976</v>
      </c>
      <c r="E8" s="5">
        <v>64919600</v>
      </c>
      <c r="G8" s="5">
        <v>0.00601132</v>
      </c>
      <c r="H8" s="5">
        <v>89358000</v>
      </c>
    </row>
    <row r="9" customHeight="1" spans="1:8">
      <c r="A9" s="5">
        <v>0.00702629</v>
      </c>
      <c r="B9" s="5">
        <v>79916700</v>
      </c>
      <c r="D9" s="5">
        <v>0.00702113</v>
      </c>
      <c r="E9" s="5">
        <v>68194600</v>
      </c>
      <c r="G9" s="5">
        <v>0.00710354</v>
      </c>
      <c r="H9" s="5">
        <v>91430300</v>
      </c>
    </row>
    <row r="10" customHeight="1" spans="1:19">
      <c r="A10" s="5">
        <v>0.0079974</v>
      </c>
      <c r="B10" s="5">
        <v>89876800</v>
      </c>
      <c r="D10" s="5">
        <v>0.00800662</v>
      </c>
      <c r="E10" s="5">
        <v>73534400</v>
      </c>
      <c r="G10" s="5">
        <v>0.00802118</v>
      </c>
      <c r="H10" s="5">
        <v>98063400</v>
      </c>
      <c r="K10" s="3" t="s">
        <v>16</v>
      </c>
      <c r="L10" s="3" t="s">
        <v>17</v>
      </c>
      <c r="M10" s="3" t="s">
        <v>18</v>
      </c>
      <c r="N10" s="8" t="s">
        <v>19</v>
      </c>
      <c r="O10" s="8" t="s">
        <v>20</v>
      </c>
      <c r="P10" s="3" t="s">
        <v>21</v>
      </c>
      <c r="Q10" s="3" t="s">
        <v>22</v>
      </c>
      <c r="R10" s="3" t="s">
        <v>23</v>
      </c>
      <c r="S10" s="8" t="s">
        <v>24</v>
      </c>
    </row>
    <row r="11" customHeight="1" spans="1:19">
      <c r="A11" s="5">
        <v>0.00901321</v>
      </c>
      <c r="B11" s="5">
        <v>86731500</v>
      </c>
      <c r="D11" s="5">
        <v>0.00898227</v>
      </c>
      <c r="E11" s="5">
        <v>87343400</v>
      </c>
      <c r="G11" s="5">
        <v>0.00904358</v>
      </c>
      <c r="H11" s="5">
        <v>91245400</v>
      </c>
      <c r="J11" s="3" t="s">
        <v>2</v>
      </c>
      <c r="K11" s="3">
        <f>AVERAGE(B12:B16)/1000000</f>
        <v>94.37036</v>
      </c>
      <c r="L11" s="5">
        <f>AVERAGE('400K_SR10'!L12:L16)</f>
        <v>4569306000000</v>
      </c>
      <c r="M11" s="5">
        <f>AVERAGE('400K_SR10'!C12:C16)</f>
        <v>20488720000000</v>
      </c>
      <c r="N11" s="8">
        <f>Graphs!$B$1*80.9*0.248*SQRT(L11)/1000000</f>
        <v>21.4434830220792</v>
      </c>
      <c r="O11" s="8">
        <f>Graphs!$B$2*80.9*0.248*SQRT(M11)/1000000</f>
        <v>4.54075030171914</v>
      </c>
      <c r="P11" s="3">
        <f>SQRT(N11^2+O11^2)</f>
        <v>21.9189730010501</v>
      </c>
      <c r="Q11" s="3">
        <f>K11*0.4707</f>
        <v>44.420128452</v>
      </c>
      <c r="R11" s="3">
        <f>Q11/P11</f>
        <v>2.02656066275879</v>
      </c>
      <c r="S11" s="8">
        <f>L11/M11</f>
        <v>0.223015688632574</v>
      </c>
    </row>
    <row r="12" customHeight="1" spans="1:19">
      <c r="A12" s="5">
        <v>0.010019</v>
      </c>
      <c r="B12" s="5">
        <v>90015900</v>
      </c>
      <c r="D12" s="5">
        <v>0.00999001</v>
      </c>
      <c r="E12" s="5">
        <v>92227600</v>
      </c>
      <c r="G12" s="5">
        <v>0.00998583</v>
      </c>
      <c r="H12" s="5">
        <v>100254000</v>
      </c>
      <c r="J12" s="3" t="s">
        <v>3</v>
      </c>
      <c r="K12" s="3">
        <f>AVERAGE(E12:E16)/1000000</f>
        <v>91.44112</v>
      </c>
      <c r="L12" s="5">
        <f>AVERAGE('400K_SR10'!Y12:Y16)</f>
        <v>3620590000000</v>
      </c>
      <c r="M12" s="5">
        <f>AVERAGE('400K_SR10'!P12:P16)</f>
        <v>20585040000000</v>
      </c>
      <c r="N12" s="8">
        <f>Graphs!$B$1*80.9*0.248*SQRT(L12)/1000000</f>
        <v>19.0879760125675</v>
      </c>
      <c r="O12" s="8">
        <f>Graphs!$B$2*80.9*0.248*SQRT(M12)/1000000</f>
        <v>4.55141110061214</v>
      </c>
      <c r="P12" s="3">
        <f>SQRT(N12^2+O12^2)</f>
        <v>19.6231029978219</v>
      </c>
      <c r="Q12" s="3">
        <f>K12*0.4707</f>
        <v>43.041335184</v>
      </c>
      <c r="R12" s="3">
        <f>Q12/P12</f>
        <v>2.19340107366187</v>
      </c>
      <c r="S12" s="8">
        <f>L12/M12</f>
        <v>0.17588452584984</v>
      </c>
    </row>
    <row r="13" customHeight="1" spans="1:19">
      <c r="A13" s="5">
        <v>0.0110126</v>
      </c>
      <c r="B13" s="5">
        <v>96619700</v>
      </c>
      <c r="D13" s="5">
        <v>0.0109735</v>
      </c>
      <c r="E13" s="5">
        <v>91369100</v>
      </c>
      <c r="G13" s="5">
        <v>0.0109949</v>
      </c>
      <c r="H13" s="5">
        <v>99287700</v>
      </c>
      <c r="J13" s="3" t="s">
        <v>14</v>
      </c>
      <c r="K13" s="3">
        <f>AVERAGE(H12:H16)/1000000</f>
        <v>95.77348</v>
      </c>
      <c r="L13" s="5">
        <f>AVERAGE('400K_SR10'!AL12:AL16)</f>
        <v>5796698000000</v>
      </c>
      <c r="M13" s="5">
        <f>AVERAGE('400K_SR10'!AC12:AC16)</f>
        <v>21355680000000</v>
      </c>
      <c r="N13" s="8">
        <f>Graphs!$B$1*80.9*0.248*SQRT(L13)/1000000</f>
        <v>24.1524139888077</v>
      </c>
      <c r="O13" s="8">
        <f>Graphs!$B$2*80.9*0.248*SQRT(M13)/1000000</f>
        <v>4.6358236751281</v>
      </c>
      <c r="P13" s="3">
        <f>SQRT(N13^2+O13^2)</f>
        <v>24.5932910085989</v>
      </c>
      <c r="Q13" s="3">
        <f>K13*0.4707</f>
        <v>45.080577036</v>
      </c>
      <c r="R13" s="3">
        <f>Q13/P13</f>
        <v>1.83304369554436</v>
      </c>
      <c r="S13" s="8">
        <f>L13/M13</f>
        <v>0.271435889655586</v>
      </c>
    </row>
    <row r="14" customHeight="1" spans="1:8">
      <c r="A14" s="5">
        <v>0.0120309</v>
      </c>
      <c r="B14" s="5">
        <v>93811000</v>
      </c>
      <c r="D14" s="5">
        <v>0.0119855</v>
      </c>
      <c r="E14" s="5">
        <v>95143200</v>
      </c>
      <c r="G14" s="5">
        <v>0.0120428</v>
      </c>
      <c r="H14" s="5">
        <v>95545600</v>
      </c>
    </row>
    <row r="15" customHeight="1" spans="1:8">
      <c r="A15" s="5">
        <v>0.0130007</v>
      </c>
      <c r="B15" s="5">
        <v>95761900</v>
      </c>
      <c r="D15" s="5">
        <v>0.0130202</v>
      </c>
      <c r="E15" s="5">
        <v>85735200</v>
      </c>
      <c r="G15" s="5">
        <v>0.0130079</v>
      </c>
      <c r="H15" s="5">
        <v>90375800</v>
      </c>
    </row>
    <row r="16" customHeight="1" spans="1:8">
      <c r="A16" s="5">
        <v>0.0140228</v>
      </c>
      <c r="B16" s="5">
        <v>95643300</v>
      </c>
      <c r="D16" s="5">
        <v>0.0140046</v>
      </c>
      <c r="E16" s="5">
        <v>92730500</v>
      </c>
      <c r="G16" s="5">
        <v>0.0139963</v>
      </c>
      <c r="H16" s="5">
        <v>93404300</v>
      </c>
    </row>
    <row r="17" customHeight="1" spans="1:8">
      <c r="A17" s="5">
        <v>0.0149987</v>
      </c>
      <c r="B17" s="5">
        <v>96126500</v>
      </c>
      <c r="D17" s="5">
        <v>0.0150129</v>
      </c>
      <c r="E17" s="5">
        <v>96498100</v>
      </c>
      <c r="G17" s="5">
        <v>0.0150105</v>
      </c>
      <c r="H17" s="5">
        <v>102510000</v>
      </c>
    </row>
    <row r="18" customHeight="1" spans="1:8">
      <c r="A18" s="5">
        <v>0.0160003</v>
      </c>
      <c r="B18" s="5">
        <v>98195300</v>
      </c>
      <c r="D18" s="5">
        <v>0.0159849</v>
      </c>
      <c r="E18" s="5">
        <v>99397200</v>
      </c>
      <c r="G18" s="5">
        <v>0.0159918</v>
      </c>
      <c r="H18" s="5">
        <v>90405900</v>
      </c>
    </row>
    <row r="19" customHeight="1" spans="1:8">
      <c r="A19" s="5">
        <v>0.0169947</v>
      </c>
      <c r="B19" s="5">
        <v>93481500</v>
      </c>
      <c r="D19" s="5">
        <v>0.017002</v>
      </c>
      <c r="E19" s="5">
        <v>94830300</v>
      </c>
      <c r="G19" s="5">
        <v>0.0169953</v>
      </c>
      <c r="H19" s="5">
        <v>95584100</v>
      </c>
    </row>
    <row r="20" customHeight="1" spans="1:8">
      <c r="A20" s="5">
        <v>0.0180069</v>
      </c>
      <c r="B20" s="5">
        <v>90597600</v>
      </c>
      <c r="D20" s="5">
        <v>0.0180037</v>
      </c>
      <c r="E20" s="5">
        <v>100693000</v>
      </c>
      <c r="G20" s="5">
        <v>0.0179875</v>
      </c>
      <c r="H20" s="5">
        <v>100091000</v>
      </c>
    </row>
    <row r="21" customHeight="1" spans="1:8">
      <c r="A21" s="5">
        <v>0.0190033</v>
      </c>
      <c r="B21" s="5">
        <v>92279400</v>
      </c>
      <c r="D21" s="5">
        <v>0.0190219</v>
      </c>
      <c r="E21" s="5">
        <v>98947300</v>
      </c>
      <c r="G21" s="5">
        <v>0.0190178</v>
      </c>
      <c r="H21" s="5">
        <v>89594100</v>
      </c>
    </row>
    <row r="22" customHeight="1" spans="1:8">
      <c r="A22" s="5">
        <v>0.0199878</v>
      </c>
      <c r="B22" s="5">
        <v>97440700</v>
      </c>
      <c r="D22" s="5">
        <v>0.0200239</v>
      </c>
      <c r="E22" s="5">
        <v>92099400</v>
      </c>
      <c r="G22" s="5">
        <v>0.0200189</v>
      </c>
      <c r="H22" s="5">
        <v>79981200</v>
      </c>
    </row>
    <row r="23" customHeight="1" spans="1:8">
      <c r="A23" s="5">
        <v>0.0210526</v>
      </c>
      <c r="B23" s="5">
        <v>91810000</v>
      </c>
      <c r="D23" s="5">
        <v>0.0210344</v>
      </c>
      <c r="E23" s="5">
        <v>95491600</v>
      </c>
      <c r="G23" s="5">
        <v>0.0210033</v>
      </c>
      <c r="H23" s="5">
        <v>85780300</v>
      </c>
    </row>
    <row r="24" customHeight="1" spans="1:8">
      <c r="A24" s="5">
        <v>0.0220272</v>
      </c>
      <c r="B24" s="5">
        <v>86584900</v>
      </c>
      <c r="D24" s="5">
        <v>0.0220483</v>
      </c>
      <c r="E24" s="5">
        <v>86397100</v>
      </c>
      <c r="G24" s="5">
        <v>0.0220039</v>
      </c>
      <c r="H24" s="5">
        <v>88698100</v>
      </c>
    </row>
    <row r="25" customHeight="1" spans="1:8">
      <c r="A25" s="5">
        <v>0.0230008</v>
      </c>
      <c r="B25" s="5">
        <v>90634000</v>
      </c>
      <c r="D25" s="5">
        <v>0.0229973</v>
      </c>
      <c r="E25" s="5">
        <v>93152800</v>
      </c>
      <c r="G25" s="5">
        <v>0.0230299</v>
      </c>
      <c r="H25" s="5">
        <v>85462400</v>
      </c>
    </row>
    <row r="26" customHeight="1" spans="1:8">
      <c r="A26" s="5">
        <v>0.0240276</v>
      </c>
      <c r="B26" s="5">
        <v>81287700</v>
      </c>
      <c r="D26" s="5">
        <v>0.0240021</v>
      </c>
      <c r="E26" s="5">
        <v>86101600</v>
      </c>
      <c r="G26" s="5">
        <v>0.0239689</v>
      </c>
      <c r="H26" s="5">
        <v>88937000</v>
      </c>
    </row>
    <row r="27" customHeight="1" spans="1:8">
      <c r="A27" s="5">
        <v>0.024966</v>
      </c>
      <c r="B27" s="5">
        <v>91246700</v>
      </c>
      <c r="D27" s="5">
        <v>0.0249778</v>
      </c>
      <c r="E27" s="5">
        <v>82839600</v>
      </c>
      <c r="G27" s="5">
        <v>0.025005</v>
      </c>
      <c r="H27" s="5">
        <v>89978100</v>
      </c>
    </row>
    <row r="28" customHeight="1" spans="1:8">
      <c r="A28" s="5">
        <v>0.0259776</v>
      </c>
      <c r="B28" s="5">
        <v>90164300</v>
      </c>
      <c r="D28" s="5">
        <v>0.0260088</v>
      </c>
      <c r="E28" s="5">
        <v>83581500</v>
      </c>
      <c r="G28" s="5">
        <v>0.0260077</v>
      </c>
      <c r="H28" s="5">
        <v>91152900</v>
      </c>
    </row>
    <row r="29" customHeight="1" spans="1:8">
      <c r="A29" s="5">
        <v>0.0270304</v>
      </c>
      <c r="B29" s="5">
        <v>88475200</v>
      </c>
      <c r="D29" s="5">
        <v>0.0270319</v>
      </c>
      <c r="E29" s="5">
        <v>86450200</v>
      </c>
      <c r="G29" s="5">
        <v>0.0269921</v>
      </c>
      <c r="H29" s="5">
        <v>97619700</v>
      </c>
    </row>
    <row r="30" customHeight="1" spans="1:8">
      <c r="A30" s="5">
        <v>0.0279959</v>
      </c>
      <c r="B30" s="5">
        <v>93743400</v>
      </c>
      <c r="D30" s="5">
        <v>0.0279904</v>
      </c>
      <c r="E30" s="5">
        <v>86157000</v>
      </c>
      <c r="G30" s="5">
        <v>0.0280151</v>
      </c>
      <c r="H30" s="5">
        <v>89873100</v>
      </c>
    </row>
    <row r="31" customHeight="1" spans="1:8">
      <c r="A31" s="5">
        <v>0.0289979</v>
      </c>
      <c r="B31" s="5">
        <v>89376900</v>
      </c>
      <c r="D31" s="5">
        <v>0.0289701</v>
      </c>
      <c r="E31" s="5">
        <v>89415400</v>
      </c>
      <c r="G31" s="5">
        <v>0.029043</v>
      </c>
      <c r="H31" s="5">
        <v>84924300</v>
      </c>
    </row>
    <row r="32" customHeight="1" spans="1:8">
      <c r="A32" s="5">
        <v>0.0300238</v>
      </c>
      <c r="B32" s="5">
        <v>84691800</v>
      </c>
      <c r="D32" s="5">
        <v>0.0300091</v>
      </c>
      <c r="E32" s="5">
        <v>86177100</v>
      </c>
      <c r="G32" s="5">
        <v>0.0300196</v>
      </c>
      <c r="H32" s="5">
        <v>96776900</v>
      </c>
    </row>
    <row r="33" customHeight="1" spans="1:8">
      <c r="A33" s="5">
        <v>0.0309763</v>
      </c>
      <c r="B33" s="5">
        <v>94582200</v>
      </c>
      <c r="D33" s="5">
        <v>0.0309876</v>
      </c>
      <c r="E33" s="5">
        <v>86360500</v>
      </c>
      <c r="G33" s="5">
        <v>0.0310303</v>
      </c>
      <c r="H33" s="5">
        <v>98028100</v>
      </c>
    </row>
    <row r="34" customHeight="1" spans="1:8">
      <c r="A34" s="5">
        <v>0.0320282</v>
      </c>
      <c r="B34" s="5">
        <v>84298200</v>
      </c>
      <c r="D34" s="5">
        <v>0.0319939</v>
      </c>
      <c r="E34" s="5">
        <v>83517800</v>
      </c>
      <c r="G34" s="5">
        <v>0.0320287</v>
      </c>
      <c r="H34" s="5">
        <v>89928600</v>
      </c>
    </row>
    <row r="35" customHeight="1" spans="1:8">
      <c r="A35" s="5">
        <v>0.0330144</v>
      </c>
      <c r="B35" s="5">
        <v>91248800</v>
      </c>
      <c r="D35" s="5">
        <v>0.0330188</v>
      </c>
      <c r="E35" s="5">
        <v>70009800</v>
      </c>
      <c r="G35" s="5">
        <v>0.0330272</v>
      </c>
      <c r="H35" s="5">
        <v>88435400</v>
      </c>
    </row>
    <row r="36" customHeight="1" spans="1:8">
      <c r="A36" s="5">
        <v>0.034017</v>
      </c>
      <c r="B36" s="5">
        <v>94082000</v>
      </c>
      <c r="D36" s="5">
        <v>0.0340156</v>
      </c>
      <c r="E36" s="5">
        <v>73643100</v>
      </c>
      <c r="G36" s="5">
        <v>0.0340178</v>
      </c>
      <c r="H36" s="5">
        <v>88900100</v>
      </c>
    </row>
    <row r="37" customHeight="1" spans="1:8">
      <c r="A37" s="5">
        <v>0.0349789</v>
      </c>
      <c r="B37" s="5">
        <v>87399000</v>
      </c>
      <c r="D37" s="5">
        <v>0.0350148</v>
      </c>
      <c r="E37" s="5">
        <v>70475900</v>
      </c>
      <c r="G37" s="5">
        <v>0.0349856</v>
      </c>
      <c r="H37" s="5">
        <v>89534300</v>
      </c>
    </row>
    <row r="38" customHeight="1" spans="1:8">
      <c r="A38" s="5">
        <v>0.0360148</v>
      </c>
      <c r="B38" s="5">
        <v>78969900</v>
      </c>
      <c r="D38" s="5">
        <v>0.0360169</v>
      </c>
      <c r="E38" s="5">
        <v>71087300</v>
      </c>
      <c r="G38" s="5">
        <v>0.0359506</v>
      </c>
      <c r="H38" s="5">
        <v>92734400</v>
      </c>
    </row>
    <row r="39" customHeight="1" spans="1:8">
      <c r="A39" s="5">
        <v>0.0370154</v>
      </c>
      <c r="B39" s="5">
        <v>78435900</v>
      </c>
      <c r="D39" s="5">
        <v>0.0369964</v>
      </c>
      <c r="E39" s="5">
        <v>61753600</v>
      </c>
      <c r="G39" s="5">
        <v>0.0369761</v>
      </c>
      <c r="H39" s="5">
        <v>83242500</v>
      </c>
    </row>
    <row r="40" customHeight="1" spans="1:8">
      <c r="A40" s="5">
        <v>0.0380341</v>
      </c>
      <c r="B40" s="5">
        <v>84798000</v>
      </c>
      <c r="D40" s="5">
        <v>0.0380013</v>
      </c>
      <c r="E40" s="5">
        <v>56976000</v>
      </c>
      <c r="G40" s="5">
        <v>0.0380062</v>
      </c>
      <c r="H40" s="5">
        <v>85703700</v>
      </c>
    </row>
    <row r="41" customHeight="1" spans="1:8">
      <c r="A41" s="5">
        <v>0.0390065</v>
      </c>
      <c r="B41" s="5">
        <v>89243200</v>
      </c>
      <c r="D41" s="5">
        <v>0.0389793</v>
      </c>
      <c r="E41" s="5">
        <v>49209200</v>
      </c>
      <c r="G41" s="5">
        <v>0.0389758</v>
      </c>
      <c r="H41" s="5">
        <v>91461500</v>
      </c>
    </row>
    <row r="42" customHeight="1" spans="1:8">
      <c r="A42" s="5">
        <v>0.0400098</v>
      </c>
      <c r="B42" s="5">
        <v>88557300</v>
      </c>
      <c r="D42" s="5">
        <v>0.0398355</v>
      </c>
      <c r="E42" s="5">
        <v>51924200</v>
      </c>
      <c r="G42" s="5">
        <v>0.0400068</v>
      </c>
      <c r="H42" s="5">
        <v>83837300</v>
      </c>
    </row>
    <row r="43" customHeight="1" spans="1:8">
      <c r="A43" s="5">
        <v>0.0410097</v>
      </c>
      <c r="B43" s="5">
        <v>91317900</v>
      </c>
      <c r="D43" s="5">
        <v>0.0410459</v>
      </c>
      <c r="E43" s="5">
        <v>48486000</v>
      </c>
      <c r="G43" s="5">
        <v>0.040979</v>
      </c>
      <c r="H43" s="5">
        <v>92861500</v>
      </c>
    </row>
    <row r="44" customHeight="1" spans="1:8">
      <c r="A44" s="5">
        <v>0.0419505</v>
      </c>
      <c r="B44" s="5">
        <v>85227000</v>
      </c>
      <c r="D44" s="5">
        <v>0.0419991</v>
      </c>
      <c r="E44" s="5">
        <v>47516900</v>
      </c>
      <c r="G44" s="5">
        <v>0.0419876</v>
      </c>
      <c r="H44" s="5">
        <v>91894800</v>
      </c>
    </row>
    <row r="45" customHeight="1" spans="1:8">
      <c r="A45" s="5">
        <v>0.0429866</v>
      </c>
      <c r="B45" s="5">
        <v>89838200</v>
      </c>
      <c r="D45" s="5">
        <v>0.0429978</v>
      </c>
      <c r="E45" s="5">
        <v>51021900</v>
      </c>
      <c r="G45" s="5">
        <v>0.0430154</v>
      </c>
      <c r="H45" s="5">
        <v>93799700</v>
      </c>
    </row>
    <row r="46" customHeight="1" spans="1:8">
      <c r="A46" s="5">
        <v>0.0440235</v>
      </c>
      <c r="B46" s="5">
        <v>88719600</v>
      </c>
      <c r="D46" s="5">
        <v>0.0440065</v>
      </c>
      <c r="E46" s="5">
        <v>48187500</v>
      </c>
      <c r="G46" s="5">
        <v>0.0440116</v>
      </c>
      <c r="H46" s="5">
        <v>100041000</v>
      </c>
    </row>
    <row r="47" customHeight="1" spans="1:8">
      <c r="A47" s="5">
        <v>0.0449766</v>
      </c>
      <c r="B47" s="5">
        <v>89679500</v>
      </c>
      <c r="D47" s="5">
        <v>0.0449965</v>
      </c>
      <c r="E47" s="5">
        <v>50622700</v>
      </c>
      <c r="G47" s="5">
        <v>0.0450192</v>
      </c>
      <c r="H47" s="5">
        <v>98200900</v>
      </c>
    </row>
    <row r="48" customHeight="1" spans="1:8">
      <c r="A48" s="5">
        <v>0.0459686</v>
      </c>
      <c r="B48" s="5">
        <v>89495900</v>
      </c>
      <c r="D48" s="5">
        <v>0.0460211</v>
      </c>
      <c r="E48" s="5">
        <v>51146600</v>
      </c>
      <c r="G48" s="5">
        <v>0.0459989</v>
      </c>
      <c r="H48" s="5">
        <v>100137000</v>
      </c>
    </row>
    <row r="49" customHeight="1" spans="1:8">
      <c r="A49" s="5">
        <v>0.0469861</v>
      </c>
      <c r="B49" s="5">
        <v>88399200</v>
      </c>
      <c r="D49" s="5">
        <v>0.0470029</v>
      </c>
      <c r="E49" s="5">
        <v>58229700</v>
      </c>
      <c r="G49" s="5">
        <v>0.0469977</v>
      </c>
      <c r="H49" s="5">
        <v>90636100</v>
      </c>
    </row>
    <row r="50" customHeight="1" spans="1:8">
      <c r="A50" s="5">
        <v>0.0479583</v>
      </c>
      <c r="B50" s="5">
        <v>91078300</v>
      </c>
      <c r="G50" s="5">
        <v>0.0480466</v>
      </c>
      <c r="H50" s="5">
        <v>93681700</v>
      </c>
    </row>
    <row r="51" customHeight="1" spans="1:8">
      <c r="A51" s="5">
        <v>0.0489754</v>
      </c>
      <c r="B51" s="5">
        <v>94474700</v>
      </c>
      <c r="G51" s="5">
        <v>0.049015</v>
      </c>
      <c r="H51" s="5">
        <v>90705300</v>
      </c>
    </row>
    <row r="52" customHeight="1" spans="1:8">
      <c r="A52" s="5">
        <v>0.0499946</v>
      </c>
      <c r="B52" s="5">
        <v>96228300</v>
      </c>
      <c r="G52" s="5">
        <v>0.05004</v>
      </c>
      <c r="H52" s="5">
        <v>89335800</v>
      </c>
    </row>
    <row r="53" customHeight="1" spans="7:8">
      <c r="G53" s="5">
        <v>0.0510182</v>
      </c>
      <c r="H53" s="5">
        <v>92287500</v>
      </c>
    </row>
    <row r="54" customHeight="1" spans="7:8">
      <c r="G54" s="5">
        <v>0.0520225</v>
      </c>
      <c r="H54" s="5">
        <v>90084100</v>
      </c>
    </row>
    <row r="55" customHeight="1" spans="7:8">
      <c r="G55" s="5">
        <v>0.0527637</v>
      </c>
      <c r="H55" s="5">
        <v>90019000</v>
      </c>
    </row>
  </sheetData>
  <mergeCells count="4">
    <mergeCell ref="A1:B1"/>
    <mergeCell ref="D1:E1"/>
    <mergeCell ref="G1:H1"/>
    <mergeCell ref="J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zoomScale="180" zoomScaleNormal="180" workbookViewId="0">
      <selection activeCell="M13" sqref="M13"/>
    </sheetView>
  </sheetViews>
  <sheetFormatPr defaultColWidth="9.01481481481481" defaultRowHeight="15" customHeight="1"/>
  <cols>
    <col min="11" max="11" width="10.2518518518519" style="2" customWidth="1"/>
    <col min="12" max="12" width="17" style="2" customWidth="1"/>
  </cols>
  <sheetData>
    <row r="1" customHeight="1" spans="1:19">
      <c r="A1" s="19" t="s">
        <v>12</v>
      </c>
      <c r="B1" s="19"/>
      <c r="D1" s="19" t="s">
        <v>13</v>
      </c>
      <c r="E1" s="19"/>
      <c r="G1" s="19" t="s">
        <v>4</v>
      </c>
      <c r="H1" s="19"/>
      <c r="J1" s="19" t="s">
        <v>25</v>
      </c>
      <c r="K1" s="19"/>
      <c r="N1" s="7"/>
      <c r="O1" s="7"/>
      <c r="S1" s="7"/>
    </row>
    <row r="2" customHeight="1" spans="1:19">
      <c r="A2" s="5">
        <v>0.000214671</v>
      </c>
      <c r="B2" s="5">
        <v>56263800</v>
      </c>
      <c r="D2" s="5">
        <v>0.000207118</v>
      </c>
      <c r="E2" s="5">
        <v>57153800</v>
      </c>
      <c r="G2" s="18">
        <v>0.000223905</v>
      </c>
      <c r="H2" s="5">
        <v>57141400</v>
      </c>
      <c r="K2" s="3" t="s">
        <v>16</v>
      </c>
      <c r="L2" s="3" t="s">
        <v>17</v>
      </c>
      <c r="M2" s="3" t="s">
        <v>18</v>
      </c>
      <c r="N2" s="7" t="s">
        <v>19</v>
      </c>
      <c r="O2" s="7" t="s">
        <v>20</v>
      </c>
      <c r="P2" s="3" t="s">
        <v>21</v>
      </c>
      <c r="Q2" s="3" t="s">
        <v>22</v>
      </c>
      <c r="R2" s="3" t="s">
        <v>23</v>
      </c>
      <c r="S2" s="7" t="s">
        <v>24</v>
      </c>
    </row>
    <row r="3" customHeight="1" spans="1:19">
      <c r="A3" s="5">
        <v>0.000979536</v>
      </c>
      <c r="B3" s="5">
        <v>81516300</v>
      </c>
      <c r="D3" s="5">
        <v>0.00101975</v>
      </c>
      <c r="E3" s="5">
        <v>81812800</v>
      </c>
      <c r="G3" s="18">
        <v>0.00102224</v>
      </c>
      <c r="H3" s="5">
        <v>74603000</v>
      </c>
      <c r="J3" s="3" t="s">
        <v>2</v>
      </c>
      <c r="K3" s="3">
        <f>AVERAGE(B28:B32)/1000000</f>
        <v>106.2344</v>
      </c>
      <c r="L3" s="5">
        <f>AVERAGE('400K_SR20'!L28:L32)</f>
        <v>4341056000000</v>
      </c>
      <c r="M3" s="5">
        <f>AVERAGE('400K_SR20'!C28:C32)</f>
        <v>21060120000000</v>
      </c>
      <c r="N3" s="7">
        <f>Graphs!$B$1*80.9*0.248*SQRT(L3)/1000000</f>
        <v>20.901040218058</v>
      </c>
      <c r="O3" s="7">
        <f>Graphs!$B$2*80.9*0.248*SQRT(M3)/1000000</f>
        <v>4.60363228943562</v>
      </c>
      <c r="P3" s="3">
        <f>SQRT(N3^2+O3^2)</f>
        <v>21.4020305684581</v>
      </c>
      <c r="Q3" s="3">
        <f>K3*0.4707</f>
        <v>50.00453208</v>
      </c>
      <c r="R3" s="3">
        <f>Q3/P3</f>
        <v>2.3364386813696</v>
      </c>
      <c r="S3" s="7">
        <f>L3/M3</f>
        <v>0.206126840682769</v>
      </c>
    </row>
    <row r="4" customHeight="1" spans="1:19">
      <c r="A4" s="5">
        <v>0.00197987</v>
      </c>
      <c r="B4" s="5">
        <v>92883900</v>
      </c>
      <c r="D4" s="5">
        <v>0.00202976</v>
      </c>
      <c r="E4" s="5">
        <v>94538800</v>
      </c>
      <c r="G4" s="18">
        <v>0.00199238</v>
      </c>
      <c r="H4" s="5">
        <v>86249400</v>
      </c>
      <c r="J4" s="3" t="s">
        <v>3</v>
      </c>
      <c r="K4" s="3">
        <f>AVERAGE(E28:E32)/1000000</f>
        <v>100.18022</v>
      </c>
      <c r="L4" s="5">
        <f>AVERAGE('400K_SR20'!Y28:Y32)</f>
        <v>5103916000000</v>
      </c>
      <c r="M4" s="5">
        <f>AVERAGE('400K_SR20'!P28:P32)</f>
        <v>21109080000000</v>
      </c>
      <c r="N4" s="7">
        <f>Graphs!$B$1*80.9*0.248*SQRT(L4)/1000000</f>
        <v>22.6632383272638</v>
      </c>
      <c r="O4" s="7">
        <f>Graphs!$B$2*80.9*0.248*SQRT(M4)/1000000</f>
        <v>4.6089803831682</v>
      </c>
      <c r="P4" s="3">
        <f>SQRT(N4^2+O4^2)</f>
        <v>23.1271500978999</v>
      </c>
      <c r="Q4" s="3">
        <f>K4*0.4707</f>
        <v>47.154829554</v>
      </c>
      <c r="R4" s="3">
        <f>Q4/P4</f>
        <v>2.03893818972023</v>
      </c>
      <c r="S4" s="7">
        <f>L4/M4</f>
        <v>0.241787704627582</v>
      </c>
    </row>
    <row r="5" customHeight="1" spans="1:19">
      <c r="A5" s="5">
        <v>0.00297193</v>
      </c>
      <c r="B5" s="5">
        <v>103305000</v>
      </c>
      <c r="D5" s="5">
        <v>0.0030084</v>
      </c>
      <c r="E5" s="5">
        <v>98387700</v>
      </c>
      <c r="G5" s="18">
        <v>0.00301052</v>
      </c>
      <c r="H5" s="5">
        <v>91386600</v>
      </c>
      <c r="J5" s="3" t="s">
        <v>14</v>
      </c>
      <c r="K5" s="3">
        <f>AVERAGE(H28:H32)/1000000</f>
        <v>104.2784</v>
      </c>
      <c r="L5" s="5">
        <f>AVERAGE('400K_SR20'!AL28:AL32)</f>
        <v>4007330000000</v>
      </c>
      <c r="M5" s="5">
        <f>AVERAGE('400K_SR20'!AC28:AC32)</f>
        <v>21192760000000</v>
      </c>
      <c r="N5" s="7">
        <f>Graphs!$B$1*80.9*0.248*SQRT(L5)/1000000</f>
        <v>20.0815744930383</v>
      </c>
      <c r="O5" s="7">
        <f>Graphs!$B$2*80.9*0.248*SQRT(M5)/1000000</f>
        <v>4.61810674038878</v>
      </c>
      <c r="P5" s="3">
        <f>SQRT(N5^2+O5^2)</f>
        <v>20.6057405590061</v>
      </c>
      <c r="Q5" s="3">
        <f>K5*0.4707</f>
        <v>49.08384288</v>
      </c>
      <c r="R5" s="3">
        <f>Q5/P5</f>
        <v>2.38204701934612</v>
      </c>
      <c r="S5" s="7">
        <f>L5/M5</f>
        <v>0.189089575874025</v>
      </c>
    </row>
    <row r="6" customHeight="1" spans="1:8">
      <c r="A6" s="5">
        <v>0.00397339</v>
      </c>
      <c r="B6" s="5">
        <v>100983000</v>
      </c>
      <c r="D6" s="5">
        <v>0.00400344</v>
      </c>
      <c r="E6" s="5">
        <v>90691500</v>
      </c>
      <c r="G6" s="18">
        <v>0.00398633</v>
      </c>
      <c r="H6" s="5">
        <v>98603200</v>
      </c>
    </row>
    <row r="7" customHeight="1" spans="1:8">
      <c r="A7" s="5">
        <v>0.00500065</v>
      </c>
      <c r="B7" s="5">
        <v>91066000</v>
      </c>
      <c r="D7" s="5">
        <v>0.00499299</v>
      </c>
      <c r="E7" s="5">
        <v>92490000</v>
      </c>
      <c r="G7" s="18">
        <v>0.00499157</v>
      </c>
      <c r="H7" s="5">
        <v>99848400</v>
      </c>
    </row>
    <row r="8" customHeight="1" spans="1:8">
      <c r="A8" s="5">
        <v>0.00594836</v>
      </c>
      <c r="B8" s="5">
        <v>99849700</v>
      </c>
      <c r="D8" s="5">
        <v>0.00599919</v>
      </c>
      <c r="E8" s="5">
        <v>99841600</v>
      </c>
      <c r="G8" s="18">
        <v>0.00598184</v>
      </c>
      <c r="H8" s="5">
        <v>100131000</v>
      </c>
    </row>
    <row r="9" customHeight="1" spans="1:8">
      <c r="A9" s="5">
        <v>0.00697824</v>
      </c>
      <c r="B9" s="5">
        <v>97951600</v>
      </c>
      <c r="D9" s="5">
        <v>0.00699065</v>
      </c>
      <c r="E9" s="5">
        <v>109162000</v>
      </c>
      <c r="G9" s="18">
        <v>0.00702116</v>
      </c>
      <c r="H9" s="5">
        <v>102970000</v>
      </c>
    </row>
    <row r="10" customHeight="1" spans="1:19">
      <c r="A10" s="5">
        <v>0.00802007</v>
      </c>
      <c r="B10" s="5">
        <v>97679900</v>
      </c>
      <c r="D10" s="5">
        <v>0.00798197</v>
      </c>
      <c r="E10" s="5">
        <v>97294700</v>
      </c>
      <c r="G10" s="18">
        <v>0.00800037</v>
      </c>
      <c r="H10" s="5">
        <v>106845000</v>
      </c>
      <c r="J10" s="3" t="s">
        <v>2</v>
      </c>
      <c r="K10" s="3">
        <f>AVERAGE(B12:B16)/1000000</f>
        <v>105.8598</v>
      </c>
      <c r="L10" s="5">
        <f>AVERAGE('400K_SR20'!L12:L16)</f>
        <v>4665850000000</v>
      </c>
      <c r="M10" s="5">
        <f>AVERAGE('400K_SR20'!C12:C16)</f>
        <v>21184560000000</v>
      </c>
      <c r="N10" s="7">
        <f>Graphs!$B$1*80.9*0.248*SQRT(L10)/1000000</f>
        <v>21.6688365246309</v>
      </c>
      <c r="O10" s="7">
        <f>Graphs!$B$2*80.9*0.248*SQRT(M10)/1000000</f>
        <v>4.6172132244182</v>
      </c>
      <c r="P10" s="3">
        <f>SQRT(N10^2+O10^2)</f>
        <v>22.1552958520287</v>
      </c>
      <c r="Q10" s="3">
        <f>K10*0.4707</f>
        <v>49.82820786</v>
      </c>
      <c r="R10" s="3">
        <f>Q10/P10</f>
        <v>2.24904276579261</v>
      </c>
      <c r="S10" s="7">
        <f>L10/M10</f>
        <v>0.220247670945254</v>
      </c>
    </row>
    <row r="11" customHeight="1" spans="1:19">
      <c r="A11" s="5">
        <v>0.00900566</v>
      </c>
      <c r="B11" s="5">
        <v>104115000</v>
      </c>
      <c r="D11" s="5">
        <v>0.00896409</v>
      </c>
      <c r="E11" s="5">
        <v>104036000</v>
      </c>
      <c r="G11" s="18">
        <v>0.00897995</v>
      </c>
      <c r="H11" s="5">
        <v>107716000</v>
      </c>
      <c r="J11" s="3" t="s">
        <v>3</v>
      </c>
      <c r="K11" s="3">
        <f>AVERAGE(E12:E16)/1000000</f>
        <v>103.65422</v>
      </c>
      <c r="L11" s="5">
        <f>AVERAGE('400K_SR20'!Y12:Y16)</f>
        <v>4177888000000</v>
      </c>
      <c r="M11" s="5">
        <f>AVERAGE('400K_SR20'!P12:P16)</f>
        <v>21163880000000</v>
      </c>
      <c r="N11" s="7">
        <f>Graphs!$B$1*80.9*0.248*SQRT(L11)/1000000</f>
        <v>20.5044726117948</v>
      </c>
      <c r="O11" s="7">
        <f>Graphs!$B$2*80.9*0.248*SQRT(M11)/1000000</f>
        <v>4.61495905243374</v>
      </c>
      <c r="P11" s="3">
        <f>SQRT(N11^2+O11^2)</f>
        <v>21.0174033634862</v>
      </c>
      <c r="Q11" s="3">
        <f>K11*0.4707</f>
        <v>48.790041354</v>
      </c>
      <c r="R11" s="3">
        <f>Q11/P11</f>
        <v>2.32141147553763</v>
      </c>
      <c r="S11" s="7">
        <f>L11/M11</f>
        <v>0.19740652470152</v>
      </c>
    </row>
    <row r="12" customHeight="1" spans="1:19">
      <c r="A12" s="5">
        <v>0.0099903</v>
      </c>
      <c r="B12" s="5">
        <v>105237000</v>
      </c>
      <c r="D12" s="5">
        <v>0.0100335</v>
      </c>
      <c r="E12" s="5">
        <v>104276000</v>
      </c>
      <c r="G12" s="18">
        <v>0.00992246</v>
      </c>
      <c r="H12" s="5">
        <v>105101000</v>
      </c>
      <c r="J12" s="3" t="s">
        <v>14</v>
      </c>
      <c r="K12" s="3">
        <f>AVERAGE(H12:H16)/1000000</f>
        <v>103.3674</v>
      </c>
      <c r="L12" s="5">
        <f>AVERAGE('400K_SR20'!AL12:AL16)</f>
        <v>3938012000000</v>
      </c>
      <c r="M12" s="5">
        <f>AVERAGE('400K_SR20'!AC12:AC16)</f>
        <v>21127760000000</v>
      </c>
      <c r="N12" s="7">
        <f>Graphs!$B$1*80.9*0.248*SQRT(L12)/1000000</f>
        <v>19.9071332924975</v>
      </c>
      <c r="O12" s="7">
        <f>Graphs!$B$2*80.9*0.248*SQRT(M12)/1000000</f>
        <v>4.61101923836371</v>
      </c>
      <c r="P12" s="3">
        <f>SQRT(N12^2+O12^2)</f>
        <v>20.4341736887456</v>
      </c>
      <c r="Q12" s="3">
        <f>K12*0.4707</f>
        <v>48.65503518</v>
      </c>
      <c r="R12" s="3">
        <f>Q12/P12</f>
        <v>2.38106203466389</v>
      </c>
      <c r="S12" s="7">
        <f>L12/M12</f>
        <v>0.186390417157332</v>
      </c>
    </row>
    <row r="13" customHeight="1" spans="1:8">
      <c r="A13" s="5">
        <v>0.0110013</v>
      </c>
      <c r="B13" s="5">
        <v>105309000</v>
      </c>
      <c r="D13" s="5">
        <v>0.0109727</v>
      </c>
      <c r="E13" s="5">
        <v>105351000</v>
      </c>
      <c r="G13" s="18">
        <v>0.0110035</v>
      </c>
      <c r="H13" s="5">
        <v>100783000</v>
      </c>
    </row>
    <row r="14" customHeight="1" spans="1:8">
      <c r="A14" s="5">
        <v>0.0120149</v>
      </c>
      <c r="B14" s="5">
        <v>108900000</v>
      </c>
      <c r="D14" s="5">
        <v>0.0119895</v>
      </c>
      <c r="E14" s="5">
        <v>103328000</v>
      </c>
      <c r="G14" s="18">
        <v>0.0119864</v>
      </c>
      <c r="H14" s="5">
        <v>104502000</v>
      </c>
    </row>
    <row r="15" customHeight="1" spans="1:8">
      <c r="A15" s="5">
        <v>0.0130014</v>
      </c>
      <c r="B15" s="5">
        <v>108628000</v>
      </c>
      <c r="D15" s="5">
        <v>0.0129959</v>
      </c>
      <c r="E15" s="5">
        <v>106347000</v>
      </c>
      <c r="G15" s="18">
        <v>0.0130056</v>
      </c>
      <c r="H15" s="5">
        <v>105302000</v>
      </c>
    </row>
    <row r="16" customHeight="1" spans="1:8">
      <c r="A16" s="5">
        <v>0.0140061</v>
      </c>
      <c r="B16" s="5">
        <v>101225000</v>
      </c>
      <c r="D16" s="5">
        <v>0.0140073</v>
      </c>
      <c r="E16" s="5">
        <v>98969100</v>
      </c>
      <c r="G16" s="18">
        <v>0.0140047</v>
      </c>
      <c r="H16" s="5">
        <v>101149000</v>
      </c>
    </row>
    <row r="17" customHeight="1" spans="1:8">
      <c r="A17" s="5">
        <v>0.0149829</v>
      </c>
      <c r="B17" s="5">
        <v>104601000</v>
      </c>
      <c r="D17" s="5">
        <v>0.0150149</v>
      </c>
      <c r="E17" s="5">
        <v>100759000</v>
      </c>
      <c r="G17" s="18">
        <v>0.0149778</v>
      </c>
      <c r="H17" s="5">
        <v>104714000</v>
      </c>
    </row>
    <row r="18" customHeight="1" spans="1:8">
      <c r="A18" s="5">
        <v>0.0160063</v>
      </c>
      <c r="B18" s="5">
        <v>96012600</v>
      </c>
      <c r="D18" s="5">
        <v>0.0160005</v>
      </c>
      <c r="E18" s="5">
        <v>98480100</v>
      </c>
      <c r="G18" s="18">
        <v>0.015973</v>
      </c>
      <c r="H18" s="5">
        <v>108941000</v>
      </c>
    </row>
    <row r="19" customHeight="1" spans="1:8">
      <c r="A19" s="5">
        <v>0.0169875</v>
      </c>
      <c r="B19" s="5">
        <v>99229400</v>
      </c>
      <c r="D19" s="5">
        <v>0.0169995</v>
      </c>
      <c r="E19" s="5">
        <v>103280000</v>
      </c>
      <c r="G19" s="18">
        <v>0.016993</v>
      </c>
      <c r="H19" s="5">
        <v>105498000</v>
      </c>
    </row>
    <row r="20" customHeight="1" spans="1:8">
      <c r="A20" s="5">
        <v>0.0180264</v>
      </c>
      <c r="B20" s="5">
        <v>99254600</v>
      </c>
      <c r="D20" s="5">
        <v>0.0180493</v>
      </c>
      <c r="E20" s="5">
        <v>105577000</v>
      </c>
      <c r="G20" s="18">
        <v>0.0180102</v>
      </c>
      <c r="H20" s="5">
        <v>105766000</v>
      </c>
    </row>
    <row r="21" customHeight="1" spans="1:8">
      <c r="A21" s="5">
        <v>0.0190506</v>
      </c>
      <c r="B21" s="5">
        <v>95242300</v>
      </c>
      <c r="D21" s="5">
        <v>0.0190446</v>
      </c>
      <c r="E21" s="5">
        <v>103330000</v>
      </c>
      <c r="G21" s="18">
        <v>0.0190019</v>
      </c>
      <c r="H21" s="5">
        <v>103877000</v>
      </c>
    </row>
    <row r="22" customHeight="1" spans="1:8">
      <c r="A22" s="5">
        <v>0.0200326</v>
      </c>
      <c r="B22" s="5">
        <v>95225900</v>
      </c>
      <c r="D22" s="5">
        <v>0.0199774</v>
      </c>
      <c r="E22" s="5">
        <v>108127000</v>
      </c>
      <c r="G22" s="18">
        <v>0.0199888</v>
      </c>
      <c r="H22" s="5">
        <v>104053000</v>
      </c>
    </row>
    <row r="23" customHeight="1" spans="1:8">
      <c r="A23" s="5">
        <v>0.0210018</v>
      </c>
      <c r="B23" s="5">
        <v>101420000</v>
      </c>
      <c r="D23" s="5">
        <v>0.0210063</v>
      </c>
      <c r="E23" s="5">
        <v>99079800</v>
      </c>
      <c r="G23" s="18">
        <v>0.0210403</v>
      </c>
      <c r="H23" s="5">
        <v>102477000</v>
      </c>
    </row>
    <row r="24" customHeight="1" spans="1:8">
      <c r="A24" s="5">
        <v>0.0220033</v>
      </c>
      <c r="B24" s="5">
        <v>101743000</v>
      </c>
      <c r="D24" s="5">
        <v>0.022</v>
      </c>
      <c r="E24" s="5">
        <v>96833400</v>
      </c>
      <c r="G24" s="18">
        <v>0.0219884</v>
      </c>
      <c r="H24" s="5">
        <v>105586000</v>
      </c>
    </row>
    <row r="25" customHeight="1" spans="1:8">
      <c r="A25" s="5">
        <v>0.0229936</v>
      </c>
      <c r="B25" s="5">
        <v>99478500</v>
      </c>
      <c r="D25" s="5">
        <v>0.0229629</v>
      </c>
      <c r="E25" s="5">
        <v>102472000</v>
      </c>
      <c r="G25" s="18">
        <v>0.0230401</v>
      </c>
      <c r="H25" s="5">
        <v>103736000</v>
      </c>
    </row>
    <row r="26" customHeight="1" spans="1:8">
      <c r="A26" s="5">
        <v>0.0239954</v>
      </c>
      <c r="B26" s="5">
        <v>105685000</v>
      </c>
      <c r="D26" s="5">
        <v>0.0240105</v>
      </c>
      <c r="E26" s="5">
        <v>98868700</v>
      </c>
      <c r="G26" s="18">
        <v>0.0239835</v>
      </c>
      <c r="H26" s="5">
        <v>100776000</v>
      </c>
    </row>
    <row r="27" customHeight="1" spans="1:8">
      <c r="A27" s="5">
        <v>0.0250238</v>
      </c>
      <c r="B27" s="5">
        <v>99256800</v>
      </c>
      <c r="D27" s="5">
        <v>0.0250104</v>
      </c>
      <c r="E27" s="5">
        <v>93976200</v>
      </c>
      <c r="G27" s="18">
        <v>0.0249984</v>
      </c>
      <c r="H27" s="5">
        <v>98256100</v>
      </c>
    </row>
    <row r="28" customHeight="1" spans="1:8">
      <c r="A28" s="5">
        <v>0.0259826</v>
      </c>
      <c r="B28" s="5">
        <v>102762000</v>
      </c>
      <c r="D28" s="5">
        <v>0.026026</v>
      </c>
      <c r="E28" s="5">
        <v>98852700</v>
      </c>
      <c r="G28" s="18">
        <v>0.0260071</v>
      </c>
      <c r="H28" s="5">
        <v>104345000</v>
      </c>
    </row>
    <row r="29" customHeight="1" spans="1:8">
      <c r="A29" s="5">
        <v>0.0270057</v>
      </c>
      <c r="B29" s="5">
        <v>105095000</v>
      </c>
      <c r="D29" s="5">
        <v>0.0270126</v>
      </c>
      <c r="E29" s="5">
        <v>99385100</v>
      </c>
      <c r="G29" s="18">
        <v>0.0270039</v>
      </c>
      <c r="H29" s="5">
        <v>106951000</v>
      </c>
    </row>
    <row r="30" customHeight="1" spans="1:8">
      <c r="A30" s="5">
        <v>0.0279802</v>
      </c>
      <c r="B30" s="5">
        <v>103395000</v>
      </c>
      <c r="D30" s="5">
        <v>0.0280043</v>
      </c>
      <c r="E30" s="5">
        <v>95699300</v>
      </c>
      <c r="G30" s="18">
        <v>0.0279909</v>
      </c>
      <c r="H30" s="5">
        <v>100079000</v>
      </c>
    </row>
    <row r="31" customHeight="1" spans="1:8">
      <c r="A31" s="5">
        <v>0.0290162</v>
      </c>
      <c r="B31" s="5">
        <v>111178000</v>
      </c>
      <c r="D31" s="5">
        <v>0.0290045</v>
      </c>
      <c r="E31" s="5">
        <v>104485000</v>
      </c>
      <c r="G31" s="18">
        <v>0.029031</v>
      </c>
      <c r="H31" s="5">
        <v>101411000</v>
      </c>
    </row>
    <row r="32" customHeight="1" spans="1:8">
      <c r="A32" s="5">
        <v>0.0299836</v>
      </c>
      <c r="B32" s="5">
        <v>108742000</v>
      </c>
      <c r="D32" s="5">
        <v>0.0300053</v>
      </c>
      <c r="E32" s="5">
        <v>102479000</v>
      </c>
      <c r="G32" s="18">
        <v>0.0300282</v>
      </c>
      <c r="H32" s="5">
        <v>108606000</v>
      </c>
    </row>
    <row r="33" customHeight="1" spans="1:8">
      <c r="A33" s="5">
        <v>0.0309722</v>
      </c>
      <c r="B33" s="5">
        <v>108732000</v>
      </c>
      <c r="D33" s="5">
        <v>0.03099</v>
      </c>
      <c r="E33" s="5">
        <v>99549800</v>
      </c>
      <c r="G33" s="18">
        <v>0.0309185</v>
      </c>
      <c r="H33" s="5">
        <v>109834000</v>
      </c>
    </row>
    <row r="34" customHeight="1" spans="1:8">
      <c r="A34" s="5">
        <v>0.0320136</v>
      </c>
      <c r="B34" s="5">
        <v>113508000</v>
      </c>
      <c r="D34" s="5">
        <v>0.0319776</v>
      </c>
      <c r="E34" s="5">
        <v>98718800</v>
      </c>
      <c r="G34" s="18">
        <v>0.0320312</v>
      </c>
      <c r="H34" s="5">
        <v>108794000</v>
      </c>
    </row>
    <row r="35" customHeight="1" spans="1:8">
      <c r="A35" s="5">
        <v>0.0330387</v>
      </c>
      <c r="B35" s="5">
        <v>99205600</v>
      </c>
      <c r="D35" s="5">
        <v>0.0330109</v>
      </c>
      <c r="E35" s="5">
        <v>106062000</v>
      </c>
      <c r="G35" s="18">
        <v>0.0330259</v>
      </c>
      <c r="H35" s="5">
        <v>112040000</v>
      </c>
    </row>
    <row r="36" customHeight="1" spans="1:8">
      <c r="A36" s="5">
        <v>0.0340135</v>
      </c>
      <c r="B36" s="5">
        <v>101044000</v>
      </c>
      <c r="D36" s="5">
        <v>0.0340441</v>
      </c>
      <c r="E36" s="5">
        <v>103273000</v>
      </c>
      <c r="G36" s="18">
        <v>0.0340692</v>
      </c>
      <c r="H36" s="5">
        <v>104460000</v>
      </c>
    </row>
    <row r="37" customHeight="1" spans="1:8">
      <c r="A37" s="5">
        <v>0.0350137</v>
      </c>
      <c r="B37" s="5">
        <v>104621000</v>
      </c>
      <c r="D37" s="5">
        <v>0.0350177</v>
      </c>
      <c r="E37" s="5">
        <v>105286000</v>
      </c>
      <c r="G37" s="18">
        <v>0.0349709</v>
      </c>
      <c r="H37" s="5">
        <v>103840000</v>
      </c>
    </row>
    <row r="38" customHeight="1" spans="1:8">
      <c r="A38" s="5">
        <v>0.0360163</v>
      </c>
      <c r="B38" s="5">
        <v>100831000</v>
      </c>
      <c r="D38" s="5">
        <v>0.0359639</v>
      </c>
      <c r="E38" s="5">
        <v>108226000</v>
      </c>
      <c r="G38" s="18">
        <v>0.0360253</v>
      </c>
      <c r="H38" s="5">
        <v>96864900</v>
      </c>
    </row>
    <row r="39" customHeight="1" spans="1:8">
      <c r="A39" s="5">
        <v>0.0369691</v>
      </c>
      <c r="B39" s="5">
        <v>105092000</v>
      </c>
      <c r="D39" s="5">
        <v>0.0370175</v>
      </c>
      <c r="E39" s="5">
        <v>107628000</v>
      </c>
      <c r="G39" s="18">
        <v>0.0370321</v>
      </c>
      <c r="H39" s="5">
        <v>97884700</v>
      </c>
    </row>
    <row r="40" customHeight="1" spans="1:8">
      <c r="A40" s="5">
        <v>0.0379821</v>
      </c>
      <c r="B40" s="5">
        <v>101502000</v>
      </c>
      <c r="D40" s="5">
        <v>0.0379943</v>
      </c>
      <c r="E40" s="5">
        <v>110630000</v>
      </c>
      <c r="G40" s="18">
        <v>0.0380159</v>
      </c>
      <c r="H40" s="5">
        <v>93980200</v>
      </c>
    </row>
    <row r="41" customHeight="1" spans="1:8">
      <c r="A41" s="5">
        <v>0.0389915</v>
      </c>
      <c r="B41" s="5">
        <v>105376000</v>
      </c>
      <c r="D41" s="5">
        <v>0.0390003</v>
      </c>
      <c r="E41" s="5">
        <v>118778000</v>
      </c>
      <c r="G41" s="18">
        <v>0.0390136</v>
      </c>
      <c r="H41" s="5">
        <v>96051000</v>
      </c>
    </row>
    <row r="42" customHeight="1" spans="1:8">
      <c r="A42" s="5">
        <v>0.0400133</v>
      </c>
      <c r="B42" s="5">
        <v>100348000</v>
      </c>
      <c r="D42" s="5">
        <v>0.0399857</v>
      </c>
      <c r="E42" s="5">
        <v>110735000</v>
      </c>
      <c r="G42" s="18">
        <v>0.039991</v>
      </c>
      <c r="H42" s="5">
        <v>94481200</v>
      </c>
    </row>
    <row r="43" customHeight="1" spans="1:8">
      <c r="A43" s="5">
        <v>0.040969</v>
      </c>
      <c r="B43" s="5">
        <v>108206000</v>
      </c>
      <c r="D43" s="5">
        <v>0.0409458</v>
      </c>
      <c r="E43" s="5">
        <v>107706000</v>
      </c>
      <c r="G43" s="18">
        <v>0.0410099</v>
      </c>
      <c r="H43" s="5">
        <v>108230000</v>
      </c>
    </row>
    <row r="44" customHeight="1" spans="1:8">
      <c r="A44" s="5">
        <v>0.041985</v>
      </c>
      <c r="B44" s="5">
        <v>103279000</v>
      </c>
      <c r="D44" s="5">
        <v>0.042012</v>
      </c>
      <c r="E44" s="5">
        <v>100564000</v>
      </c>
      <c r="G44" s="18">
        <v>0.0420054</v>
      </c>
      <c r="H44" s="5">
        <v>103608000</v>
      </c>
    </row>
    <row r="45" customHeight="1" spans="1:8">
      <c r="A45" s="5">
        <v>0.0430038</v>
      </c>
      <c r="B45" s="5">
        <v>96296700</v>
      </c>
      <c r="D45" s="5">
        <v>0.0430357</v>
      </c>
      <c r="E45" s="5">
        <v>105574000</v>
      </c>
      <c r="G45" s="18">
        <v>0.0429788</v>
      </c>
      <c r="H45" s="5">
        <v>100523000</v>
      </c>
    </row>
    <row r="46" customHeight="1" spans="1:8">
      <c r="A46" s="5">
        <v>0.0440017</v>
      </c>
      <c r="B46" s="5">
        <v>91657300</v>
      </c>
      <c r="D46" s="5">
        <v>0.043943</v>
      </c>
      <c r="E46" s="5">
        <v>109344000</v>
      </c>
      <c r="G46" s="18">
        <v>0.0439889</v>
      </c>
      <c r="H46" s="5">
        <v>103237000</v>
      </c>
    </row>
    <row r="47" customHeight="1" spans="1:8">
      <c r="A47" s="5">
        <v>0.0449997</v>
      </c>
      <c r="B47" s="5">
        <v>93116500</v>
      </c>
      <c r="D47" s="5">
        <v>0.0450155</v>
      </c>
      <c r="E47" s="5">
        <v>105961000</v>
      </c>
      <c r="G47" s="18">
        <v>0.0450192</v>
      </c>
      <c r="H47" s="5">
        <v>107594000</v>
      </c>
    </row>
    <row r="48" customHeight="1" spans="1:8">
      <c r="A48" s="5">
        <v>0.0459798</v>
      </c>
      <c r="B48" s="5">
        <v>104534000</v>
      </c>
      <c r="D48" s="5">
        <v>0.0459739</v>
      </c>
      <c r="E48" s="5">
        <v>111595000</v>
      </c>
      <c r="G48" s="18">
        <v>0.0460198</v>
      </c>
      <c r="H48" s="5">
        <v>100543000</v>
      </c>
    </row>
    <row r="49" customHeight="1" spans="1:8">
      <c r="A49" s="5">
        <v>0.0470347</v>
      </c>
      <c r="B49" s="5">
        <v>96067600</v>
      </c>
      <c r="D49" s="5">
        <v>0.0469776</v>
      </c>
      <c r="E49" s="5">
        <v>110189000</v>
      </c>
      <c r="G49" s="18">
        <v>0.0469929</v>
      </c>
      <c r="H49" s="5">
        <v>102989000</v>
      </c>
    </row>
    <row r="50" customHeight="1" spans="1:8">
      <c r="A50" s="5">
        <v>0.047976</v>
      </c>
      <c r="B50" s="5">
        <v>96534900</v>
      </c>
      <c r="G50" s="18">
        <v>0.0480313</v>
      </c>
      <c r="H50" s="5">
        <v>102956000</v>
      </c>
    </row>
    <row r="51" customHeight="1" spans="1:8">
      <c r="A51" s="5">
        <v>0.0489749</v>
      </c>
      <c r="B51" s="5">
        <v>107712000</v>
      </c>
      <c r="G51" s="18">
        <v>0.048999</v>
      </c>
      <c r="H51" s="5">
        <v>103188000</v>
      </c>
    </row>
    <row r="52" customHeight="1" spans="1:8">
      <c r="A52" s="5">
        <v>0.0500052</v>
      </c>
      <c r="B52" s="5">
        <v>100198000</v>
      </c>
      <c r="G52" s="18">
        <v>0.049981</v>
      </c>
      <c r="H52" s="5">
        <v>113481000</v>
      </c>
    </row>
    <row r="53" customHeight="1" spans="7:8">
      <c r="G53" s="18">
        <v>0.051024</v>
      </c>
      <c r="H53" s="5">
        <v>111700000</v>
      </c>
    </row>
    <row r="54" customHeight="1" spans="7:8">
      <c r="G54" s="18">
        <v>0.0520175</v>
      </c>
      <c r="H54" s="5">
        <v>105857000</v>
      </c>
    </row>
    <row r="55" customHeight="1" spans="7:8">
      <c r="G55" s="18">
        <v>0.0529076</v>
      </c>
      <c r="H55" s="5">
        <v>105656000</v>
      </c>
    </row>
  </sheetData>
  <mergeCells count="4">
    <mergeCell ref="A1:B1"/>
    <mergeCell ref="D1:E1"/>
    <mergeCell ref="G1:H1"/>
    <mergeCell ref="J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3"/>
  <sheetViews>
    <sheetView zoomScale="180" zoomScaleNormal="180" topLeftCell="R25" workbookViewId="0">
      <selection activeCell="AL28" sqref="AL28"/>
    </sheetView>
  </sheetViews>
  <sheetFormatPr defaultColWidth="9.01481481481481" defaultRowHeight="15" customHeight="1"/>
  <sheetData>
    <row r="1" customHeight="1" spans="1:46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N1" s="19" t="s">
        <v>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AA1" s="19" t="s">
        <v>4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N1" s="20" t="s">
        <v>5</v>
      </c>
      <c r="AO1" s="20" t="s">
        <v>6</v>
      </c>
      <c r="AP1" s="20" t="s">
        <v>7</v>
      </c>
      <c r="AQ1" s="20" t="s">
        <v>8</v>
      </c>
      <c r="AR1" s="3" t="s">
        <v>9</v>
      </c>
      <c r="AS1" s="3" t="s">
        <v>10</v>
      </c>
      <c r="AT1" s="3" t="s">
        <v>11</v>
      </c>
    </row>
    <row r="2" customHeight="1" spans="1:46">
      <c r="A2" s="15">
        <v>0.000214671</v>
      </c>
      <c r="B2" s="5">
        <v>0.000482777</v>
      </c>
      <c r="C2" s="5">
        <v>19848800000000</v>
      </c>
      <c r="D2" s="5">
        <v>2789680000</v>
      </c>
      <c r="E2" s="5">
        <v>0</v>
      </c>
      <c r="F2" s="5">
        <v>0</v>
      </c>
      <c r="G2" s="5">
        <v>2</v>
      </c>
      <c r="H2" s="5">
        <v>5352470000000</v>
      </c>
      <c r="I2" s="5">
        <v>4596080000000</v>
      </c>
      <c r="J2" s="5">
        <v>4578060000000</v>
      </c>
      <c r="K2" s="5">
        <v>4604460000000</v>
      </c>
      <c r="L2" s="5">
        <v>717679000000</v>
      </c>
      <c r="N2" s="15">
        <v>0.000207118</v>
      </c>
      <c r="O2" s="5">
        <v>0.000479465</v>
      </c>
      <c r="P2" s="5">
        <v>19885600000000</v>
      </c>
      <c r="Q2" s="5">
        <v>733856000</v>
      </c>
      <c r="R2" s="5">
        <v>0</v>
      </c>
      <c r="S2" s="5">
        <v>0</v>
      </c>
      <c r="T2" s="5">
        <v>2</v>
      </c>
      <c r="U2" s="5">
        <v>5408980000000</v>
      </c>
      <c r="V2" s="5">
        <v>4644980000000</v>
      </c>
      <c r="W2" s="5">
        <v>4643070000000</v>
      </c>
      <c r="X2" s="5">
        <v>4641660000000</v>
      </c>
      <c r="Y2" s="5">
        <v>546923000000</v>
      </c>
      <c r="AA2" s="15">
        <v>0.000223905</v>
      </c>
      <c r="AB2" s="5">
        <v>0.000496194</v>
      </c>
      <c r="AC2" s="5">
        <v>19793600000000</v>
      </c>
      <c r="AD2" s="5">
        <v>2375710000</v>
      </c>
      <c r="AE2" s="5">
        <v>0</v>
      </c>
      <c r="AF2" s="5">
        <v>0</v>
      </c>
      <c r="AG2" s="5">
        <v>2</v>
      </c>
      <c r="AH2" s="5">
        <v>4854800000000</v>
      </c>
      <c r="AI2" s="5">
        <v>4817360000000</v>
      </c>
      <c r="AJ2" s="5">
        <v>4829670000000</v>
      </c>
      <c r="AK2" s="5">
        <v>4836630000000</v>
      </c>
      <c r="AL2" s="5">
        <v>455193000000</v>
      </c>
      <c r="AN2" s="5">
        <f t="shared" ref="AN2:AN52" si="0">A2</f>
        <v>0.000214671</v>
      </c>
      <c r="AO2" s="5">
        <f t="shared" ref="AO2:AO52" si="1">(C2+P2+AC2)/3</f>
        <v>19842666666666.7</v>
      </c>
      <c r="AP2" s="5">
        <f t="shared" ref="AP2:AP52" si="2">MIN(C2,P2,AC2)</f>
        <v>19793600000000</v>
      </c>
      <c r="AQ2" s="5">
        <f t="shared" ref="AQ2:AQ52" si="3">MAX(C2,P2,AC2)</f>
        <v>19885600000000</v>
      </c>
      <c r="AR2" s="5">
        <f t="shared" ref="AR2:AR52" si="4">(L2+Y2+AL2)/3</f>
        <v>573265000000</v>
      </c>
      <c r="AS2" s="5">
        <f t="shared" ref="AS2:AS52" si="5">MIN(L2,Y2,AL2)</f>
        <v>455193000000</v>
      </c>
      <c r="AT2" s="5">
        <f t="shared" ref="AT2:AT52" si="6">MAX(L2,Y2,AL2)</f>
        <v>717679000000</v>
      </c>
    </row>
    <row r="3" customHeight="1" spans="1:46">
      <c r="A3" s="15">
        <v>0.000979536</v>
      </c>
      <c r="B3" s="5">
        <v>0.00136797</v>
      </c>
      <c r="C3" s="5">
        <v>20228100000000</v>
      </c>
      <c r="D3" s="5">
        <v>178475000</v>
      </c>
      <c r="E3" s="5">
        <v>0</v>
      </c>
      <c r="F3" s="5">
        <v>0</v>
      </c>
      <c r="G3" s="5">
        <v>2</v>
      </c>
      <c r="H3" s="5">
        <v>5314150000000</v>
      </c>
      <c r="I3" s="5">
        <v>4561620000000</v>
      </c>
      <c r="J3" s="5">
        <v>4543250000000</v>
      </c>
      <c r="K3" s="5">
        <v>4543470000000</v>
      </c>
      <c r="L3" s="5">
        <v>1265520000000</v>
      </c>
      <c r="N3" s="15">
        <v>0.00101975</v>
      </c>
      <c r="O3" s="5">
        <v>0.0014096</v>
      </c>
      <c r="P3" s="5">
        <v>20174500000000</v>
      </c>
      <c r="Q3" s="5">
        <v>604978000</v>
      </c>
      <c r="R3" s="5">
        <v>0</v>
      </c>
      <c r="S3" s="5">
        <v>0</v>
      </c>
      <c r="T3" s="5">
        <v>2</v>
      </c>
      <c r="U3" s="5">
        <v>5334140000000</v>
      </c>
      <c r="V3" s="5">
        <v>4532020000000</v>
      </c>
      <c r="W3" s="5">
        <v>4487830000000</v>
      </c>
      <c r="X3" s="5">
        <v>4598470000000</v>
      </c>
      <c r="Y3" s="5">
        <v>1222030000000</v>
      </c>
      <c r="AA3" s="15">
        <v>0.00102224</v>
      </c>
      <c r="AB3" s="5">
        <v>0.00137774</v>
      </c>
      <c r="AC3" s="5">
        <v>20168000000000</v>
      </c>
      <c r="AD3" s="5">
        <v>1355670000</v>
      </c>
      <c r="AE3" s="5">
        <v>0</v>
      </c>
      <c r="AF3" s="5">
        <v>0</v>
      </c>
      <c r="AG3" s="5">
        <v>2</v>
      </c>
      <c r="AH3" s="5">
        <v>4849520000000</v>
      </c>
      <c r="AI3" s="5">
        <v>4699260000000</v>
      </c>
      <c r="AJ3" s="5">
        <v>4797000000000</v>
      </c>
      <c r="AK3" s="5">
        <v>4881170000000</v>
      </c>
      <c r="AL3" s="5">
        <v>941012000000</v>
      </c>
      <c r="AN3" s="5">
        <f t="shared" si="0"/>
        <v>0.000979536</v>
      </c>
      <c r="AO3" s="5">
        <f t="shared" si="1"/>
        <v>20190200000000</v>
      </c>
      <c r="AP3" s="5">
        <f t="shared" si="2"/>
        <v>20168000000000</v>
      </c>
      <c r="AQ3" s="5">
        <f t="shared" si="3"/>
        <v>20228100000000</v>
      </c>
      <c r="AR3" s="5">
        <f t="shared" si="4"/>
        <v>1142854000000</v>
      </c>
      <c r="AS3" s="5">
        <f t="shared" si="5"/>
        <v>941012000000</v>
      </c>
      <c r="AT3" s="5">
        <f t="shared" si="6"/>
        <v>1265520000000</v>
      </c>
    </row>
    <row r="4" customHeight="1" spans="1:46">
      <c r="A4" s="15">
        <v>0.00197987</v>
      </c>
      <c r="B4" s="5">
        <v>0.00242247</v>
      </c>
      <c r="C4" s="5">
        <v>20798000000000</v>
      </c>
      <c r="D4" s="5">
        <v>275881000</v>
      </c>
      <c r="E4" s="5">
        <v>0</v>
      </c>
      <c r="F4" s="5">
        <v>0</v>
      </c>
      <c r="G4" s="5">
        <v>2</v>
      </c>
      <c r="H4" s="5">
        <v>5045460000000</v>
      </c>
      <c r="I4" s="5">
        <v>4451140000000</v>
      </c>
      <c r="J4" s="5">
        <v>4329550000000</v>
      </c>
      <c r="K4" s="5">
        <v>4496790000000</v>
      </c>
      <c r="L4" s="5">
        <v>2475070000000</v>
      </c>
      <c r="N4" s="15">
        <v>0.00202976</v>
      </c>
      <c r="O4" s="5">
        <v>0.00248025</v>
      </c>
      <c r="P4" s="5">
        <v>20680600000000</v>
      </c>
      <c r="Q4" s="5">
        <v>491885000</v>
      </c>
      <c r="R4" s="5">
        <v>0</v>
      </c>
      <c r="S4" s="5">
        <v>0</v>
      </c>
      <c r="T4" s="5">
        <v>2</v>
      </c>
      <c r="U4" s="5">
        <v>5231830000000</v>
      </c>
      <c r="V4" s="5">
        <v>4201570000000</v>
      </c>
      <c r="W4" s="5">
        <v>4572470000000</v>
      </c>
      <c r="X4" s="5">
        <v>4497870000000</v>
      </c>
      <c r="Y4" s="5">
        <v>2176840000000</v>
      </c>
      <c r="AA4" s="15">
        <v>0.00199238</v>
      </c>
      <c r="AB4" s="5">
        <v>0.00240337</v>
      </c>
      <c r="AC4" s="5">
        <v>20296200000000</v>
      </c>
      <c r="AD4" s="5">
        <v>505278000</v>
      </c>
      <c r="AE4" s="5">
        <v>0</v>
      </c>
      <c r="AF4" s="5">
        <v>0</v>
      </c>
      <c r="AG4" s="5">
        <v>2</v>
      </c>
      <c r="AH4" s="5">
        <v>4756650000000</v>
      </c>
      <c r="AI4" s="5">
        <v>4557950000000</v>
      </c>
      <c r="AJ4" s="5">
        <v>4585850000000</v>
      </c>
      <c r="AK4" s="5">
        <v>4503190000000</v>
      </c>
      <c r="AL4" s="5">
        <v>1892430000000</v>
      </c>
      <c r="AN4" s="5">
        <f t="shared" si="0"/>
        <v>0.00197987</v>
      </c>
      <c r="AO4" s="5">
        <f t="shared" si="1"/>
        <v>20591600000000</v>
      </c>
      <c r="AP4" s="5">
        <f t="shared" si="2"/>
        <v>20296200000000</v>
      </c>
      <c r="AQ4" s="5">
        <f t="shared" si="3"/>
        <v>20798000000000</v>
      </c>
      <c r="AR4" s="5">
        <f t="shared" si="4"/>
        <v>2181446666666.67</v>
      </c>
      <c r="AS4" s="5">
        <f t="shared" si="5"/>
        <v>1892430000000</v>
      </c>
      <c r="AT4" s="5">
        <f t="shared" si="6"/>
        <v>2475070000000</v>
      </c>
    </row>
    <row r="5" customHeight="1" spans="1:46">
      <c r="A5" s="15">
        <v>0.00297193</v>
      </c>
      <c r="B5" s="5">
        <v>0.00346419</v>
      </c>
      <c r="C5" s="5">
        <v>21002700000000</v>
      </c>
      <c r="D5" s="5">
        <v>817219000</v>
      </c>
      <c r="E5" s="5">
        <v>0</v>
      </c>
      <c r="F5" s="5">
        <v>0</v>
      </c>
      <c r="G5" s="5">
        <v>2</v>
      </c>
      <c r="H5" s="5">
        <v>4824350000000</v>
      </c>
      <c r="I5" s="5">
        <v>4174700000000</v>
      </c>
      <c r="J5" s="5">
        <v>3956210000000</v>
      </c>
      <c r="K5" s="5">
        <v>4265430000000</v>
      </c>
      <c r="L5" s="5">
        <v>3781840000000</v>
      </c>
      <c r="N5" s="15">
        <v>0.0030084</v>
      </c>
      <c r="O5" s="5">
        <v>0.00347723</v>
      </c>
      <c r="P5" s="5">
        <v>21295500000000</v>
      </c>
      <c r="Q5" s="5">
        <v>706425000</v>
      </c>
      <c r="R5" s="5">
        <v>0</v>
      </c>
      <c r="S5" s="5">
        <v>0</v>
      </c>
      <c r="T5" s="5">
        <v>2</v>
      </c>
      <c r="U5" s="5">
        <v>5109600000000</v>
      </c>
      <c r="V5" s="5">
        <v>4276210000000</v>
      </c>
      <c r="W5" s="5">
        <v>4247010000000</v>
      </c>
      <c r="X5" s="5">
        <v>4499770000000</v>
      </c>
      <c r="Y5" s="5">
        <v>3162850000000</v>
      </c>
      <c r="AA5" s="15">
        <v>0.00301052</v>
      </c>
      <c r="AB5" s="5">
        <v>0.00344599</v>
      </c>
      <c r="AC5" s="5">
        <v>20598800000000</v>
      </c>
      <c r="AD5" s="5">
        <v>311673000</v>
      </c>
      <c r="AE5" s="5">
        <v>0</v>
      </c>
      <c r="AF5" s="5">
        <v>0</v>
      </c>
      <c r="AG5" s="5">
        <v>2</v>
      </c>
      <c r="AH5" s="5">
        <v>4718040000000</v>
      </c>
      <c r="AI5" s="5">
        <v>4698140000000</v>
      </c>
      <c r="AJ5" s="5">
        <v>4353040000000</v>
      </c>
      <c r="AK5" s="5">
        <v>4352980000000</v>
      </c>
      <c r="AL5" s="5">
        <v>2476560000000</v>
      </c>
      <c r="AN5" s="5">
        <f t="shared" si="0"/>
        <v>0.00297193</v>
      </c>
      <c r="AO5" s="5">
        <f t="shared" si="1"/>
        <v>20965666666666.7</v>
      </c>
      <c r="AP5" s="5">
        <f t="shared" si="2"/>
        <v>20598800000000</v>
      </c>
      <c r="AQ5" s="5">
        <f t="shared" si="3"/>
        <v>21295500000000</v>
      </c>
      <c r="AR5" s="5">
        <f t="shared" si="4"/>
        <v>3140416666666.67</v>
      </c>
      <c r="AS5" s="5">
        <f t="shared" si="5"/>
        <v>2476560000000</v>
      </c>
      <c r="AT5" s="5">
        <f t="shared" si="6"/>
        <v>3781840000000</v>
      </c>
    </row>
    <row r="6" customHeight="1" spans="1:46">
      <c r="A6" s="15">
        <v>0.00397339</v>
      </c>
      <c r="B6" s="5">
        <v>0.00445459</v>
      </c>
      <c r="C6" s="5">
        <v>20869700000000</v>
      </c>
      <c r="D6" s="5">
        <v>475129000</v>
      </c>
      <c r="E6" s="5">
        <v>0</v>
      </c>
      <c r="F6" s="5">
        <v>0</v>
      </c>
      <c r="G6" s="5">
        <v>2</v>
      </c>
      <c r="H6" s="5">
        <v>5106220000000</v>
      </c>
      <c r="I6" s="5">
        <v>3784680000000</v>
      </c>
      <c r="J6" s="5">
        <v>3856790000000</v>
      </c>
      <c r="K6" s="5">
        <v>3896660000000</v>
      </c>
      <c r="L6" s="5">
        <v>4225300000000</v>
      </c>
      <c r="N6" s="15">
        <v>0.00400344</v>
      </c>
      <c r="O6" s="5">
        <v>0.0044356</v>
      </c>
      <c r="P6" s="5">
        <v>20691500000000</v>
      </c>
      <c r="Q6" s="5">
        <v>822505000</v>
      </c>
      <c r="R6" s="5">
        <v>0</v>
      </c>
      <c r="S6" s="5">
        <v>0</v>
      </c>
      <c r="T6" s="5">
        <v>2</v>
      </c>
      <c r="U6" s="5">
        <v>4977880000000</v>
      </c>
      <c r="V6" s="5">
        <v>4218040000000</v>
      </c>
      <c r="W6" s="5">
        <v>4151000000000</v>
      </c>
      <c r="X6" s="5">
        <v>4156780000000</v>
      </c>
      <c r="Y6" s="5">
        <v>3187740000000</v>
      </c>
      <c r="AA6" s="15">
        <v>0.00398633</v>
      </c>
      <c r="AB6" s="5">
        <v>0.00445618</v>
      </c>
      <c r="AC6" s="5">
        <v>20806300000000</v>
      </c>
      <c r="AD6" s="5">
        <v>473911000</v>
      </c>
      <c r="AE6" s="5">
        <v>0</v>
      </c>
      <c r="AF6" s="5">
        <v>0</v>
      </c>
      <c r="AG6" s="5">
        <v>2</v>
      </c>
      <c r="AH6" s="5">
        <v>4610070000000</v>
      </c>
      <c r="AI6" s="5">
        <v>4683980000000</v>
      </c>
      <c r="AJ6" s="5">
        <v>4398360000000</v>
      </c>
      <c r="AK6" s="5">
        <v>4441140000000</v>
      </c>
      <c r="AL6" s="5">
        <v>2672570000000</v>
      </c>
      <c r="AN6" s="5">
        <f t="shared" si="0"/>
        <v>0.00397339</v>
      </c>
      <c r="AO6" s="5">
        <f t="shared" si="1"/>
        <v>20789166666666.7</v>
      </c>
      <c r="AP6" s="5">
        <f t="shared" si="2"/>
        <v>20691500000000</v>
      </c>
      <c r="AQ6" s="5">
        <f t="shared" si="3"/>
        <v>20869700000000</v>
      </c>
      <c r="AR6" s="5">
        <f t="shared" si="4"/>
        <v>3361870000000</v>
      </c>
      <c r="AS6" s="5">
        <f t="shared" si="5"/>
        <v>2672570000000</v>
      </c>
      <c r="AT6" s="5">
        <f t="shared" si="6"/>
        <v>4225300000000</v>
      </c>
    </row>
    <row r="7" customHeight="1" spans="1:46">
      <c r="A7" s="15">
        <v>0.00500065</v>
      </c>
      <c r="B7" s="5">
        <v>0.00543459</v>
      </c>
      <c r="C7" s="5">
        <v>21144800000000</v>
      </c>
      <c r="D7" s="5">
        <v>472095000</v>
      </c>
      <c r="E7" s="5">
        <v>0</v>
      </c>
      <c r="F7" s="5">
        <v>0</v>
      </c>
      <c r="G7" s="5">
        <v>2</v>
      </c>
      <c r="H7" s="5">
        <v>4933350000000</v>
      </c>
      <c r="I7" s="5">
        <v>4155220000000</v>
      </c>
      <c r="J7" s="5">
        <v>4135760000000</v>
      </c>
      <c r="K7" s="5">
        <v>3968790000000</v>
      </c>
      <c r="L7" s="5">
        <v>3951650000000</v>
      </c>
      <c r="N7" s="15">
        <v>0.00499299</v>
      </c>
      <c r="O7" s="5">
        <v>0.00543371</v>
      </c>
      <c r="P7" s="5">
        <v>20515500000000</v>
      </c>
      <c r="Q7" s="5">
        <v>538150000</v>
      </c>
      <c r="R7" s="5">
        <v>0</v>
      </c>
      <c r="S7" s="5">
        <v>0</v>
      </c>
      <c r="T7" s="5">
        <v>2</v>
      </c>
      <c r="U7" s="5">
        <v>4977720000000</v>
      </c>
      <c r="V7" s="5">
        <v>4046650000000</v>
      </c>
      <c r="W7" s="5">
        <v>4305910000000</v>
      </c>
      <c r="X7" s="5">
        <v>4143990000000</v>
      </c>
      <c r="Y7" s="5">
        <v>3041150000000</v>
      </c>
      <c r="AA7" s="15">
        <v>0.00499157</v>
      </c>
      <c r="AB7" s="5">
        <v>0.00546736</v>
      </c>
      <c r="AC7" s="5">
        <v>20758300000000</v>
      </c>
      <c r="AD7" s="5">
        <v>516826000</v>
      </c>
      <c r="AE7" s="5">
        <v>0</v>
      </c>
      <c r="AF7" s="5">
        <v>0</v>
      </c>
      <c r="AG7" s="5">
        <v>2</v>
      </c>
      <c r="AH7" s="5">
        <v>4530450000000</v>
      </c>
      <c r="AI7" s="5">
        <v>4408180000000</v>
      </c>
      <c r="AJ7" s="5">
        <v>4242930000000</v>
      </c>
      <c r="AK7" s="5">
        <v>4399820000000</v>
      </c>
      <c r="AL7" s="5">
        <v>3176700000000</v>
      </c>
      <c r="AN7" s="5">
        <f t="shared" si="0"/>
        <v>0.00500065</v>
      </c>
      <c r="AO7" s="5">
        <f t="shared" si="1"/>
        <v>20806200000000</v>
      </c>
      <c r="AP7" s="5">
        <f t="shared" si="2"/>
        <v>20515500000000</v>
      </c>
      <c r="AQ7" s="5">
        <f t="shared" si="3"/>
        <v>21144800000000</v>
      </c>
      <c r="AR7" s="5">
        <f t="shared" si="4"/>
        <v>3389833333333.33</v>
      </c>
      <c r="AS7" s="5">
        <f t="shared" si="5"/>
        <v>3041150000000</v>
      </c>
      <c r="AT7" s="5">
        <f t="shared" si="6"/>
        <v>3951650000000</v>
      </c>
    </row>
    <row r="8" customHeight="1" spans="1:46">
      <c r="A8" s="15">
        <v>0.00594836</v>
      </c>
      <c r="B8" s="5">
        <v>0.00642416</v>
      </c>
      <c r="C8" s="5">
        <v>21086700000000</v>
      </c>
      <c r="D8" s="5">
        <v>661525000</v>
      </c>
      <c r="E8" s="5">
        <v>0</v>
      </c>
      <c r="F8" s="5">
        <v>0</v>
      </c>
      <c r="G8" s="5">
        <v>2</v>
      </c>
      <c r="H8" s="5">
        <v>5098270000000</v>
      </c>
      <c r="I8" s="5">
        <v>4074880000000</v>
      </c>
      <c r="J8" s="5">
        <v>4060550000000</v>
      </c>
      <c r="K8" s="5">
        <v>3873540000000</v>
      </c>
      <c r="L8" s="5">
        <v>3979190000000</v>
      </c>
      <c r="N8" s="15">
        <v>0.00599919</v>
      </c>
      <c r="O8" s="5">
        <v>0.00647495</v>
      </c>
      <c r="P8" s="5">
        <v>20806900000000</v>
      </c>
      <c r="Q8" s="5">
        <v>572974000</v>
      </c>
      <c r="R8" s="5">
        <v>0</v>
      </c>
      <c r="S8" s="5">
        <v>0</v>
      </c>
      <c r="T8" s="5">
        <v>2</v>
      </c>
      <c r="U8" s="5">
        <v>5081380000000</v>
      </c>
      <c r="V8" s="5">
        <v>4034080000000</v>
      </c>
      <c r="W8" s="5">
        <v>4141060000000</v>
      </c>
      <c r="X8" s="5">
        <v>4237790000000</v>
      </c>
      <c r="Y8" s="5">
        <v>3312620000000</v>
      </c>
      <c r="AA8" s="15">
        <v>0.00598184</v>
      </c>
      <c r="AB8" s="5">
        <v>0.00645897</v>
      </c>
      <c r="AC8" s="5">
        <v>20645500000000</v>
      </c>
      <c r="AD8" s="5">
        <v>385632000</v>
      </c>
      <c r="AE8" s="5">
        <v>0</v>
      </c>
      <c r="AF8" s="5">
        <v>0</v>
      </c>
      <c r="AG8" s="5">
        <v>2</v>
      </c>
      <c r="AH8" s="5">
        <v>4335190000000</v>
      </c>
      <c r="AI8" s="5">
        <v>4423010000000</v>
      </c>
      <c r="AJ8" s="5">
        <v>4295620000000</v>
      </c>
      <c r="AK8" s="5">
        <v>4371430000000</v>
      </c>
      <c r="AL8" s="5">
        <v>3216460000000</v>
      </c>
      <c r="AN8" s="5">
        <f t="shared" si="0"/>
        <v>0.00594836</v>
      </c>
      <c r="AO8" s="5">
        <f t="shared" si="1"/>
        <v>20846366666666.7</v>
      </c>
      <c r="AP8" s="5">
        <f t="shared" si="2"/>
        <v>20645500000000</v>
      </c>
      <c r="AQ8" s="5">
        <f t="shared" si="3"/>
        <v>21086700000000</v>
      </c>
      <c r="AR8" s="5">
        <f t="shared" si="4"/>
        <v>3502756666666.67</v>
      </c>
      <c r="AS8" s="5">
        <f t="shared" si="5"/>
        <v>3216460000000</v>
      </c>
      <c r="AT8" s="5">
        <f t="shared" si="6"/>
        <v>3979190000000</v>
      </c>
    </row>
    <row r="9" customHeight="1" spans="1:46">
      <c r="A9" s="15">
        <v>0.00697824</v>
      </c>
      <c r="B9" s="5">
        <v>0.007445</v>
      </c>
      <c r="C9" s="5">
        <v>20710600000000</v>
      </c>
      <c r="D9" s="5">
        <v>526081000</v>
      </c>
      <c r="E9" s="5">
        <v>0</v>
      </c>
      <c r="F9" s="5">
        <v>0</v>
      </c>
      <c r="G9" s="5">
        <v>2</v>
      </c>
      <c r="H9" s="5">
        <v>5041090000000</v>
      </c>
      <c r="I9" s="5">
        <v>4215870000000</v>
      </c>
      <c r="J9" s="5">
        <v>4121690000000</v>
      </c>
      <c r="K9" s="5">
        <v>3735780000000</v>
      </c>
      <c r="L9" s="5">
        <v>3595360000000</v>
      </c>
      <c r="N9" s="15">
        <v>0.00699065</v>
      </c>
      <c r="O9" s="5">
        <v>0.00751082</v>
      </c>
      <c r="P9" s="5">
        <v>20972700000000</v>
      </c>
      <c r="Q9" s="5">
        <v>561006000</v>
      </c>
      <c r="R9" s="5">
        <v>0</v>
      </c>
      <c r="S9" s="5">
        <v>0</v>
      </c>
      <c r="T9" s="5">
        <v>2</v>
      </c>
      <c r="U9" s="5">
        <v>4959060000000</v>
      </c>
      <c r="V9" s="5">
        <v>4205390000000</v>
      </c>
      <c r="W9" s="5">
        <v>4124200000000</v>
      </c>
      <c r="X9" s="5">
        <v>4085200000000</v>
      </c>
      <c r="Y9" s="5">
        <v>3598710000000</v>
      </c>
      <c r="AA9" s="15">
        <v>0.00702116</v>
      </c>
      <c r="AB9" s="5">
        <v>0.00751183</v>
      </c>
      <c r="AC9" s="5">
        <v>21043200000000</v>
      </c>
      <c r="AD9" s="5">
        <v>504647000</v>
      </c>
      <c r="AE9" s="5">
        <v>0</v>
      </c>
      <c r="AF9" s="5">
        <v>0</v>
      </c>
      <c r="AG9" s="5">
        <v>2</v>
      </c>
      <c r="AH9" s="5">
        <v>4688520000000</v>
      </c>
      <c r="AI9" s="5">
        <v>4496130000000</v>
      </c>
      <c r="AJ9" s="5">
        <v>4539380000000</v>
      </c>
      <c r="AK9" s="5">
        <v>4203180000000</v>
      </c>
      <c r="AL9" s="5">
        <v>3116020000000</v>
      </c>
      <c r="AN9" s="5">
        <f t="shared" si="0"/>
        <v>0.00697824</v>
      </c>
      <c r="AO9" s="5">
        <f t="shared" si="1"/>
        <v>20908833333333.3</v>
      </c>
      <c r="AP9" s="5">
        <f t="shared" si="2"/>
        <v>20710600000000</v>
      </c>
      <c r="AQ9" s="5">
        <f t="shared" si="3"/>
        <v>21043200000000</v>
      </c>
      <c r="AR9" s="5">
        <f t="shared" si="4"/>
        <v>3436696666666.67</v>
      </c>
      <c r="AS9" s="5">
        <f t="shared" si="5"/>
        <v>3116020000000</v>
      </c>
      <c r="AT9" s="5">
        <f t="shared" si="6"/>
        <v>3598710000000</v>
      </c>
    </row>
    <row r="10" customHeight="1" spans="1:46">
      <c r="A10" s="15">
        <v>0.00802007</v>
      </c>
      <c r="B10" s="5">
        <v>0.00848553</v>
      </c>
      <c r="C10" s="5">
        <v>21228800000000</v>
      </c>
      <c r="D10" s="5">
        <v>582731000</v>
      </c>
      <c r="E10" s="5">
        <v>0</v>
      </c>
      <c r="F10" s="5">
        <v>0</v>
      </c>
      <c r="G10" s="5">
        <v>2</v>
      </c>
      <c r="H10" s="5">
        <v>4794650000000</v>
      </c>
      <c r="I10" s="5">
        <v>3934640000000</v>
      </c>
      <c r="J10" s="5">
        <v>4430960000000</v>
      </c>
      <c r="K10" s="5">
        <v>3949550000000</v>
      </c>
      <c r="L10" s="5">
        <v>4118700000000</v>
      </c>
      <c r="N10" s="15">
        <v>0.00798197</v>
      </c>
      <c r="O10" s="5">
        <v>0.00844559</v>
      </c>
      <c r="P10" s="5">
        <v>20960100000000</v>
      </c>
      <c r="Q10" s="5">
        <v>922266000</v>
      </c>
      <c r="R10" s="5">
        <v>0</v>
      </c>
      <c r="S10" s="5">
        <v>0</v>
      </c>
      <c r="T10" s="5">
        <v>2</v>
      </c>
      <c r="U10" s="5">
        <v>5008800000000</v>
      </c>
      <c r="V10" s="5">
        <v>4059400000000</v>
      </c>
      <c r="W10" s="5">
        <v>4217190000000</v>
      </c>
      <c r="X10" s="5">
        <v>3927040000000</v>
      </c>
      <c r="Y10" s="5">
        <v>3747700000000</v>
      </c>
      <c r="AA10" s="15">
        <v>0.00800037</v>
      </c>
      <c r="AB10" s="5">
        <v>0.0085095</v>
      </c>
      <c r="AC10" s="5">
        <v>21069300000000</v>
      </c>
      <c r="AD10" s="5">
        <v>605722000</v>
      </c>
      <c r="AE10" s="5">
        <v>0</v>
      </c>
      <c r="AF10" s="5">
        <v>0</v>
      </c>
      <c r="AG10" s="5">
        <v>2</v>
      </c>
      <c r="AH10" s="5">
        <v>4327180000000</v>
      </c>
      <c r="AI10" s="5">
        <v>4137120000000</v>
      </c>
      <c r="AJ10" s="5">
        <v>4503730000000</v>
      </c>
      <c r="AK10" s="5">
        <v>4221890000000</v>
      </c>
      <c r="AL10" s="5">
        <v>3878980000000</v>
      </c>
      <c r="AN10" s="5">
        <f t="shared" si="0"/>
        <v>0.00802007</v>
      </c>
      <c r="AO10" s="5">
        <f t="shared" si="1"/>
        <v>21086066666666.7</v>
      </c>
      <c r="AP10" s="5">
        <f t="shared" si="2"/>
        <v>20960100000000</v>
      </c>
      <c r="AQ10" s="5">
        <f t="shared" si="3"/>
        <v>21228800000000</v>
      </c>
      <c r="AR10" s="5">
        <f t="shared" si="4"/>
        <v>3915126666666.67</v>
      </c>
      <c r="AS10" s="5">
        <f t="shared" si="5"/>
        <v>3747700000000</v>
      </c>
      <c r="AT10" s="5">
        <f t="shared" si="6"/>
        <v>4118700000000</v>
      </c>
    </row>
    <row r="11" customHeight="1" spans="1:46">
      <c r="A11" s="15">
        <v>0.00900566</v>
      </c>
      <c r="B11" s="5">
        <v>0.00950179</v>
      </c>
      <c r="C11" s="5">
        <v>21274500000000</v>
      </c>
      <c r="D11" s="5">
        <v>976153000</v>
      </c>
      <c r="E11" s="5">
        <v>0</v>
      </c>
      <c r="F11" s="5">
        <v>0</v>
      </c>
      <c r="G11" s="5">
        <v>2</v>
      </c>
      <c r="H11" s="5">
        <v>4978570000000</v>
      </c>
      <c r="I11" s="5">
        <v>3868250000000</v>
      </c>
      <c r="J11" s="5">
        <v>3788180000000</v>
      </c>
      <c r="K11" s="5">
        <v>3996860000000</v>
      </c>
      <c r="L11" s="5">
        <v>4642470000000</v>
      </c>
      <c r="N11" s="15">
        <v>0.00896409</v>
      </c>
      <c r="O11" s="5">
        <v>0.00945983</v>
      </c>
      <c r="P11" s="5">
        <v>21117000000000</v>
      </c>
      <c r="Q11" s="5">
        <v>545714000</v>
      </c>
      <c r="R11" s="5">
        <v>0</v>
      </c>
      <c r="S11" s="5">
        <v>0</v>
      </c>
      <c r="T11" s="5">
        <v>2</v>
      </c>
      <c r="U11" s="5">
        <v>4897360000000</v>
      </c>
      <c r="V11" s="5">
        <v>4048250000000</v>
      </c>
      <c r="W11" s="5">
        <v>4000920000000</v>
      </c>
      <c r="X11" s="5">
        <v>3933180000000</v>
      </c>
      <c r="Y11" s="5">
        <v>4237230000000</v>
      </c>
      <c r="AA11" s="15">
        <v>0.00897995</v>
      </c>
      <c r="AB11" s="5">
        <v>0.00949323</v>
      </c>
      <c r="AC11" s="5">
        <v>21365600000000</v>
      </c>
      <c r="AD11" s="5">
        <v>486525000</v>
      </c>
      <c r="AE11" s="5">
        <v>0</v>
      </c>
      <c r="AF11" s="5">
        <v>0</v>
      </c>
      <c r="AG11" s="5">
        <v>2</v>
      </c>
      <c r="AH11" s="5">
        <v>4523070000000</v>
      </c>
      <c r="AI11" s="5">
        <v>4516720000000</v>
      </c>
      <c r="AJ11" s="5">
        <v>4544050000000</v>
      </c>
      <c r="AK11" s="5">
        <v>4576180000000</v>
      </c>
      <c r="AL11" s="5">
        <v>3205490000000</v>
      </c>
      <c r="AN11" s="5">
        <f t="shared" si="0"/>
        <v>0.00900566</v>
      </c>
      <c r="AO11" s="5">
        <f t="shared" si="1"/>
        <v>21252366666666.7</v>
      </c>
      <c r="AP11" s="5">
        <f t="shared" si="2"/>
        <v>21117000000000</v>
      </c>
      <c r="AQ11" s="5">
        <f t="shared" si="3"/>
        <v>21365600000000</v>
      </c>
      <c r="AR11" s="5">
        <f t="shared" si="4"/>
        <v>4028396666666.67</v>
      </c>
      <c r="AS11" s="5">
        <f t="shared" si="5"/>
        <v>3205490000000</v>
      </c>
      <c r="AT11" s="5">
        <f t="shared" si="6"/>
        <v>4642470000000</v>
      </c>
    </row>
    <row r="12" customHeight="1" spans="1:46">
      <c r="A12" s="15">
        <v>0.0099903</v>
      </c>
      <c r="B12" s="5">
        <v>0.0104918</v>
      </c>
      <c r="C12" s="5">
        <v>21322400000000</v>
      </c>
      <c r="D12" s="5">
        <v>806413000</v>
      </c>
      <c r="E12" s="5">
        <v>0</v>
      </c>
      <c r="F12" s="5">
        <v>0</v>
      </c>
      <c r="G12" s="5">
        <v>2</v>
      </c>
      <c r="H12" s="5">
        <v>4906360000000</v>
      </c>
      <c r="I12" s="5">
        <v>3930400000000</v>
      </c>
      <c r="J12" s="5">
        <v>3798740000000</v>
      </c>
      <c r="K12" s="5">
        <v>3923850000000</v>
      </c>
      <c r="L12" s="5">
        <v>4762710000000</v>
      </c>
      <c r="N12" s="15">
        <v>0.0100335</v>
      </c>
      <c r="O12" s="5">
        <v>0.0105304</v>
      </c>
      <c r="P12" s="5">
        <v>21614000000000</v>
      </c>
      <c r="Q12" s="5">
        <v>833056000</v>
      </c>
      <c r="R12" s="5">
        <v>0</v>
      </c>
      <c r="S12" s="5">
        <v>0</v>
      </c>
      <c r="T12" s="5">
        <v>2</v>
      </c>
      <c r="U12" s="5">
        <v>4580360000000</v>
      </c>
      <c r="V12" s="5">
        <v>4299230000000</v>
      </c>
      <c r="W12" s="5">
        <v>4434940000000</v>
      </c>
      <c r="X12" s="5">
        <v>3940500000000</v>
      </c>
      <c r="Y12" s="5">
        <v>4358930000000</v>
      </c>
      <c r="AA12" s="15">
        <v>0.00992246</v>
      </c>
      <c r="AB12" s="5">
        <v>0.0104233</v>
      </c>
      <c r="AC12" s="5">
        <v>21134500000000</v>
      </c>
      <c r="AD12" s="5">
        <v>872521000</v>
      </c>
      <c r="AE12" s="5">
        <v>0</v>
      </c>
      <c r="AF12" s="5">
        <v>0</v>
      </c>
      <c r="AG12" s="5">
        <v>2</v>
      </c>
      <c r="AH12" s="5">
        <v>4580880000000</v>
      </c>
      <c r="AI12" s="5">
        <v>4303280000000</v>
      </c>
      <c r="AJ12" s="5">
        <v>4059870000000</v>
      </c>
      <c r="AK12" s="5">
        <v>4329580000000</v>
      </c>
      <c r="AL12" s="5">
        <v>3860740000000</v>
      </c>
      <c r="AN12" s="5">
        <f t="shared" si="0"/>
        <v>0.0099903</v>
      </c>
      <c r="AO12" s="5">
        <f t="shared" si="1"/>
        <v>21356966666666.7</v>
      </c>
      <c r="AP12" s="5">
        <f t="shared" si="2"/>
        <v>21134500000000</v>
      </c>
      <c r="AQ12" s="5">
        <f t="shared" si="3"/>
        <v>21614000000000</v>
      </c>
      <c r="AR12" s="5">
        <f t="shared" si="4"/>
        <v>4327460000000</v>
      </c>
      <c r="AS12" s="5">
        <f t="shared" si="5"/>
        <v>3860740000000</v>
      </c>
      <c r="AT12" s="5">
        <f t="shared" si="6"/>
        <v>4762710000000</v>
      </c>
    </row>
    <row r="13" customHeight="1" spans="1:46">
      <c r="A13" s="15">
        <v>0.0110013</v>
      </c>
      <c r="B13" s="5">
        <v>0.0115031</v>
      </c>
      <c r="C13" s="5">
        <v>20847300000000</v>
      </c>
      <c r="D13" s="5">
        <v>539465000</v>
      </c>
      <c r="E13" s="5">
        <v>0</v>
      </c>
      <c r="F13" s="5">
        <v>0</v>
      </c>
      <c r="G13" s="5">
        <v>2</v>
      </c>
      <c r="H13" s="5">
        <v>4482090000000</v>
      </c>
      <c r="I13" s="5">
        <v>3852600000000</v>
      </c>
      <c r="J13" s="5">
        <v>3657040000000</v>
      </c>
      <c r="K13" s="5">
        <v>3720780000000</v>
      </c>
      <c r="L13" s="5">
        <v>5132140000000</v>
      </c>
      <c r="N13" s="15">
        <v>0.0109727</v>
      </c>
      <c r="O13" s="5">
        <v>0.0114747</v>
      </c>
      <c r="P13" s="5">
        <v>21325900000000</v>
      </c>
      <c r="Q13" s="5">
        <v>645656000</v>
      </c>
      <c r="R13" s="5">
        <v>0</v>
      </c>
      <c r="S13" s="5">
        <v>0</v>
      </c>
      <c r="T13" s="5">
        <v>2</v>
      </c>
      <c r="U13" s="5">
        <v>4535160000000</v>
      </c>
      <c r="V13" s="5">
        <v>3938970000000</v>
      </c>
      <c r="W13" s="5">
        <v>4212380000000</v>
      </c>
      <c r="X13" s="5">
        <v>4410920000000</v>
      </c>
      <c r="Y13" s="5">
        <v>4227370000000</v>
      </c>
      <c r="AA13" s="15">
        <v>0.0110035</v>
      </c>
      <c r="AB13" s="5">
        <v>0.0114838</v>
      </c>
      <c r="AC13" s="5">
        <v>21037100000000</v>
      </c>
      <c r="AD13" s="5">
        <v>479838000</v>
      </c>
      <c r="AE13" s="5">
        <v>0</v>
      </c>
      <c r="AF13" s="5">
        <v>0</v>
      </c>
      <c r="AG13" s="5">
        <v>2</v>
      </c>
      <c r="AH13" s="5">
        <v>4583120000000</v>
      </c>
      <c r="AI13" s="5">
        <v>4246800000000</v>
      </c>
      <c r="AJ13" s="5">
        <v>4143080000000</v>
      </c>
      <c r="AK13" s="5">
        <v>4224510000000</v>
      </c>
      <c r="AL13" s="5">
        <v>3839100000000</v>
      </c>
      <c r="AN13" s="5">
        <f t="shared" si="0"/>
        <v>0.0110013</v>
      </c>
      <c r="AO13" s="5">
        <f t="shared" si="1"/>
        <v>21070100000000</v>
      </c>
      <c r="AP13" s="5">
        <f t="shared" si="2"/>
        <v>20847300000000</v>
      </c>
      <c r="AQ13" s="5">
        <f t="shared" si="3"/>
        <v>21325900000000</v>
      </c>
      <c r="AR13" s="5">
        <f t="shared" si="4"/>
        <v>4399536666666.67</v>
      </c>
      <c r="AS13" s="5">
        <f t="shared" si="5"/>
        <v>3839100000000</v>
      </c>
      <c r="AT13" s="5">
        <f t="shared" si="6"/>
        <v>5132140000000</v>
      </c>
    </row>
    <row r="14" customHeight="1" spans="1:46">
      <c r="A14" s="15">
        <v>0.0120149</v>
      </c>
      <c r="B14" s="5">
        <v>0.0125339</v>
      </c>
      <c r="C14" s="5">
        <v>21022400000000</v>
      </c>
      <c r="D14" s="5">
        <v>599479000</v>
      </c>
      <c r="E14" s="5">
        <v>0</v>
      </c>
      <c r="F14" s="5">
        <v>0</v>
      </c>
      <c r="G14" s="5">
        <v>2</v>
      </c>
      <c r="H14" s="5">
        <v>5003550000000</v>
      </c>
      <c r="I14" s="5">
        <v>3877520000000</v>
      </c>
      <c r="J14" s="5">
        <v>3801200000000</v>
      </c>
      <c r="K14" s="5">
        <v>3703180000000</v>
      </c>
      <c r="L14" s="5">
        <v>4636770000000</v>
      </c>
      <c r="N14" s="15">
        <v>0.0119895</v>
      </c>
      <c r="O14" s="5">
        <v>0.0124818</v>
      </c>
      <c r="P14" s="5">
        <v>20815700000000</v>
      </c>
      <c r="Q14" s="5">
        <v>545119000</v>
      </c>
      <c r="R14" s="5">
        <v>0</v>
      </c>
      <c r="S14" s="5">
        <v>0</v>
      </c>
      <c r="T14" s="5">
        <v>2</v>
      </c>
      <c r="U14" s="5">
        <v>4412910000000</v>
      </c>
      <c r="V14" s="5">
        <v>4039410000000</v>
      </c>
      <c r="W14" s="5">
        <v>3947290000000</v>
      </c>
      <c r="X14" s="5">
        <v>4110590000000</v>
      </c>
      <c r="Y14" s="5">
        <v>4305400000000</v>
      </c>
      <c r="AA14" s="15">
        <v>0.0119864</v>
      </c>
      <c r="AB14" s="5">
        <v>0.0124843</v>
      </c>
      <c r="AC14" s="5">
        <v>20977900000000</v>
      </c>
      <c r="AD14" s="5">
        <v>551582000</v>
      </c>
      <c r="AE14" s="5">
        <v>0</v>
      </c>
      <c r="AF14" s="5">
        <v>0</v>
      </c>
      <c r="AG14" s="5">
        <v>2</v>
      </c>
      <c r="AH14" s="5">
        <v>4352050000000</v>
      </c>
      <c r="AI14" s="5">
        <v>4343050000000</v>
      </c>
      <c r="AJ14" s="5">
        <v>3990270000000</v>
      </c>
      <c r="AK14" s="5">
        <v>4403110000000</v>
      </c>
      <c r="AL14" s="5">
        <v>3888910000000</v>
      </c>
      <c r="AN14" s="5">
        <f t="shared" si="0"/>
        <v>0.0120149</v>
      </c>
      <c r="AO14" s="5">
        <f t="shared" si="1"/>
        <v>20938666666666.7</v>
      </c>
      <c r="AP14" s="5">
        <f t="shared" si="2"/>
        <v>20815700000000</v>
      </c>
      <c r="AQ14" s="5">
        <f t="shared" si="3"/>
        <v>21022400000000</v>
      </c>
      <c r="AR14" s="5">
        <f t="shared" si="4"/>
        <v>4277026666666.67</v>
      </c>
      <c r="AS14" s="5">
        <f t="shared" si="5"/>
        <v>3888910000000</v>
      </c>
      <c r="AT14" s="5">
        <f t="shared" si="6"/>
        <v>4636770000000</v>
      </c>
    </row>
    <row r="15" customHeight="1" spans="1:46">
      <c r="A15" s="15">
        <v>0.0130014</v>
      </c>
      <c r="B15" s="5">
        <v>0.013519</v>
      </c>
      <c r="C15" s="5">
        <v>21568100000000</v>
      </c>
      <c r="D15" s="5">
        <v>1106430000</v>
      </c>
      <c r="E15" s="5">
        <v>0</v>
      </c>
      <c r="F15" s="5">
        <v>0</v>
      </c>
      <c r="G15" s="5">
        <v>2</v>
      </c>
      <c r="H15" s="5">
        <v>5177960000000</v>
      </c>
      <c r="I15" s="5">
        <v>4200380000000</v>
      </c>
      <c r="J15" s="5">
        <v>3757610000000</v>
      </c>
      <c r="K15" s="5">
        <v>3692350000000</v>
      </c>
      <c r="L15" s="5">
        <v>4739640000000</v>
      </c>
      <c r="N15" s="15">
        <v>0.0129959</v>
      </c>
      <c r="O15" s="5">
        <v>0.0135027</v>
      </c>
      <c r="P15" s="5">
        <v>20976300000000</v>
      </c>
      <c r="Q15" s="5">
        <v>469947000</v>
      </c>
      <c r="R15" s="5">
        <v>0</v>
      </c>
      <c r="S15" s="5">
        <v>0</v>
      </c>
      <c r="T15" s="5">
        <v>2</v>
      </c>
      <c r="U15" s="5">
        <v>4698740000000</v>
      </c>
      <c r="V15" s="5">
        <v>4320960000000</v>
      </c>
      <c r="W15" s="5">
        <v>4011670000000</v>
      </c>
      <c r="X15" s="5">
        <v>4054580000000</v>
      </c>
      <c r="Y15" s="5">
        <v>3890190000000</v>
      </c>
      <c r="AA15" s="15">
        <v>0.0130056</v>
      </c>
      <c r="AB15" s="5">
        <v>0.0135074</v>
      </c>
      <c r="AC15" s="5">
        <v>21095700000000</v>
      </c>
      <c r="AD15" s="5">
        <v>1153170000</v>
      </c>
      <c r="AE15" s="5">
        <v>0</v>
      </c>
      <c r="AF15" s="5">
        <v>0</v>
      </c>
      <c r="AG15" s="5">
        <v>2</v>
      </c>
      <c r="AH15" s="5">
        <v>4301470000000</v>
      </c>
      <c r="AI15" s="5">
        <v>4137450000000</v>
      </c>
      <c r="AJ15" s="5">
        <v>4466650000000</v>
      </c>
      <c r="AK15" s="5">
        <v>4288350000000</v>
      </c>
      <c r="AL15" s="5">
        <v>3900900000000</v>
      </c>
      <c r="AN15" s="5">
        <f t="shared" si="0"/>
        <v>0.0130014</v>
      </c>
      <c r="AO15" s="5">
        <f t="shared" si="1"/>
        <v>21213366666666.7</v>
      </c>
      <c r="AP15" s="5">
        <f t="shared" si="2"/>
        <v>20976300000000</v>
      </c>
      <c r="AQ15" s="5">
        <f t="shared" si="3"/>
        <v>21568100000000</v>
      </c>
      <c r="AR15" s="5">
        <f t="shared" si="4"/>
        <v>4176910000000</v>
      </c>
      <c r="AS15" s="5">
        <f t="shared" si="5"/>
        <v>3890190000000</v>
      </c>
      <c r="AT15" s="5">
        <f t="shared" si="6"/>
        <v>4739640000000</v>
      </c>
    </row>
    <row r="16" customHeight="1" spans="1:46">
      <c r="A16" s="15">
        <v>0.0140061</v>
      </c>
      <c r="B16" s="5">
        <v>0.0144885</v>
      </c>
      <c r="C16" s="5">
        <v>21162600000000</v>
      </c>
      <c r="D16" s="5">
        <v>573947000</v>
      </c>
      <c r="E16" s="5">
        <v>0</v>
      </c>
      <c r="F16" s="5">
        <v>0</v>
      </c>
      <c r="G16" s="5">
        <v>2</v>
      </c>
      <c r="H16" s="5">
        <v>5018390000000</v>
      </c>
      <c r="I16" s="5">
        <v>4235410000000</v>
      </c>
      <c r="J16" s="5">
        <v>4023000000000</v>
      </c>
      <c r="K16" s="5">
        <v>3827700000000</v>
      </c>
      <c r="L16" s="5">
        <v>4057990000000</v>
      </c>
      <c r="N16" s="15">
        <v>0.0140073</v>
      </c>
      <c r="O16" s="5">
        <v>0.0144789</v>
      </c>
      <c r="P16" s="5">
        <v>21087500000000</v>
      </c>
      <c r="Q16" s="5">
        <v>737355000</v>
      </c>
      <c r="R16" s="5">
        <v>0</v>
      </c>
      <c r="S16" s="5">
        <v>0</v>
      </c>
      <c r="T16" s="5">
        <v>2</v>
      </c>
      <c r="U16" s="5">
        <v>4638240000000</v>
      </c>
      <c r="V16" s="5">
        <v>4191590000000</v>
      </c>
      <c r="W16" s="5">
        <v>3946730000000</v>
      </c>
      <c r="X16" s="5">
        <v>4203350000000</v>
      </c>
      <c r="Y16" s="5">
        <v>4107550000000</v>
      </c>
      <c r="AA16" s="15">
        <v>0.0140047</v>
      </c>
      <c r="AB16" s="5">
        <v>0.0144867</v>
      </c>
      <c r="AC16" s="5">
        <v>21393600000000</v>
      </c>
      <c r="AD16" s="5">
        <v>592017000</v>
      </c>
      <c r="AE16" s="5">
        <v>0</v>
      </c>
      <c r="AF16" s="5">
        <v>0</v>
      </c>
      <c r="AG16" s="5">
        <v>2</v>
      </c>
      <c r="AH16" s="5">
        <v>4204560000000</v>
      </c>
      <c r="AI16" s="5">
        <v>4443580000000</v>
      </c>
      <c r="AJ16" s="5">
        <v>4246000000000</v>
      </c>
      <c r="AK16" s="5">
        <v>4298860000000</v>
      </c>
      <c r="AL16" s="5">
        <v>4200410000000</v>
      </c>
      <c r="AN16" s="5">
        <f t="shared" si="0"/>
        <v>0.0140061</v>
      </c>
      <c r="AO16" s="5">
        <f t="shared" si="1"/>
        <v>21214566666666.7</v>
      </c>
      <c r="AP16" s="5">
        <f t="shared" si="2"/>
        <v>21087500000000</v>
      </c>
      <c r="AQ16" s="5">
        <f t="shared" si="3"/>
        <v>21393600000000</v>
      </c>
      <c r="AR16" s="5">
        <f t="shared" si="4"/>
        <v>4121983333333.33</v>
      </c>
      <c r="AS16" s="5">
        <f t="shared" si="5"/>
        <v>4057990000000</v>
      </c>
      <c r="AT16" s="5">
        <f t="shared" si="6"/>
        <v>4200410000000</v>
      </c>
    </row>
    <row r="17" customHeight="1" spans="1:46">
      <c r="A17" s="15">
        <v>0.0149829</v>
      </c>
      <c r="B17" s="5">
        <v>0.0154814</v>
      </c>
      <c r="C17" s="5">
        <v>21259100000000</v>
      </c>
      <c r="D17" s="5">
        <v>993224000</v>
      </c>
      <c r="E17" s="5">
        <v>0</v>
      </c>
      <c r="F17" s="5">
        <v>0</v>
      </c>
      <c r="G17" s="5">
        <v>2</v>
      </c>
      <c r="H17" s="5">
        <v>4881030000000</v>
      </c>
      <c r="I17" s="5">
        <v>4187300000000</v>
      </c>
      <c r="J17" s="5">
        <v>4026560000000</v>
      </c>
      <c r="K17" s="5">
        <v>3560780000000</v>
      </c>
      <c r="L17" s="5">
        <v>4603260000000</v>
      </c>
      <c r="N17" s="15">
        <v>0.0150149</v>
      </c>
      <c r="O17" s="5">
        <v>0.015495</v>
      </c>
      <c r="P17" s="5">
        <v>22073600000000</v>
      </c>
      <c r="Q17" s="5">
        <v>556676000</v>
      </c>
      <c r="R17" s="5">
        <v>0</v>
      </c>
      <c r="S17" s="5">
        <v>0</v>
      </c>
      <c r="T17" s="5">
        <v>2</v>
      </c>
      <c r="U17" s="5">
        <v>4885900000000</v>
      </c>
      <c r="V17" s="5">
        <v>4409470000000</v>
      </c>
      <c r="W17" s="5">
        <v>4306610000000</v>
      </c>
      <c r="X17" s="5">
        <v>4516770000000</v>
      </c>
      <c r="Y17" s="5">
        <v>3954480000000</v>
      </c>
      <c r="AA17" s="15">
        <v>0.0149778</v>
      </c>
      <c r="AB17" s="5">
        <v>0.0154768</v>
      </c>
      <c r="AC17" s="5">
        <v>21697200000000</v>
      </c>
      <c r="AD17" s="5">
        <v>691040000</v>
      </c>
      <c r="AE17" s="5">
        <v>0</v>
      </c>
      <c r="AF17" s="5">
        <v>0</v>
      </c>
      <c r="AG17" s="5">
        <v>2</v>
      </c>
      <c r="AH17" s="5">
        <v>4225570000000</v>
      </c>
      <c r="AI17" s="5">
        <v>4274590000000</v>
      </c>
      <c r="AJ17" s="5">
        <v>3958240000000</v>
      </c>
      <c r="AK17" s="5">
        <v>4425150000000</v>
      </c>
      <c r="AL17" s="5">
        <v>4813380000000</v>
      </c>
      <c r="AN17" s="5">
        <f t="shared" si="0"/>
        <v>0.0149829</v>
      </c>
      <c r="AO17" s="5">
        <f t="shared" si="1"/>
        <v>21676633333333.3</v>
      </c>
      <c r="AP17" s="5">
        <f t="shared" si="2"/>
        <v>21259100000000</v>
      </c>
      <c r="AQ17" s="5">
        <f t="shared" si="3"/>
        <v>22073600000000</v>
      </c>
      <c r="AR17" s="5">
        <f t="shared" si="4"/>
        <v>4457040000000</v>
      </c>
      <c r="AS17" s="5">
        <f t="shared" si="5"/>
        <v>3954480000000</v>
      </c>
      <c r="AT17" s="5">
        <f t="shared" si="6"/>
        <v>4813380000000</v>
      </c>
    </row>
    <row r="18" customHeight="1" spans="1:46">
      <c r="A18" s="15">
        <v>0.0160063</v>
      </c>
      <c r="B18" s="5">
        <v>0.0164638</v>
      </c>
      <c r="C18" s="5">
        <v>21107100000000</v>
      </c>
      <c r="D18" s="5">
        <v>529334000</v>
      </c>
      <c r="E18" s="5">
        <v>0</v>
      </c>
      <c r="F18" s="5">
        <v>0</v>
      </c>
      <c r="G18" s="5">
        <v>2</v>
      </c>
      <c r="H18" s="5">
        <v>4787770000000</v>
      </c>
      <c r="I18" s="5">
        <v>4076250000000</v>
      </c>
      <c r="J18" s="5">
        <v>4144120000000</v>
      </c>
      <c r="K18" s="5">
        <v>3448780000000</v>
      </c>
      <c r="L18" s="5">
        <v>4650060000000</v>
      </c>
      <c r="N18" s="15">
        <v>0.0160005</v>
      </c>
      <c r="O18" s="5">
        <v>0.0164698</v>
      </c>
      <c r="P18" s="5">
        <v>22120600000000</v>
      </c>
      <c r="Q18" s="5">
        <v>800846000</v>
      </c>
      <c r="R18" s="5">
        <v>0</v>
      </c>
      <c r="S18" s="5">
        <v>0</v>
      </c>
      <c r="T18" s="5">
        <v>2</v>
      </c>
      <c r="U18" s="5">
        <v>4769220000000</v>
      </c>
      <c r="V18" s="5">
        <v>4210680000000</v>
      </c>
      <c r="W18" s="5">
        <v>4359080000000</v>
      </c>
      <c r="X18" s="5">
        <v>4521570000000</v>
      </c>
      <c r="Y18" s="5">
        <v>4258560000000</v>
      </c>
      <c r="AA18" s="15">
        <v>0.015973</v>
      </c>
      <c r="AB18" s="5">
        <v>0.0164922</v>
      </c>
      <c r="AC18" s="5">
        <v>20827600000000</v>
      </c>
      <c r="AD18" s="5">
        <v>956313000</v>
      </c>
      <c r="AE18" s="5">
        <v>0</v>
      </c>
      <c r="AF18" s="5">
        <v>0</v>
      </c>
      <c r="AG18" s="5">
        <v>2</v>
      </c>
      <c r="AH18" s="5">
        <v>4137510000000</v>
      </c>
      <c r="AI18" s="5">
        <v>4275170000000</v>
      </c>
      <c r="AJ18" s="5">
        <v>3968500000000</v>
      </c>
      <c r="AK18" s="5">
        <v>4268370000000</v>
      </c>
      <c r="AL18" s="5">
        <v>4177890000000</v>
      </c>
      <c r="AN18" s="5">
        <f t="shared" si="0"/>
        <v>0.0160063</v>
      </c>
      <c r="AO18" s="5">
        <f t="shared" si="1"/>
        <v>21351766666666.7</v>
      </c>
      <c r="AP18" s="5">
        <f t="shared" si="2"/>
        <v>20827600000000</v>
      </c>
      <c r="AQ18" s="5">
        <f t="shared" si="3"/>
        <v>22120600000000</v>
      </c>
      <c r="AR18" s="5">
        <f t="shared" si="4"/>
        <v>4362170000000</v>
      </c>
      <c r="AS18" s="5">
        <f t="shared" si="5"/>
        <v>4177890000000</v>
      </c>
      <c r="AT18" s="5">
        <f t="shared" si="6"/>
        <v>4650060000000</v>
      </c>
    </row>
    <row r="19" customHeight="1" spans="1:46">
      <c r="A19" s="15">
        <v>0.0169875</v>
      </c>
      <c r="B19" s="5">
        <v>0.0174604</v>
      </c>
      <c r="C19" s="5">
        <v>20762000000000</v>
      </c>
      <c r="D19" s="5">
        <v>878343000</v>
      </c>
      <c r="E19" s="5">
        <v>0</v>
      </c>
      <c r="F19" s="5">
        <v>0</v>
      </c>
      <c r="G19" s="5">
        <v>2</v>
      </c>
      <c r="H19" s="5">
        <v>4600570000000</v>
      </c>
      <c r="I19" s="5">
        <v>3649200000000</v>
      </c>
      <c r="J19" s="5">
        <v>3833070000000</v>
      </c>
      <c r="K19" s="5">
        <v>3256890000000</v>
      </c>
      <c r="L19" s="5">
        <v>5421410000000</v>
      </c>
      <c r="N19" s="15">
        <v>0.0169995</v>
      </c>
      <c r="O19" s="5">
        <v>0.0174917</v>
      </c>
      <c r="P19" s="5">
        <v>21577400000000</v>
      </c>
      <c r="Q19" s="5">
        <v>874113000</v>
      </c>
      <c r="R19" s="5">
        <v>0</v>
      </c>
      <c r="S19" s="5">
        <v>0</v>
      </c>
      <c r="T19" s="5">
        <v>2</v>
      </c>
      <c r="U19" s="5">
        <v>4675810000000</v>
      </c>
      <c r="V19" s="5">
        <v>4484670000000</v>
      </c>
      <c r="W19" s="5">
        <v>3870730000000</v>
      </c>
      <c r="X19" s="5">
        <v>4272870000000</v>
      </c>
      <c r="Y19" s="5">
        <v>4272790000000</v>
      </c>
      <c r="AA19" s="15">
        <v>0.016993</v>
      </c>
      <c r="AB19" s="5">
        <v>0.0174958</v>
      </c>
      <c r="AC19" s="5">
        <v>20929400000000</v>
      </c>
      <c r="AD19" s="5">
        <v>594837000</v>
      </c>
      <c r="AE19" s="5">
        <v>0</v>
      </c>
      <c r="AF19" s="5">
        <v>0</v>
      </c>
      <c r="AG19" s="5">
        <v>2</v>
      </c>
      <c r="AH19" s="5">
        <v>4267770000000</v>
      </c>
      <c r="AI19" s="5">
        <v>4310960000000</v>
      </c>
      <c r="AJ19" s="5">
        <v>4298220000000</v>
      </c>
      <c r="AK19" s="5">
        <v>4393220000000</v>
      </c>
      <c r="AL19" s="5">
        <v>3659000000000</v>
      </c>
      <c r="AN19" s="5">
        <f t="shared" si="0"/>
        <v>0.0169875</v>
      </c>
      <c r="AO19" s="5">
        <f t="shared" si="1"/>
        <v>21089600000000</v>
      </c>
      <c r="AP19" s="5">
        <f t="shared" si="2"/>
        <v>20762000000000</v>
      </c>
      <c r="AQ19" s="5">
        <f t="shared" si="3"/>
        <v>21577400000000</v>
      </c>
      <c r="AR19" s="5">
        <f t="shared" si="4"/>
        <v>4451066666666.67</v>
      </c>
      <c r="AS19" s="5">
        <f t="shared" si="5"/>
        <v>3659000000000</v>
      </c>
      <c r="AT19" s="5">
        <f t="shared" si="6"/>
        <v>5421410000000</v>
      </c>
    </row>
    <row r="20" customHeight="1" spans="1:46">
      <c r="A20" s="15">
        <v>0.0180264</v>
      </c>
      <c r="B20" s="5">
        <v>0.0184994</v>
      </c>
      <c r="C20" s="5">
        <v>20817900000000</v>
      </c>
      <c r="D20" s="5">
        <v>480935000</v>
      </c>
      <c r="E20" s="5">
        <v>0</v>
      </c>
      <c r="F20" s="5">
        <v>0</v>
      </c>
      <c r="G20" s="5">
        <v>2</v>
      </c>
      <c r="H20" s="5">
        <v>4372590000000</v>
      </c>
      <c r="I20" s="5">
        <v>3893870000000</v>
      </c>
      <c r="J20" s="5">
        <v>3873990000000</v>
      </c>
      <c r="K20" s="5">
        <v>3645140000000</v>
      </c>
      <c r="L20" s="5">
        <v>5032090000000</v>
      </c>
      <c r="N20" s="15">
        <v>0.0180493</v>
      </c>
      <c r="O20" s="5">
        <v>0.0185524</v>
      </c>
      <c r="P20" s="5">
        <v>21509200000000</v>
      </c>
      <c r="Q20" s="5">
        <v>692522000</v>
      </c>
      <c r="R20" s="5">
        <v>0</v>
      </c>
      <c r="S20" s="5">
        <v>0</v>
      </c>
      <c r="T20" s="5">
        <v>2</v>
      </c>
      <c r="U20" s="5">
        <v>4186660000000</v>
      </c>
      <c r="V20" s="5">
        <v>3963920000000</v>
      </c>
      <c r="W20" s="5">
        <v>4245790000000</v>
      </c>
      <c r="X20" s="5">
        <v>4278300000000</v>
      </c>
      <c r="Y20" s="5">
        <v>4834070000000</v>
      </c>
      <c r="AA20" s="15">
        <v>0.0180102</v>
      </c>
      <c r="AB20" s="5">
        <v>0.0185142</v>
      </c>
      <c r="AC20" s="5">
        <v>20808500000000</v>
      </c>
      <c r="AD20" s="5">
        <v>778154000</v>
      </c>
      <c r="AE20" s="5">
        <v>0</v>
      </c>
      <c r="AF20" s="5">
        <v>0</v>
      </c>
      <c r="AG20" s="5">
        <v>2</v>
      </c>
      <c r="AH20" s="5">
        <v>4287730000000</v>
      </c>
      <c r="AI20" s="5">
        <v>3995530000000</v>
      </c>
      <c r="AJ20" s="5">
        <v>4415160000000</v>
      </c>
      <c r="AK20" s="5">
        <v>4165580000000</v>
      </c>
      <c r="AL20" s="5">
        <v>3944480000000</v>
      </c>
      <c r="AN20" s="5">
        <f t="shared" si="0"/>
        <v>0.0180264</v>
      </c>
      <c r="AO20" s="5">
        <f t="shared" si="1"/>
        <v>21045200000000</v>
      </c>
      <c r="AP20" s="5">
        <f t="shared" si="2"/>
        <v>20808500000000</v>
      </c>
      <c r="AQ20" s="5">
        <f t="shared" si="3"/>
        <v>21509200000000</v>
      </c>
      <c r="AR20" s="5">
        <f t="shared" si="4"/>
        <v>4603546666666.67</v>
      </c>
      <c r="AS20" s="5">
        <f t="shared" si="5"/>
        <v>3944480000000</v>
      </c>
      <c r="AT20" s="5">
        <f t="shared" si="6"/>
        <v>5032090000000</v>
      </c>
    </row>
    <row r="21" customHeight="1" spans="1:46">
      <c r="A21" s="15">
        <v>0.0190506</v>
      </c>
      <c r="B21" s="5">
        <v>0.0195044</v>
      </c>
      <c r="C21" s="5">
        <v>21123500000000</v>
      </c>
      <c r="D21" s="5">
        <v>1005370000</v>
      </c>
      <c r="E21" s="5">
        <v>0</v>
      </c>
      <c r="F21" s="5">
        <v>0</v>
      </c>
      <c r="G21" s="5">
        <v>2</v>
      </c>
      <c r="H21" s="5">
        <v>4603680000000</v>
      </c>
      <c r="I21" s="5">
        <v>3859320000000</v>
      </c>
      <c r="J21" s="5">
        <v>4142300000000</v>
      </c>
      <c r="K21" s="5">
        <v>3878640000000</v>
      </c>
      <c r="L21" s="5">
        <v>4639380000000</v>
      </c>
      <c r="N21" s="15">
        <v>0.0190446</v>
      </c>
      <c r="O21" s="5">
        <v>0.019537</v>
      </c>
      <c r="P21" s="5">
        <v>22173300000000</v>
      </c>
      <c r="Q21" s="5">
        <v>581410000</v>
      </c>
      <c r="R21" s="5">
        <v>0</v>
      </c>
      <c r="S21" s="5">
        <v>0</v>
      </c>
      <c r="T21" s="5">
        <v>2</v>
      </c>
      <c r="U21" s="5">
        <v>4809560000000</v>
      </c>
      <c r="V21" s="5">
        <v>4188630000000</v>
      </c>
      <c r="W21" s="5">
        <v>4273670000000</v>
      </c>
      <c r="X21" s="5">
        <v>4355310000000</v>
      </c>
      <c r="Y21" s="5">
        <v>4545970000000</v>
      </c>
      <c r="AA21" s="15">
        <v>0.0190019</v>
      </c>
      <c r="AB21" s="5">
        <v>0.019497</v>
      </c>
      <c r="AC21" s="5">
        <v>20964400000000</v>
      </c>
      <c r="AD21" s="5">
        <v>468300000</v>
      </c>
      <c r="AE21" s="5">
        <v>0</v>
      </c>
      <c r="AF21" s="5">
        <v>0</v>
      </c>
      <c r="AG21" s="5">
        <v>2</v>
      </c>
      <c r="AH21" s="5">
        <v>4154990000000</v>
      </c>
      <c r="AI21" s="5">
        <v>4156810000000</v>
      </c>
      <c r="AJ21" s="5">
        <v>4248320000000</v>
      </c>
      <c r="AK21" s="5">
        <v>4323850000000</v>
      </c>
      <c r="AL21" s="5">
        <v>4080220000000</v>
      </c>
      <c r="AN21" s="5">
        <f t="shared" si="0"/>
        <v>0.0190506</v>
      </c>
      <c r="AO21" s="5">
        <f t="shared" si="1"/>
        <v>21420400000000</v>
      </c>
      <c r="AP21" s="5">
        <f t="shared" si="2"/>
        <v>20964400000000</v>
      </c>
      <c r="AQ21" s="5">
        <f t="shared" si="3"/>
        <v>22173300000000</v>
      </c>
      <c r="AR21" s="5">
        <f t="shared" si="4"/>
        <v>4421856666666.67</v>
      </c>
      <c r="AS21" s="5">
        <f t="shared" si="5"/>
        <v>4080220000000</v>
      </c>
      <c r="AT21" s="5">
        <f t="shared" si="6"/>
        <v>4639380000000</v>
      </c>
    </row>
    <row r="22" customHeight="1" spans="1:46">
      <c r="A22" s="15">
        <v>0.0200326</v>
      </c>
      <c r="B22" s="5">
        <v>0.0204864</v>
      </c>
      <c r="C22" s="5">
        <v>20480400000000</v>
      </c>
      <c r="D22" s="5">
        <v>630006000</v>
      </c>
      <c r="E22" s="5">
        <v>0</v>
      </c>
      <c r="F22" s="5">
        <v>0</v>
      </c>
      <c r="G22" s="5">
        <v>2</v>
      </c>
      <c r="H22" s="5">
        <v>4736790000000</v>
      </c>
      <c r="I22" s="5">
        <v>3877290000000</v>
      </c>
      <c r="J22" s="5">
        <v>3675650000000</v>
      </c>
      <c r="K22" s="5">
        <v>3798330000000</v>
      </c>
      <c r="L22" s="5">
        <v>4391880000000</v>
      </c>
      <c r="N22" s="15">
        <v>0.0199774</v>
      </c>
      <c r="O22" s="5">
        <v>0.0204927</v>
      </c>
      <c r="P22" s="5">
        <v>21275500000000</v>
      </c>
      <c r="Q22" s="5">
        <v>559435000</v>
      </c>
      <c r="R22" s="5">
        <v>0</v>
      </c>
      <c r="S22" s="5">
        <v>0</v>
      </c>
      <c r="T22" s="5">
        <v>2</v>
      </c>
      <c r="U22" s="5">
        <v>4686740000000</v>
      </c>
      <c r="V22" s="5">
        <v>4082600000000</v>
      </c>
      <c r="W22" s="5">
        <v>3783310000000</v>
      </c>
      <c r="X22" s="5">
        <v>3909590000000</v>
      </c>
      <c r="Y22" s="5">
        <v>4812790000000</v>
      </c>
      <c r="AA22" s="15">
        <v>0.0199888</v>
      </c>
      <c r="AB22" s="5">
        <v>0.0204847</v>
      </c>
      <c r="AC22" s="5">
        <v>20794500000000</v>
      </c>
      <c r="AD22" s="5">
        <v>1464980000</v>
      </c>
      <c r="AE22" s="5">
        <v>0</v>
      </c>
      <c r="AF22" s="5">
        <v>0</v>
      </c>
      <c r="AG22" s="5">
        <v>2</v>
      </c>
      <c r="AH22" s="5">
        <v>4155680000000</v>
      </c>
      <c r="AI22" s="5">
        <v>4271770000000</v>
      </c>
      <c r="AJ22" s="5">
        <v>4087400000000</v>
      </c>
      <c r="AK22" s="5">
        <v>4389260000000</v>
      </c>
      <c r="AL22" s="5">
        <v>3889320000000</v>
      </c>
      <c r="AN22" s="5">
        <f t="shared" si="0"/>
        <v>0.0200326</v>
      </c>
      <c r="AO22" s="5">
        <f t="shared" si="1"/>
        <v>20850133333333.3</v>
      </c>
      <c r="AP22" s="5">
        <f t="shared" si="2"/>
        <v>20480400000000</v>
      </c>
      <c r="AQ22" s="5">
        <f t="shared" si="3"/>
        <v>21275500000000</v>
      </c>
      <c r="AR22" s="5">
        <f t="shared" si="4"/>
        <v>4364663333333.33</v>
      </c>
      <c r="AS22" s="5">
        <f t="shared" si="5"/>
        <v>3889320000000</v>
      </c>
      <c r="AT22" s="5">
        <f t="shared" si="6"/>
        <v>4812790000000</v>
      </c>
    </row>
    <row r="23" customHeight="1" spans="1:46">
      <c r="A23" s="15">
        <v>0.0210018</v>
      </c>
      <c r="B23" s="5">
        <v>0.0214851</v>
      </c>
      <c r="C23" s="5">
        <v>20827400000000</v>
      </c>
      <c r="D23" s="5">
        <v>542552000</v>
      </c>
      <c r="E23" s="5">
        <v>0</v>
      </c>
      <c r="F23" s="5">
        <v>0</v>
      </c>
      <c r="G23" s="5">
        <v>2</v>
      </c>
      <c r="H23" s="5">
        <v>4606140000000</v>
      </c>
      <c r="I23" s="5">
        <v>4020780000000</v>
      </c>
      <c r="J23" s="5">
        <v>3909960000000</v>
      </c>
      <c r="K23" s="5">
        <v>4122840000000</v>
      </c>
      <c r="L23" s="5">
        <v>4167440000000</v>
      </c>
      <c r="N23" s="15">
        <v>0.0210063</v>
      </c>
      <c r="O23" s="5">
        <v>0.0214785</v>
      </c>
      <c r="P23" s="5">
        <v>21975800000000</v>
      </c>
      <c r="Q23" s="5">
        <v>504312000</v>
      </c>
      <c r="R23" s="5">
        <v>0</v>
      </c>
      <c r="S23" s="5">
        <v>0</v>
      </c>
      <c r="T23" s="5">
        <v>2</v>
      </c>
      <c r="U23" s="5">
        <v>4854500000000</v>
      </c>
      <c r="V23" s="5">
        <v>4149170000000</v>
      </c>
      <c r="W23" s="5">
        <v>4358780000000</v>
      </c>
      <c r="X23" s="5">
        <v>4439470000000</v>
      </c>
      <c r="Y23" s="5">
        <v>4173730000000</v>
      </c>
      <c r="AA23" s="15">
        <v>0.0210403</v>
      </c>
      <c r="AB23" s="5">
        <v>0.0215286</v>
      </c>
      <c r="AC23" s="5">
        <v>21205100000000</v>
      </c>
      <c r="AD23" s="5">
        <v>411368000</v>
      </c>
      <c r="AE23" s="5">
        <v>0</v>
      </c>
      <c r="AF23" s="5">
        <v>0</v>
      </c>
      <c r="AG23" s="5">
        <v>2</v>
      </c>
      <c r="AH23" s="5">
        <v>4344970000000</v>
      </c>
      <c r="AI23" s="5">
        <v>4577510000000</v>
      </c>
      <c r="AJ23" s="5">
        <v>4408070000000</v>
      </c>
      <c r="AK23" s="5">
        <v>4141380000000</v>
      </c>
      <c r="AL23" s="5">
        <v>3732970000000</v>
      </c>
      <c r="AN23" s="5">
        <f t="shared" si="0"/>
        <v>0.0210018</v>
      </c>
      <c r="AO23" s="5">
        <f t="shared" si="1"/>
        <v>21336100000000</v>
      </c>
      <c r="AP23" s="5">
        <f t="shared" si="2"/>
        <v>20827400000000</v>
      </c>
      <c r="AQ23" s="5">
        <f t="shared" si="3"/>
        <v>21975800000000</v>
      </c>
      <c r="AR23" s="5">
        <f t="shared" si="4"/>
        <v>4024713333333.33</v>
      </c>
      <c r="AS23" s="5">
        <f t="shared" si="5"/>
        <v>3732970000000</v>
      </c>
      <c r="AT23" s="5">
        <f t="shared" si="6"/>
        <v>4173730000000</v>
      </c>
    </row>
    <row r="24" customHeight="1" spans="1:46">
      <c r="A24" s="15">
        <v>0.0220033</v>
      </c>
      <c r="B24" s="5">
        <v>0.0224881</v>
      </c>
      <c r="C24" s="5">
        <v>20770400000000</v>
      </c>
      <c r="D24" s="5">
        <v>442951000</v>
      </c>
      <c r="E24" s="5">
        <v>0</v>
      </c>
      <c r="F24" s="5">
        <v>0</v>
      </c>
      <c r="G24" s="5">
        <v>2</v>
      </c>
      <c r="H24" s="5">
        <v>4749980000000</v>
      </c>
      <c r="I24" s="5">
        <v>3728260000000</v>
      </c>
      <c r="J24" s="5">
        <v>3568650000000</v>
      </c>
      <c r="K24" s="5">
        <v>3834080000000</v>
      </c>
      <c r="L24" s="5">
        <v>4889150000000</v>
      </c>
      <c r="N24" s="15">
        <v>0.022</v>
      </c>
      <c r="O24" s="5">
        <v>0.0224614</v>
      </c>
      <c r="P24" s="5">
        <v>21583500000000</v>
      </c>
      <c r="Q24" s="5">
        <v>427358000</v>
      </c>
      <c r="R24" s="5">
        <v>0</v>
      </c>
      <c r="S24" s="5">
        <v>0</v>
      </c>
      <c r="T24" s="5">
        <v>2</v>
      </c>
      <c r="U24" s="5">
        <v>4815420000000</v>
      </c>
      <c r="V24" s="5">
        <v>4168480000000</v>
      </c>
      <c r="W24" s="5">
        <v>4186970000000</v>
      </c>
      <c r="X24" s="5">
        <v>4185480000000</v>
      </c>
      <c r="Y24" s="5">
        <v>4226850000000</v>
      </c>
      <c r="AA24" s="15">
        <v>0.0219884</v>
      </c>
      <c r="AB24" s="5">
        <v>0.0224916</v>
      </c>
      <c r="AC24" s="5">
        <v>20874900000000</v>
      </c>
      <c r="AD24" s="5">
        <v>591978000</v>
      </c>
      <c r="AE24" s="5">
        <v>0</v>
      </c>
      <c r="AF24" s="5">
        <v>0</v>
      </c>
      <c r="AG24" s="5">
        <v>2</v>
      </c>
      <c r="AH24" s="5">
        <v>4295210000000</v>
      </c>
      <c r="AI24" s="5">
        <v>3877520000000</v>
      </c>
      <c r="AJ24" s="5">
        <v>4133070000000</v>
      </c>
      <c r="AK24" s="5">
        <v>4153810000000</v>
      </c>
      <c r="AL24" s="5">
        <v>4415090000000</v>
      </c>
      <c r="AN24" s="5">
        <f t="shared" si="0"/>
        <v>0.0220033</v>
      </c>
      <c r="AO24" s="5">
        <f t="shared" si="1"/>
        <v>21076266666666.7</v>
      </c>
      <c r="AP24" s="5">
        <f t="shared" si="2"/>
        <v>20770400000000</v>
      </c>
      <c r="AQ24" s="5">
        <f t="shared" si="3"/>
        <v>21583500000000</v>
      </c>
      <c r="AR24" s="5">
        <f t="shared" si="4"/>
        <v>4510363333333.33</v>
      </c>
      <c r="AS24" s="5">
        <f t="shared" si="5"/>
        <v>4226850000000</v>
      </c>
      <c r="AT24" s="5">
        <f t="shared" si="6"/>
        <v>4889150000000</v>
      </c>
    </row>
    <row r="25" customHeight="1" spans="1:46">
      <c r="A25" s="15">
        <v>0.0229936</v>
      </c>
      <c r="B25" s="5">
        <v>0.0234676</v>
      </c>
      <c r="C25" s="5">
        <v>20926200000000</v>
      </c>
      <c r="D25" s="5">
        <v>814576000</v>
      </c>
      <c r="E25" s="5">
        <v>0</v>
      </c>
      <c r="F25" s="5">
        <v>0</v>
      </c>
      <c r="G25" s="5">
        <v>2</v>
      </c>
      <c r="H25" s="5">
        <v>5000890000000</v>
      </c>
      <c r="I25" s="5">
        <v>3480190000000</v>
      </c>
      <c r="J25" s="5">
        <v>3668250000000</v>
      </c>
      <c r="K25" s="5">
        <v>3768950000000</v>
      </c>
      <c r="L25" s="5">
        <v>5007440000000</v>
      </c>
      <c r="N25" s="15">
        <v>0.0229629</v>
      </c>
      <c r="O25" s="5">
        <v>0.0234512</v>
      </c>
      <c r="P25" s="5">
        <v>21049000000000</v>
      </c>
      <c r="Q25" s="5">
        <v>952472000</v>
      </c>
      <c r="R25" s="5">
        <v>0</v>
      </c>
      <c r="S25" s="5">
        <v>0</v>
      </c>
      <c r="T25" s="5">
        <v>2</v>
      </c>
      <c r="U25" s="5">
        <v>4671440000000</v>
      </c>
      <c r="V25" s="5">
        <v>4167550000000</v>
      </c>
      <c r="W25" s="5">
        <v>3639050000000</v>
      </c>
      <c r="X25" s="5">
        <v>3820930000000</v>
      </c>
      <c r="Y25" s="5">
        <v>4749680000000</v>
      </c>
      <c r="AA25" s="15">
        <v>0.0230401</v>
      </c>
      <c r="AB25" s="5">
        <v>0.0235344</v>
      </c>
      <c r="AC25" s="5">
        <v>21444300000000</v>
      </c>
      <c r="AD25" s="5">
        <v>853706000</v>
      </c>
      <c r="AE25" s="5">
        <v>0</v>
      </c>
      <c r="AF25" s="5">
        <v>0</v>
      </c>
      <c r="AG25" s="5">
        <v>2</v>
      </c>
      <c r="AH25" s="5">
        <v>4349260000000</v>
      </c>
      <c r="AI25" s="5">
        <v>4182570000000</v>
      </c>
      <c r="AJ25" s="5">
        <v>4533710000000</v>
      </c>
      <c r="AK25" s="5">
        <v>4044400000000</v>
      </c>
      <c r="AL25" s="5">
        <v>4334150000000</v>
      </c>
      <c r="AN25" s="5">
        <f t="shared" si="0"/>
        <v>0.0229936</v>
      </c>
      <c r="AO25" s="5">
        <f t="shared" si="1"/>
        <v>21139833333333.3</v>
      </c>
      <c r="AP25" s="5">
        <f t="shared" si="2"/>
        <v>20926200000000</v>
      </c>
      <c r="AQ25" s="5">
        <f t="shared" si="3"/>
        <v>21444300000000</v>
      </c>
      <c r="AR25" s="5">
        <f t="shared" si="4"/>
        <v>4697090000000</v>
      </c>
      <c r="AS25" s="5">
        <f t="shared" si="5"/>
        <v>4334150000000</v>
      </c>
      <c r="AT25" s="5">
        <f t="shared" si="6"/>
        <v>5007440000000</v>
      </c>
    </row>
    <row r="26" customHeight="1" spans="1:46">
      <c r="A26" s="15">
        <v>0.0239954</v>
      </c>
      <c r="B26" s="5">
        <v>0.024499</v>
      </c>
      <c r="C26" s="5">
        <v>21075300000000</v>
      </c>
      <c r="D26" s="5">
        <v>1122920000</v>
      </c>
      <c r="E26" s="5">
        <v>0</v>
      </c>
      <c r="F26" s="5">
        <v>0</v>
      </c>
      <c r="G26" s="5">
        <v>2</v>
      </c>
      <c r="H26" s="5">
        <v>4882960000000</v>
      </c>
      <c r="I26" s="5">
        <v>4207900000000</v>
      </c>
      <c r="J26" s="5">
        <v>3764810000000</v>
      </c>
      <c r="K26" s="5">
        <v>4002810000000</v>
      </c>
      <c r="L26" s="5">
        <v>4216670000000</v>
      </c>
      <c r="N26" s="15">
        <v>0.0240105</v>
      </c>
      <c r="O26" s="5">
        <v>0.0244816</v>
      </c>
      <c r="P26" s="5">
        <v>20777300000000</v>
      </c>
      <c r="Q26" s="5">
        <v>543161000</v>
      </c>
      <c r="R26" s="5">
        <v>0</v>
      </c>
      <c r="S26" s="5">
        <v>0</v>
      </c>
      <c r="T26" s="5">
        <v>2</v>
      </c>
      <c r="U26" s="5">
        <v>4719240000000</v>
      </c>
      <c r="V26" s="5">
        <v>4043580000000</v>
      </c>
      <c r="W26" s="5">
        <v>3963350000000</v>
      </c>
      <c r="X26" s="5">
        <v>3882480000000</v>
      </c>
      <c r="Y26" s="5">
        <v>4168560000000</v>
      </c>
      <c r="AA26" s="15">
        <v>0.0239835</v>
      </c>
      <c r="AB26" s="5">
        <v>0.0244637</v>
      </c>
      <c r="AC26" s="5">
        <v>21014900000000</v>
      </c>
      <c r="AD26" s="5">
        <v>683626000</v>
      </c>
      <c r="AE26" s="5">
        <v>0</v>
      </c>
      <c r="AF26" s="5">
        <v>0</v>
      </c>
      <c r="AG26" s="5">
        <v>2</v>
      </c>
      <c r="AH26" s="5">
        <v>4256550000000</v>
      </c>
      <c r="AI26" s="5">
        <v>4178210000000</v>
      </c>
      <c r="AJ26" s="5">
        <v>4438690000000</v>
      </c>
      <c r="AK26" s="5">
        <v>4376520000000</v>
      </c>
      <c r="AL26" s="5">
        <v>3764850000000</v>
      </c>
      <c r="AN26" s="5">
        <f t="shared" si="0"/>
        <v>0.0239954</v>
      </c>
      <c r="AO26" s="5">
        <f t="shared" si="1"/>
        <v>20955833333333.3</v>
      </c>
      <c r="AP26" s="5">
        <f t="shared" si="2"/>
        <v>20777300000000</v>
      </c>
      <c r="AQ26" s="5">
        <f t="shared" si="3"/>
        <v>21075300000000</v>
      </c>
      <c r="AR26" s="5">
        <f t="shared" si="4"/>
        <v>4050026666666.67</v>
      </c>
      <c r="AS26" s="5">
        <f t="shared" si="5"/>
        <v>3764850000000</v>
      </c>
      <c r="AT26" s="5">
        <f t="shared" si="6"/>
        <v>4216670000000</v>
      </c>
    </row>
    <row r="27" customHeight="1" spans="1:46">
      <c r="A27" s="15">
        <v>0.0250238</v>
      </c>
      <c r="B27" s="5">
        <v>0.0254968</v>
      </c>
      <c r="C27" s="5">
        <v>21169900000000</v>
      </c>
      <c r="D27" s="5">
        <v>654696000</v>
      </c>
      <c r="E27" s="5">
        <v>0</v>
      </c>
      <c r="F27" s="5">
        <v>0</v>
      </c>
      <c r="G27" s="5">
        <v>2</v>
      </c>
      <c r="H27" s="5">
        <v>4786570000000</v>
      </c>
      <c r="I27" s="5">
        <v>4052560000000</v>
      </c>
      <c r="J27" s="5">
        <v>3879800000000</v>
      </c>
      <c r="K27" s="5">
        <v>3961370000000</v>
      </c>
      <c r="L27" s="5">
        <v>4488990000000</v>
      </c>
      <c r="N27" s="15">
        <v>0.0250104</v>
      </c>
      <c r="O27" s="5">
        <v>0.0254582</v>
      </c>
      <c r="P27" s="5">
        <v>21027500000000</v>
      </c>
      <c r="Q27" s="5">
        <v>1415920000</v>
      </c>
      <c r="R27" s="5">
        <v>0</v>
      </c>
      <c r="S27" s="5">
        <v>0</v>
      </c>
      <c r="T27" s="5">
        <v>2</v>
      </c>
      <c r="U27" s="5">
        <v>4873680000000</v>
      </c>
      <c r="V27" s="5">
        <v>4099810000000</v>
      </c>
      <c r="W27" s="5">
        <v>3740140000000</v>
      </c>
      <c r="X27" s="5">
        <v>3828470000000</v>
      </c>
      <c r="Y27" s="5">
        <v>4485380000000</v>
      </c>
      <c r="AA27" s="15">
        <v>0.0249984</v>
      </c>
      <c r="AB27" s="5">
        <v>0.0254666</v>
      </c>
      <c r="AC27" s="5">
        <v>20934200000000</v>
      </c>
      <c r="AD27" s="5">
        <v>812937000</v>
      </c>
      <c r="AE27" s="5">
        <v>0</v>
      </c>
      <c r="AF27" s="5">
        <v>0</v>
      </c>
      <c r="AG27" s="5">
        <v>2</v>
      </c>
      <c r="AH27" s="5">
        <v>4258640000000</v>
      </c>
      <c r="AI27" s="5">
        <v>4230380000000</v>
      </c>
      <c r="AJ27" s="5">
        <v>4482860000000</v>
      </c>
      <c r="AK27" s="5">
        <v>4699560000000</v>
      </c>
      <c r="AL27" s="5">
        <v>3262610000000</v>
      </c>
      <c r="AN27" s="5">
        <f t="shared" si="0"/>
        <v>0.0250238</v>
      </c>
      <c r="AO27" s="5">
        <f t="shared" si="1"/>
        <v>21043866666666.7</v>
      </c>
      <c r="AP27" s="5">
        <f t="shared" si="2"/>
        <v>20934200000000</v>
      </c>
      <c r="AQ27" s="5">
        <f t="shared" si="3"/>
        <v>21169900000000</v>
      </c>
      <c r="AR27" s="5">
        <f t="shared" si="4"/>
        <v>4078993333333.33</v>
      </c>
      <c r="AS27" s="5">
        <f t="shared" si="5"/>
        <v>3262610000000</v>
      </c>
      <c r="AT27" s="5">
        <f t="shared" si="6"/>
        <v>4488990000000</v>
      </c>
    </row>
    <row r="28" customHeight="1" spans="1:46">
      <c r="A28" s="15">
        <v>0.0259826</v>
      </c>
      <c r="B28" s="5">
        <v>0.0264723</v>
      </c>
      <c r="C28" s="5">
        <v>20665100000000</v>
      </c>
      <c r="D28" s="5">
        <v>593698000</v>
      </c>
      <c r="E28" s="5">
        <v>0</v>
      </c>
      <c r="F28" s="5">
        <v>0</v>
      </c>
      <c r="G28" s="5">
        <v>2</v>
      </c>
      <c r="H28" s="5">
        <v>4830510000000</v>
      </c>
      <c r="I28" s="5">
        <v>3684260000000</v>
      </c>
      <c r="J28" s="5">
        <v>3764880000000</v>
      </c>
      <c r="K28" s="5">
        <v>3884540000000</v>
      </c>
      <c r="L28" s="5">
        <v>4500640000000</v>
      </c>
      <c r="N28" s="15">
        <v>0.026026</v>
      </c>
      <c r="O28" s="5">
        <v>0.026497</v>
      </c>
      <c r="P28" s="5">
        <v>21480000000000</v>
      </c>
      <c r="Q28" s="5">
        <v>921409000</v>
      </c>
      <c r="R28" s="5">
        <v>0</v>
      </c>
      <c r="S28" s="5">
        <v>0</v>
      </c>
      <c r="T28" s="5">
        <v>2</v>
      </c>
      <c r="U28" s="5">
        <v>4775630000000</v>
      </c>
      <c r="V28" s="5">
        <v>4179750000000</v>
      </c>
      <c r="W28" s="5">
        <v>3978970000000</v>
      </c>
      <c r="X28" s="5">
        <v>3766220000000</v>
      </c>
      <c r="Y28" s="5">
        <v>4779000000000</v>
      </c>
      <c r="AA28" s="15">
        <v>0.0260071</v>
      </c>
      <c r="AB28" s="5">
        <v>0.0265044</v>
      </c>
      <c r="AC28" s="5">
        <v>21520800000000</v>
      </c>
      <c r="AD28" s="5">
        <v>873039000</v>
      </c>
      <c r="AE28" s="5">
        <v>0</v>
      </c>
      <c r="AF28" s="5">
        <v>0</v>
      </c>
      <c r="AG28" s="5">
        <v>2</v>
      </c>
      <c r="AH28" s="5">
        <v>4271920000000</v>
      </c>
      <c r="AI28" s="5">
        <v>4579670000000</v>
      </c>
      <c r="AJ28" s="5">
        <v>4189030000000</v>
      </c>
      <c r="AK28" s="5">
        <v>4409430000000</v>
      </c>
      <c r="AL28" s="5">
        <v>4070140000000</v>
      </c>
      <c r="AN28" s="5">
        <f t="shared" si="0"/>
        <v>0.0259826</v>
      </c>
      <c r="AO28" s="5">
        <f t="shared" si="1"/>
        <v>21221966666666.7</v>
      </c>
      <c r="AP28" s="5">
        <f t="shared" si="2"/>
        <v>20665100000000</v>
      </c>
      <c r="AQ28" s="5">
        <f t="shared" si="3"/>
        <v>21520800000000</v>
      </c>
      <c r="AR28" s="5">
        <f t="shared" si="4"/>
        <v>4449926666666.67</v>
      </c>
      <c r="AS28" s="5">
        <f t="shared" si="5"/>
        <v>4070140000000</v>
      </c>
      <c r="AT28" s="5">
        <f t="shared" si="6"/>
        <v>4779000000000</v>
      </c>
    </row>
    <row r="29" customHeight="1" spans="1:46">
      <c r="A29" s="15">
        <v>0.0270057</v>
      </c>
      <c r="B29" s="5">
        <v>0.0275065</v>
      </c>
      <c r="C29" s="5">
        <v>20899900000000</v>
      </c>
      <c r="D29" s="5">
        <v>638554000</v>
      </c>
      <c r="E29" s="5">
        <v>0</v>
      </c>
      <c r="F29" s="5">
        <v>0</v>
      </c>
      <c r="G29" s="5">
        <v>2</v>
      </c>
      <c r="H29" s="5">
        <v>4843510000000</v>
      </c>
      <c r="I29" s="5">
        <v>4031340000000</v>
      </c>
      <c r="J29" s="5">
        <v>3771550000000</v>
      </c>
      <c r="K29" s="5">
        <v>3874570000000</v>
      </c>
      <c r="L29" s="5">
        <v>4378300000000</v>
      </c>
      <c r="N29" s="15">
        <v>0.0270126</v>
      </c>
      <c r="O29" s="5">
        <v>0.0274862</v>
      </c>
      <c r="P29" s="5">
        <v>20627300000000</v>
      </c>
      <c r="Q29" s="5">
        <v>478161000</v>
      </c>
      <c r="R29" s="5">
        <v>0</v>
      </c>
      <c r="S29" s="5">
        <v>0</v>
      </c>
      <c r="T29" s="5">
        <v>2</v>
      </c>
      <c r="U29" s="5">
        <v>4601100000000</v>
      </c>
      <c r="V29" s="5">
        <v>3710190000000</v>
      </c>
      <c r="W29" s="5">
        <v>3869820000000</v>
      </c>
      <c r="X29" s="5">
        <v>3865240000000</v>
      </c>
      <c r="Y29" s="5">
        <v>4580460000000</v>
      </c>
      <c r="AA29" s="15">
        <v>0.0270039</v>
      </c>
      <c r="AB29" s="5">
        <v>0.0275136</v>
      </c>
      <c r="AC29" s="5">
        <v>21052700000000</v>
      </c>
      <c r="AD29" s="5">
        <v>439338000</v>
      </c>
      <c r="AE29" s="5">
        <v>0</v>
      </c>
      <c r="AF29" s="5">
        <v>0</v>
      </c>
      <c r="AG29" s="5">
        <v>2</v>
      </c>
      <c r="AH29" s="5">
        <v>4338350000000</v>
      </c>
      <c r="AI29" s="5">
        <v>4702850000000</v>
      </c>
      <c r="AJ29" s="5">
        <v>4233010000000</v>
      </c>
      <c r="AK29" s="5">
        <v>4207200000000</v>
      </c>
      <c r="AL29" s="5">
        <v>3569850000000</v>
      </c>
      <c r="AN29" s="5">
        <f t="shared" si="0"/>
        <v>0.0270057</v>
      </c>
      <c r="AO29" s="5">
        <f t="shared" si="1"/>
        <v>20859966666666.7</v>
      </c>
      <c r="AP29" s="5">
        <f t="shared" si="2"/>
        <v>20627300000000</v>
      </c>
      <c r="AQ29" s="5">
        <f t="shared" si="3"/>
        <v>21052700000000</v>
      </c>
      <c r="AR29" s="5">
        <f t="shared" si="4"/>
        <v>4176203333333.33</v>
      </c>
      <c r="AS29" s="5">
        <f t="shared" si="5"/>
        <v>3569850000000</v>
      </c>
      <c r="AT29" s="5">
        <f t="shared" si="6"/>
        <v>4580460000000</v>
      </c>
    </row>
    <row r="30" customHeight="1" spans="1:46">
      <c r="A30" s="15">
        <v>0.0279802</v>
      </c>
      <c r="B30" s="5">
        <v>0.0284729</v>
      </c>
      <c r="C30" s="5">
        <v>21269700000000</v>
      </c>
      <c r="D30" s="5">
        <v>526452000</v>
      </c>
      <c r="E30" s="5">
        <v>0</v>
      </c>
      <c r="F30" s="5">
        <v>0</v>
      </c>
      <c r="G30" s="5">
        <v>2</v>
      </c>
      <c r="H30" s="5">
        <v>5120720000000</v>
      </c>
      <c r="I30" s="5">
        <v>4091530000000</v>
      </c>
      <c r="J30" s="5">
        <v>4107780000000</v>
      </c>
      <c r="K30" s="5">
        <v>3804190000000</v>
      </c>
      <c r="L30" s="5">
        <v>4144740000000</v>
      </c>
      <c r="N30" s="15">
        <v>0.0280043</v>
      </c>
      <c r="O30" s="5">
        <v>0.0284603</v>
      </c>
      <c r="P30" s="5">
        <v>21467600000000</v>
      </c>
      <c r="Q30" s="5">
        <v>663488000</v>
      </c>
      <c r="R30" s="5">
        <v>0</v>
      </c>
      <c r="S30" s="5">
        <v>0</v>
      </c>
      <c r="T30" s="5">
        <v>2</v>
      </c>
      <c r="U30" s="5">
        <v>4729260000000</v>
      </c>
      <c r="V30" s="5">
        <v>3939020000000</v>
      </c>
      <c r="W30" s="5">
        <v>3747290000000</v>
      </c>
      <c r="X30" s="5">
        <v>4375670000000</v>
      </c>
      <c r="Y30" s="5">
        <v>4675570000000</v>
      </c>
      <c r="AA30" s="15">
        <v>0.0279909</v>
      </c>
      <c r="AB30" s="5">
        <v>0.0284678</v>
      </c>
      <c r="AC30" s="5">
        <v>21223500000000</v>
      </c>
      <c r="AD30" s="5">
        <v>942507000</v>
      </c>
      <c r="AE30" s="5">
        <v>0</v>
      </c>
      <c r="AF30" s="5">
        <v>0</v>
      </c>
      <c r="AG30" s="5">
        <v>2</v>
      </c>
      <c r="AH30" s="5">
        <v>4479320000000</v>
      </c>
      <c r="AI30" s="5">
        <v>3909900000000</v>
      </c>
      <c r="AJ30" s="5">
        <v>4409920000000</v>
      </c>
      <c r="AK30" s="5">
        <v>4262190000000</v>
      </c>
      <c r="AL30" s="5">
        <v>4161890000000</v>
      </c>
      <c r="AN30" s="5">
        <f t="shared" si="0"/>
        <v>0.0279802</v>
      </c>
      <c r="AO30" s="5">
        <f t="shared" si="1"/>
        <v>21320266666666.7</v>
      </c>
      <c r="AP30" s="5">
        <f t="shared" si="2"/>
        <v>21223500000000</v>
      </c>
      <c r="AQ30" s="5">
        <f t="shared" si="3"/>
        <v>21467600000000</v>
      </c>
      <c r="AR30" s="5">
        <f t="shared" si="4"/>
        <v>4327400000000</v>
      </c>
      <c r="AS30" s="5">
        <f t="shared" si="5"/>
        <v>4144740000000</v>
      </c>
      <c r="AT30" s="5">
        <f t="shared" si="6"/>
        <v>4675570000000</v>
      </c>
    </row>
    <row r="31" customHeight="1" spans="1:46">
      <c r="A31" s="15">
        <v>0.0290162</v>
      </c>
      <c r="B31" s="5">
        <v>0.029546</v>
      </c>
      <c r="C31" s="5">
        <v>20983700000000</v>
      </c>
      <c r="D31" s="5">
        <v>707219000</v>
      </c>
      <c r="E31" s="5">
        <v>0</v>
      </c>
      <c r="F31" s="5">
        <v>0</v>
      </c>
      <c r="G31" s="5">
        <v>2</v>
      </c>
      <c r="H31" s="5">
        <v>4682840000000</v>
      </c>
      <c r="I31" s="5">
        <v>3820930000000</v>
      </c>
      <c r="J31" s="5">
        <v>4241790000000</v>
      </c>
      <c r="K31" s="5">
        <v>3648150000000</v>
      </c>
      <c r="L31" s="5">
        <v>4589660000000</v>
      </c>
      <c r="N31" s="15">
        <v>0.0290045</v>
      </c>
      <c r="O31" s="5">
        <v>0.0295024</v>
      </c>
      <c r="P31" s="5">
        <v>20895600000000</v>
      </c>
      <c r="Q31" s="5">
        <v>855122000</v>
      </c>
      <c r="R31" s="5">
        <v>0</v>
      </c>
      <c r="S31" s="5">
        <v>0</v>
      </c>
      <c r="T31" s="5">
        <v>2</v>
      </c>
      <c r="U31" s="5">
        <v>4674230000000</v>
      </c>
      <c r="V31" s="5">
        <v>3585750000000</v>
      </c>
      <c r="W31" s="5">
        <v>3639240000000</v>
      </c>
      <c r="X31" s="5">
        <v>3362010000000</v>
      </c>
      <c r="Y31" s="5">
        <v>5633490000000</v>
      </c>
      <c r="AA31" s="15">
        <v>0.029031</v>
      </c>
      <c r="AB31" s="5">
        <v>0.0295142</v>
      </c>
      <c r="AC31" s="5">
        <v>21078000000000</v>
      </c>
      <c r="AD31" s="5">
        <v>374813000</v>
      </c>
      <c r="AE31" s="5">
        <v>0</v>
      </c>
      <c r="AF31" s="5">
        <v>0</v>
      </c>
      <c r="AG31" s="5">
        <v>2</v>
      </c>
      <c r="AH31" s="5">
        <v>4267190000000</v>
      </c>
      <c r="AI31" s="5">
        <v>4346110000000</v>
      </c>
      <c r="AJ31" s="5">
        <v>4182670000000</v>
      </c>
      <c r="AK31" s="5">
        <v>4131900000000</v>
      </c>
      <c r="AL31" s="5">
        <v>4149000000000</v>
      </c>
      <c r="AN31" s="5">
        <f t="shared" si="0"/>
        <v>0.0290162</v>
      </c>
      <c r="AO31" s="5">
        <f t="shared" si="1"/>
        <v>20985766666666.7</v>
      </c>
      <c r="AP31" s="5">
        <f t="shared" si="2"/>
        <v>20895600000000</v>
      </c>
      <c r="AQ31" s="5">
        <f t="shared" si="3"/>
        <v>21078000000000</v>
      </c>
      <c r="AR31" s="5">
        <f t="shared" si="4"/>
        <v>4790716666666.67</v>
      </c>
      <c r="AS31" s="5">
        <f t="shared" si="5"/>
        <v>4149000000000</v>
      </c>
      <c r="AT31" s="5">
        <f t="shared" si="6"/>
        <v>5633490000000</v>
      </c>
    </row>
    <row r="32" customHeight="1" spans="1:46">
      <c r="A32" s="15">
        <v>0.0299836</v>
      </c>
      <c r="B32" s="5">
        <v>0.0305018</v>
      </c>
      <c r="C32" s="5">
        <v>21482200000000</v>
      </c>
      <c r="D32" s="5">
        <v>377799000</v>
      </c>
      <c r="E32" s="5">
        <v>0</v>
      </c>
      <c r="F32" s="5">
        <v>0</v>
      </c>
      <c r="G32" s="5">
        <v>2</v>
      </c>
      <c r="H32" s="5">
        <v>5068030000000</v>
      </c>
      <c r="I32" s="5">
        <v>3901590000000</v>
      </c>
      <c r="J32" s="5">
        <v>4311940000000</v>
      </c>
      <c r="K32" s="5">
        <v>4108700000000</v>
      </c>
      <c r="L32" s="5">
        <v>4091940000000</v>
      </c>
      <c r="N32" s="15">
        <v>0.0300053</v>
      </c>
      <c r="O32" s="5">
        <v>0.0304936</v>
      </c>
      <c r="P32" s="5">
        <v>21074900000000</v>
      </c>
      <c r="Q32" s="5">
        <v>1224810000</v>
      </c>
      <c r="R32" s="5">
        <v>0</v>
      </c>
      <c r="S32" s="5">
        <v>0</v>
      </c>
      <c r="T32" s="5">
        <v>2</v>
      </c>
      <c r="U32" s="5">
        <v>4308040000000</v>
      </c>
      <c r="V32" s="5">
        <v>3705630000000</v>
      </c>
      <c r="W32" s="5">
        <v>3757500000000</v>
      </c>
      <c r="X32" s="5">
        <v>3452490000000</v>
      </c>
      <c r="Y32" s="5">
        <v>5851060000000</v>
      </c>
      <c r="AA32" s="15">
        <v>0.0300282</v>
      </c>
      <c r="AB32" s="5">
        <v>0.0305458</v>
      </c>
      <c r="AC32" s="5">
        <v>21088800000000</v>
      </c>
      <c r="AD32" s="5">
        <v>602544000</v>
      </c>
      <c r="AE32" s="5">
        <v>0</v>
      </c>
      <c r="AF32" s="5">
        <v>0</v>
      </c>
      <c r="AG32" s="5">
        <v>2</v>
      </c>
      <c r="AH32" s="5">
        <v>4330270000000</v>
      </c>
      <c r="AI32" s="5">
        <v>4159210000000</v>
      </c>
      <c r="AJ32" s="5">
        <v>4203040000000</v>
      </c>
      <c r="AK32" s="5">
        <v>4310410000000</v>
      </c>
      <c r="AL32" s="5">
        <v>4085770000000</v>
      </c>
      <c r="AN32" s="5">
        <f t="shared" si="0"/>
        <v>0.0299836</v>
      </c>
      <c r="AO32" s="5">
        <f t="shared" si="1"/>
        <v>21215300000000</v>
      </c>
      <c r="AP32" s="5">
        <f t="shared" si="2"/>
        <v>21074900000000</v>
      </c>
      <c r="AQ32" s="5">
        <f t="shared" si="3"/>
        <v>21482200000000</v>
      </c>
      <c r="AR32" s="5">
        <f t="shared" si="4"/>
        <v>4676256666666.67</v>
      </c>
      <c r="AS32" s="5">
        <f t="shared" si="5"/>
        <v>4085770000000</v>
      </c>
      <c r="AT32" s="5">
        <f t="shared" si="6"/>
        <v>5851060000000</v>
      </c>
    </row>
    <row r="33" customHeight="1" spans="1:46">
      <c r="A33" s="15">
        <v>0.0309722</v>
      </c>
      <c r="B33" s="5">
        <v>0.0314903</v>
      </c>
      <c r="C33" s="5">
        <v>21329900000000</v>
      </c>
      <c r="D33" s="5">
        <v>721236000</v>
      </c>
      <c r="E33" s="5">
        <v>0</v>
      </c>
      <c r="F33" s="5">
        <v>0</v>
      </c>
      <c r="G33" s="5">
        <v>2</v>
      </c>
      <c r="H33" s="5">
        <v>4967350000000</v>
      </c>
      <c r="I33" s="5">
        <v>3920960000000</v>
      </c>
      <c r="J33" s="5">
        <v>4129930000000</v>
      </c>
      <c r="K33" s="5">
        <v>3949040000000</v>
      </c>
      <c r="L33" s="5">
        <v>4362160000000</v>
      </c>
      <c r="N33" s="15">
        <v>0.03099</v>
      </c>
      <c r="O33" s="5">
        <v>0.0314643</v>
      </c>
      <c r="P33" s="5">
        <v>20928000000000</v>
      </c>
      <c r="Q33" s="5">
        <v>561337000</v>
      </c>
      <c r="R33" s="5">
        <v>0</v>
      </c>
      <c r="S33" s="5">
        <v>0</v>
      </c>
      <c r="T33" s="5">
        <v>2</v>
      </c>
      <c r="U33" s="5">
        <v>4621700000000</v>
      </c>
      <c r="V33" s="5">
        <v>3722410000000</v>
      </c>
      <c r="W33" s="5">
        <v>3691450000000</v>
      </c>
      <c r="X33" s="5">
        <v>3575670000000</v>
      </c>
      <c r="Y33" s="5">
        <v>5314790000000</v>
      </c>
      <c r="AA33" s="15">
        <v>0.0309185</v>
      </c>
      <c r="AB33" s="5">
        <v>0.0314418</v>
      </c>
      <c r="AC33" s="5">
        <v>21106800000000</v>
      </c>
      <c r="AD33" s="5">
        <v>460876000</v>
      </c>
      <c r="AE33" s="5">
        <v>0</v>
      </c>
      <c r="AF33" s="5">
        <v>0</v>
      </c>
      <c r="AG33" s="5">
        <v>2</v>
      </c>
      <c r="AH33" s="5">
        <v>4071650000000</v>
      </c>
      <c r="AI33" s="5">
        <v>4157350000000</v>
      </c>
      <c r="AJ33" s="5">
        <v>3878450000000</v>
      </c>
      <c r="AK33" s="5">
        <v>4026860000000</v>
      </c>
      <c r="AL33" s="5">
        <v>4971360000000</v>
      </c>
      <c r="AN33" s="5">
        <f t="shared" si="0"/>
        <v>0.0309722</v>
      </c>
      <c r="AO33" s="5">
        <f t="shared" si="1"/>
        <v>21121566666666.7</v>
      </c>
      <c r="AP33" s="5">
        <f t="shared" si="2"/>
        <v>20928000000000</v>
      </c>
      <c r="AQ33" s="5">
        <f t="shared" si="3"/>
        <v>21329900000000</v>
      </c>
      <c r="AR33" s="5">
        <f t="shared" si="4"/>
        <v>4882770000000</v>
      </c>
      <c r="AS33" s="5">
        <f t="shared" si="5"/>
        <v>4362160000000</v>
      </c>
      <c r="AT33" s="5">
        <f t="shared" si="6"/>
        <v>5314790000000</v>
      </c>
    </row>
    <row r="34" customHeight="1" spans="1:46">
      <c r="A34" s="15">
        <v>0.0320136</v>
      </c>
      <c r="B34" s="5">
        <v>0.0325545</v>
      </c>
      <c r="C34" s="5">
        <v>21872800000000</v>
      </c>
      <c r="D34" s="5">
        <v>475482000</v>
      </c>
      <c r="E34" s="5">
        <v>0</v>
      </c>
      <c r="F34" s="5">
        <v>0</v>
      </c>
      <c r="G34" s="5">
        <v>2</v>
      </c>
      <c r="H34" s="5">
        <v>4679850000000</v>
      </c>
      <c r="I34" s="5">
        <v>4434590000000</v>
      </c>
      <c r="J34" s="5">
        <v>4310790000000</v>
      </c>
      <c r="K34" s="5">
        <v>3929550000000</v>
      </c>
      <c r="L34" s="5">
        <v>4517840000000</v>
      </c>
      <c r="N34" s="15">
        <v>0.0319776</v>
      </c>
      <c r="O34" s="5">
        <v>0.032448</v>
      </c>
      <c r="P34" s="5">
        <v>21399000000000</v>
      </c>
      <c r="Q34" s="5">
        <v>731684000</v>
      </c>
      <c r="R34" s="5">
        <v>0</v>
      </c>
      <c r="S34" s="5">
        <v>0</v>
      </c>
      <c r="T34" s="5">
        <v>2</v>
      </c>
      <c r="U34" s="5">
        <v>4980170000000</v>
      </c>
      <c r="V34" s="5">
        <v>4292100000000</v>
      </c>
      <c r="W34" s="5">
        <v>3811590000000</v>
      </c>
      <c r="X34" s="5">
        <v>3977890000000</v>
      </c>
      <c r="Y34" s="5">
        <v>4336850000000</v>
      </c>
      <c r="AA34" s="15">
        <v>0.0320312</v>
      </c>
      <c r="AB34" s="5">
        <v>0.0325496</v>
      </c>
      <c r="AC34" s="5">
        <v>21178200000000</v>
      </c>
      <c r="AD34" s="5">
        <v>512120000</v>
      </c>
      <c r="AE34" s="5">
        <v>0</v>
      </c>
      <c r="AF34" s="5">
        <v>0</v>
      </c>
      <c r="AG34" s="5">
        <v>2</v>
      </c>
      <c r="AH34" s="5">
        <v>4132660000000</v>
      </c>
      <c r="AI34" s="5">
        <v>4156680000000</v>
      </c>
      <c r="AJ34" s="5">
        <v>3823910000000</v>
      </c>
      <c r="AK34" s="5">
        <v>4103180000000</v>
      </c>
      <c r="AL34" s="5">
        <v>4961450000000</v>
      </c>
      <c r="AN34" s="5">
        <f t="shared" si="0"/>
        <v>0.0320136</v>
      </c>
      <c r="AO34" s="5">
        <f t="shared" si="1"/>
        <v>21483333333333.3</v>
      </c>
      <c r="AP34" s="5">
        <f t="shared" si="2"/>
        <v>21178200000000</v>
      </c>
      <c r="AQ34" s="5">
        <f t="shared" si="3"/>
        <v>21872800000000</v>
      </c>
      <c r="AR34" s="5">
        <f t="shared" si="4"/>
        <v>4605380000000</v>
      </c>
      <c r="AS34" s="5">
        <f t="shared" si="5"/>
        <v>4336850000000</v>
      </c>
      <c r="AT34" s="5">
        <f t="shared" si="6"/>
        <v>4961450000000</v>
      </c>
    </row>
    <row r="35" customHeight="1" spans="1:46">
      <c r="A35" s="15">
        <v>0.0330387</v>
      </c>
      <c r="B35" s="5">
        <v>0.0335114</v>
      </c>
      <c r="C35" s="5">
        <v>21778000000000</v>
      </c>
      <c r="D35" s="5">
        <v>700662000</v>
      </c>
      <c r="E35" s="5">
        <v>0</v>
      </c>
      <c r="F35" s="5">
        <v>0</v>
      </c>
      <c r="G35" s="5">
        <v>2</v>
      </c>
      <c r="H35" s="5">
        <v>4676680000000</v>
      </c>
      <c r="I35" s="5">
        <v>4018910000000</v>
      </c>
      <c r="J35" s="5">
        <v>4197980000000</v>
      </c>
      <c r="K35" s="5">
        <v>4576200000000</v>
      </c>
      <c r="L35" s="5">
        <v>4307920000000</v>
      </c>
      <c r="N35" s="15">
        <v>0.0330109</v>
      </c>
      <c r="O35" s="5">
        <v>0.0335163</v>
      </c>
      <c r="P35" s="5">
        <v>21138700000000</v>
      </c>
      <c r="Q35" s="5">
        <v>440092000</v>
      </c>
      <c r="R35" s="5">
        <v>0</v>
      </c>
      <c r="S35" s="5">
        <v>0</v>
      </c>
      <c r="T35" s="5">
        <v>2</v>
      </c>
      <c r="U35" s="5">
        <v>5034980000000</v>
      </c>
      <c r="V35" s="5">
        <v>3730460000000</v>
      </c>
      <c r="W35" s="5">
        <v>3937710000000</v>
      </c>
      <c r="X35" s="5">
        <v>3905840000000</v>
      </c>
      <c r="Y35" s="5">
        <v>4529580000000</v>
      </c>
      <c r="AA35" s="15">
        <v>0.0330259</v>
      </c>
      <c r="AB35" s="5">
        <v>0.0335598</v>
      </c>
      <c r="AC35" s="5">
        <v>21248100000000</v>
      </c>
      <c r="AD35" s="5">
        <v>1253360000</v>
      </c>
      <c r="AE35" s="5">
        <v>0</v>
      </c>
      <c r="AF35" s="5">
        <v>0</v>
      </c>
      <c r="AG35" s="5">
        <v>2</v>
      </c>
      <c r="AH35" s="5">
        <v>4140030000000</v>
      </c>
      <c r="AI35" s="5">
        <v>4094980000000</v>
      </c>
      <c r="AJ35" s="5">
        <v>3975990000000</v>
      </c>
      <c r="AK35" s="5">
        <v>4112990000000</v>
      </c>
      <c r="AL35" s="5">
        <v>4922490000000</v>
      </c>
      <c r="AN35" s="5">
        <f t="shared" si="0"/>
        <v>0.0330387</v>
      </c>
      <c r="AO35" s="5">
        <f t="shared" si="1"/>
        <v>21388266666666.7</v>
      </c>
      <c r="AP35" s="5">
        <f t="shared" si="2"/>
        <v>21138700000000</v>
      </c>
      <c r="AQ35" s="5">
        <f t="shared" si="3"/>
        <v>21778000000000</v>
      </c>
      <c r="AR35" s="5">
        <f t="shared" si="4"/>
        <v>4586663333333.33</v>
      </c>
      <c r="AS35" s="5">
        <f t="shared" si="5"/>
        <v>4307920000000</v>
      </c>
      <c r="AT35" s="5">
        <f t="shared" si="6"/>
        <v>4922490000000</v>
      </c>
    </row>
    <row r="36" customHeight="1" spans="1:46">
      <c r="A36" s="15">
        <v>0.0340135</v>
      </c>
      <c r="B36" s="5">
        <v>0.034495</v>
      </c>
      <c r="C36" s="5">
        <v>21594100000000</v>
      </c>
      <c r="D36" s="5">
        <v>784139000</v>
      </c>
      <c r="E36" s="5">
        <v>0</v>
      </c>
      <c r="F36" s="5">
        <v>0</v>
      </c>
      <c r="G36" s="5">
        <v>2</v>
      </c>
      <c r="H36" s="5">
        <v>4982910000000</v>
      </c>
      <c r="I36" s="5">
        <v>3960670000000</v>
      </c>
      <c r="J36" s="5">
        <v>4220890000000</v>
      </c>
      <c r="K36" s="5">
        <v>4455670000000</v>
      </c>
      <c r="L36" s="5">
        <v>3973710000000</v>
      </c>
      <c r="N36" s="15">
        <v>0.0340441</v>
      </c>
      <c r="O36" s="5">
        <v>0.0345362</v>
      </c>
      <c r="P36" s="5">
        <v>21015700000000</v>
      </c>
      <c r="Q36" s="5">
        <v>665942000</v>
      </c>
      <c r="R36" s="5">
        <v>0</v>
      </c>
      <c r="S36" s="5">
        <v>0</v>
      </c>
      <c r="T36" s="5">
        <v>2</v>
      </c>
      <c r="U36" s="5">
        <v>4827510000000</v>
      </c>
      <c r="V36" s="5">
        <v>3791620000000</v>
      </c>
      <c r="W36" s="5">
        <v>3761100000000</v>
      </c>
      <c r="X36" s="5">
        <v>3854970000000</v>
      </c>
      <c r="Y36" s="5">
        <v>4780440000000</v>
      </c>
      <c r="AA36" s="15">
        <v>0.0340692</v>
      </c>
      <c r="AB36" s="5">
        <v>0.034567</v>
      </c>
      <c r="AC36" s="5">
        <v>21482600000000</v>
      </c>
      <c r="AD36" s="5">
        <v>887784000</v>
      </c>
      <c r="AE36" s="5">
        <v>0</v>
      </c>
      <c r="AF36" s="5">
        <v>0</v>
      </c>
      <c r="AG36" s="5">
        <v>2</v>
      </c>
      <c r="AH36" s="5">
        <v>4217570000000</v>
      </c>
      <c r="AI36" s="5">
        <v>4451140000000</v>
      </c>
      <c r="AJ36" s="5">
        <v>4032440000000</v>
      </c>
      <c r="AK36" s="5">
        <v>4444310000000</v>
      </c>
      <c r="AL36" s="5">
        <v>4335650000000</v>
      </c>
      <c r="AN36" s="5">
        <f t="shared" si="0"/>
        <v>0.0340135</v>
      </c>
      <c r="AO36" s="5">
        <f t="shared" si="1"/>
        <v>21364133333333.3</v>
      </c>
      <c r="AP36" s="5">
        <f t="shared" si="2"/>
        <v>21015700000000</v>
      </c>
      <c r="AQ36" s="5">
        <f t="shared" si="3"/>
        <v>21594100000000</v>
      </c>
      <c r="AR36" s="5">
        <f t="shared" si="4"/>
        <v>4363266666666.67</v>
      </c>
      <c r="AS36" s="5">
        <f t="shared" si="5"/>
        <v>3973710000000</v>
      </c>
      <c r="AT36" s="5">
        <f t="shared" si="6"/>
        <v>4780440000000</v>
      </c>
    </row>
    <row r="37" customHeight="1" spans="1:46">
      <c r="A37" s="15">
        <v>0.0350137</v>
      </c>
      <c r="B37" s="5">
        <v>0.0355123</v>
      </c>
      <c r="C37" s="5">
        <v>21524400000000</v>
      </c>
      <c r="D37" s="5">
        <v>540706000</v>
      </c>
      <c r="E37" s="5">
        <v>0</v>
      </c>
      <c r="F37" s="5">
        <v>0</v>
      </c>
      <c r="G37" s="5">
        <v>2</v>
      </c>
      <c r="H37" s="5">
        <v>4968560000000</v>
      </c>
      <c r="I37" s="5">
        <v>4061830000000</v>
      </c>
      <c r="J37" s="5">
        <v>4658260000000</v>
      </c>
      <c r="K37" s="5">
        <v>4249960000000</v>
      </c>
      <c r="L37" s="5">
        <v>3584530000000</v>
      </c>
      <c r="N37" s="15">
        <v>0.0350177</v>
      </c>
      <c r="O37" s="5">
        <v>0.0355194</v>
      </c>
      <c r="P37" s="5">
        <v>20787100000000</v>
      </c>
      <c r="Q37" s="5">
        <v>806558000</v>
      </c>
      <c r="R37" s="5">
        <v>0</v>
      </c>
      <c r="S37" s="5">
        <v>0</v>
      </c>
      <c r="T37" s="5">
        <v>2</v>
      </c>
      <c r="U37" s="5">
        <v>4620990000000</v>
      </c>
      <c r="V37" s="5">
        <v>3654770000000</v>
      </c>
      <c r="W37" s="5">
        <v>3683380000000</v>
      </c>
      <c r="X37" s="5">
        <v>3386160000000</v>
      </c>
      <c r="Y37" s="5">
        <v>5441010000000</v>
      </c>
      <c r="AA37" s="15">
        <v>0.0349709</v>
      </c>
      <c r="AB37" s="5">
        <v>0.0354657</v>
      </c>
      <c r="AC37" s="5">
        <v>21365900000000</v>
      </c>
      <c r="AD37" s="5">
        <v>607442000</v>
      </c>
      <c r="AE37" s="5">
        <v>0</v>
      </c>
      <c r="AF37" s="5">
        <v>0</v>
      </c>
      <c r="AG37" s="5">
        <v>2</v>
      </c>
      <c r="AH37" s="5">
        <v>4244550000000</v>
      </c>
      <c r="AI37" s="5">
        <v>3827730000000</v>
      </c>
      <c r="AJ37" s="5">
        <v>4128750000000</v>
      </c>
      <c r="AK37" s="5">
        <v>4741670000000</v>
      </c>
      <c r="AL37" s="5">
        <v>4423050000000</v>
      </c>
      <c r="AN37" s="5">
        <f t="shared" si="0"/>
        <v>0.0350137</v>
      </c>
      <c r="AO37" s="5">
        <f t="shared" si="1"/>
        <v>21225800000000</v>
      </c>
      <c r="AP37" s="5">
        <f t="shared" si="2"/>
        <v>20787100000000</v>
      </c>
      <c r="AQ37" s="5">
        <f t="shared" si="3"/>
        <v>21524400000000</v>
      </c>
      <c r="AR37" s="5">
        <f t="shared" si="4"/>
        <v>4482863333333.33</v>
      </c>
      <c r="AS37" s="5">
        <f t="shared" si="5"/>
        <v>3584530000000</v>
      </c>
      <c r="AT37" s="5">
        <f t="shared" si="6"/>
        <v>5441010000000</v>
      </c>
    </row>
    <row r="38" customHeight="1" spans="1:46">
      <c r="A38" s="15">
        <v>0.0360163</v>
      </c>
      <c r="B38" s="5">
        <v>0.0364968</v>
      </c>
      <c r="C38" s="5">
        <v>21344600000000</v>
      </c>
      <c r="D38" s="5">
        <v>740102000</v>
      </c>
      <c r="E38" s="5">
        <v>0</v>
      </c>
      <c r="F38" s="5">
        <v>0</v>
      </c>
      <c r="G38" s="5">
        <v>2</v>
      </c>
      <c r="H38" s="5">
        <v>4641400000000</v>
      </c>
      <c r="I38" s="5">
        <v>4124690000000</v>
      </c>
      <c r="J38" s="5">
        <v>4330840000000</v>
      </c>
      <c r="K38" s="5">
        <v>4128280000000</v>
      </c>
      <c r="L38" s="5">
        <v>4118920000000</v>
      </c>
      <c r="N38" s="15">
        <v>0.0359639</v>
      </c>
      <c r="O38" s="5">
        <v>0.0364797</v>
      </c>
      <c r="P38" s="5">
        <v>20939800000000</v>
      </c>
      <c r="Q38" s="5">
        <v>527886000</v>
      </c>
      <c r="R38" s="5">
        <v>0</v>
      </c>
      <c r="S38" s="5">
        <v>0</v>
      </c>
      <c r="T38" s="5">
        <v>2</v>
      </c>
      <c r="U38" s="5">
        <v>4754210000000</v>
      </c>
      <c r="V38" s="5">
        <v>3603460000000</v>
      </c>
      <c r="W38" s="5">
        <v>3662500000000</v>
      </c>
      <c r="X38" s="5">
        <v>3478120000000</v>
      </c>
      <c r="Y38" s="5">
        <v>5440830000000</v>
      </c>
      <c r="AA38" s="15">
        <v>0.0360253</v>
      </c>
      <c r="AB38" s="5">
        <v>0.0364869</v>
      </c>
      <c r="AC38" s="5">
        <v>21215800000000</v>
      </c>
      <c r="AD38" s="5">
        <v>551783000</v>
      </c>
      <c r="AE38" s="5">
        <v>0</v>
      </c>
      <c r="AF38" s="5">
        <v>0</v>
      </c>
      <c r="AG38" s="5">
        <v>2</v>
      </c>
      <c r="AH38" s="5">
        <v>4339340000000</v>
      </c>
      <c r="AI38" s="5">
        <v>4019080000000</v>
      </c>
      <c r="AJ38" s="5">
        <v>4448730000000</v>
      </c>
      <c r="AK38" s="5">
        <v>4623290000000</v>
      </c>
      <c r="AL38" s="5">
        <v>3782110000000</v>
      </c>
      <c r="AN38" s="5">
        <f t="shared" si="0"/>
        <v>0.0360163</v>
      </c>
      <c r="AO38" s="5">
        <f t="shared" si="1"/>
        <v>21166733333333.3</v>
      </c>
      <c r="AP38" s="5">
        <f t="shared" si="2"/>
        <v>20939800000000</v>
      </c>
      <c r="AQ38" s="5">
        <f t="shared" si="3"/>
        <v>21344600000000</v>
      </c>
      <c r="AR38" s="5">
        <f t="shared" si="4"/>
        <v>4447286666666.67</v>
      </c>
      <c r="AS38" s="5">
        <f t="shared" si="5"/>
        <v>3782110000000</v>
      </c>
      <c r="AT38" s="5">
        <f t="shared" si="6"/>
        <v>5440830000000</v>
      </c>
    </row>
    <row r="39" customHeight="1" spans="1:46">
      <c r="A39" s="15">
        <v>0.0369691</v>
      </c>
      <c r="B39" s="5">
        <v>0.0374699</v>
      </c>
      <c r="C39" s="5">
        <v>21514000000000</v>
      </c>
      <c r="D39" s="5">
        <v>506588000</v>
      </c>
      <c r="E39" s="5">
        <v>0</v>
      </c>
      <c r="F39" s="5">
        <v>0</v>
      </c>
      <c r="G39" s="5">
        <v>2</v>
      </c>
      <c r="H39" s="5">
        <v>4697040000000</v>
      </c>
      <c r="I39" s="5">
        <v>4445360000000</v>
      </c>
      <c r="J39" s="5">
        <v>4425270000000</v>
      </c>
      <c r="K39" s="5">
        <v>4057400000000</v>
      </c>
      <c r="L39" s="5">
        <v>3888900000000</v>
      </c>
      <c r="N39" s="15">
        <v>0.0370175</v>
      </c>
      <c r="O39" s="5">
        <v>0.0375304</v>
      </c>
      <c r="P39" s="5">
        <v>21174800000000</v>
      </c>
      <c r="Q39" s="5">
        <v>584503000</v>
      </c>
      <c r="R39" s="5">
        <v>0</v>
      </c>
      <c r="S39" s="5">
        <v>0</v>
      </c>
      <c r="T39" s="5">
        <v>2</v>
      </c>
      <c r="U39" s="5">
        <v>4806050000000</v>
      </c>
      <c r="V39" s="5">
        <v>3736050000000</v>
      </c>
      <c r="W39" s="5">
        <v>3870210000000</v>
      </c>
      <c r="X39" s="5">
        <v>3458960000000</v>
      </c>
      <c r="Y39" s="5">
        <v>5302910000000</v>
      </c>
      <c r="AA39" s="15">
        <v>0.0370321</v>
      </c>
      <c r="AB39" s="5">
        <v>0.0374986</v>
      </c>
      <c r="AC39" s="5">
        <v>20925500000000</v>
      </c>
      <c r="AD39" s="5">
        <v>633606000</v>
      </c>
      <c r="AE39" s="5">
        <v>0</v>
      </c>
      <c r="AF39" s="5">
        <v>0</v>
      </c>
      <c r="AG39" s="5">
        <v>2</v>
      </c>
      <c r="AH39" s="5">
        <v>4347990000000</v>
      </c>
      <c r="AI39" s="5">
        <v>4278670000000</v>
      </c>
      <c r="AJ39" s="5">
        <v>4293960000000</v>
      </c>
      <c r="AK39" s="5">
        <v>4182720000000</v>
      </c>
      <c r="AL39" s="5">
        <v>3818520000000</v>
      </c>
      <c r="AN39" s="5">
        <f t="shared" si="0"/>
        <v>0.0369691</v>
      </c>
      <c r="AO39" s="5">
        <f t="shared" si="1"/>
        <v>21204766666666.7</v>
      </c>
      <c r="AP39" s="5">
        <f t="shared" si="2"/>
        <v>20925500000000</v>
      </c>
      <c r="AQ39" s="5">
        <f t="shared" si="3"/>
        <v>21514000000000</v>
      </c>
      <c r="AR39" s="5">
        <f t="shared" si="4"/>
        <v>4336776666666.67</v>
      </c>
      <c r="AS39" s="5">
        <f t="shared" si="5"/>
        <v>3818520000000</v>
      </c>
      <c r="AT39" s="5">
        <f t="shared" si="6"/>
        <v>5302910000000</v>
      </c>
    </row>
    <row r="40" customHeight="1" spans="1:46">
      <c r="A40" s="15">
        <v>0.0379821</v>
      </c>
      <c r="B40" s="5">
        <v>0.0384658</v>
      </c>
      <c r="C40" s="5">
        <v>21069400000000</v>
      </c>
      <c r="D40" s="5">
        <v>488274000</v>
      </c>
      <c r="E40" s="5">
        <v>0</v>
      </c>
      <c r="F40" s="5">
        <v>0</v>
      </c>
      <c r="G40" s="5">
        <v>2</v>
      </c>
      <c r="H40" s="5">
        <v>4724630000000</v>
      </c>
      <c r="I40" s="5">
        <v>3969440000000</v>
      </c>
      <c r="J40" s="5">
        <v>4396820000000</v>
      </c>
      <c r="K40" s="5">
        <v>4038850000000</v>
      </c>
      <c r="L40" s="5">
        <v>3933810000000</v>
      </c>
      <c r="N40" s="15">
        <v>0.0379943</v>
      </c>
      <c r="O40" s="5">
        <v>0.0385215</v>
      </c>
      <c r="P40" s="5">
        <v>20864900000000</v>
      </c>
      <c r="Q40" s="5">
        <v>594955000</v>
      </c>
      <c r="R40" s="5">
        <v>0</v>
      </c>
      <c r="S40" s="5">
        <v>0</v>
      </c>
      <c r="T40" s="5">
        <v>2</v>
      </c>
      <c r="U40" s="5">
        <v>4268230000000</v>
      </c>
      <c r="V40" s="5">
        <v>3839100000000</v>
      </c>
      <c r="W40" s="5">
        <v>3779080000000</v>
      </c>
      <c r="X40" s="5">
        <v>3389130000000</v>
      </c>
      <c r="Y40" s="5">
        <v>5589120000000</v>
      </c>
      <c r="AA40" s="15">
        <v>0.0380159</v>
      </c>
      <c r="AB40" s="5">
        <v>0.0384638</v>
      </c>
      <c r="AC40" s="5">
        <v>21315400000000</v>
      </c>
      <c r="AD40" s="5">
        <v>304030000</v>
      </c>
      <c r="AE40" s="5">
        <v>0</v>
      </c>
      <c r="AF40" s="5">
        <v>0</v>
      </c>
      <c r="AG40" s="5">
        <v>2</v>
      </c>
      <c r="AH40" s="5">
        <v>4603340000000</v>
      </c>
      <c r="AI40" s="5">
        <v>4373520000000</v>
      </c>
      <c r="AJ40" s="5">
        <v>4350790000000</v>
      </c>
      <c r="AK40" s="5">
        <v>4300290000000</v>
      </c>
      <c r="AL40" s="5">
        <v>3687410000000</v>
      </c>
      <c r="AN40" s="5">
        <f t="shared" si="0"/>
        <v>0.0379821</v>
      </c>
      <c r="AO40" s="5">
        <f t="shared" si="1"/>
        <v>21083233333333.3</v>
      </c>
      <c r="AP40" s="5">
        <f t="shared" si="2"/>
        <v>20864900000000</v>
      </c>
      <c r="AQ40" s="5">
        <f t="shared" si="3"/>
        <v>21315400000000</v>
      </c>
      <c r="AR40" s="5">
        <f t="shared" si="4"/>
        <v>4403446666666.67</v>
      </c>
      <c r="AS40" s="5">
        <f t="shared" si="5"/>
        <v>3687410000000</v>
      </c>
      <c r="AT40" s="5">
        <f t="shared" si="6"/>
        <v>5589120000000</v>
      </c>
    </row>
    <row r="41" customHeight="1" spans="1:46">
      <c r="A41" s="15">
        <v>0.0389915</v>
      </c>
      <c r="B41" s="5">
        <v>0.0394937</v>
      </c>
      <c r="C41" s="5">
        <v>21043400000000</v>
      </c>
      <c r="D41" s="5">
        <v>477919000</v>
      </c>
      <c r="E41" s="5">
        <v>0</v>
      </c>
      <c r="F41" s="5">
        <v>0</v>
      </c>
      <c r="G41" s="5">
        <v>2</v>
      </c>
      <c r="H41" s="5">
        <v>4690080000000</v>
      </c>
      <c r="I41" s="5">
        <v>3942080000000</v>
      </c>
      <c r="J41" s="5">
        <v>4164490000000</v>
      </c>
      <c r="K41" s="5">
        <v>4025110000000</v>
      </c>
      <c r="L41" s="5">
        <v>4221270000000</v>
      </c>
      <c r="N41" s="15">
        <v>0.0390003</v>
      </c>
      <c r="O41" s="5">
        <v>0.0395663</v>
      </c>
      <c r="P41" s="5">
        <v>21227400000000</v>
      </c>
      <c r="Q41" s="5">
        <v>597535000</v>
      </c>
      <c r="R41" s="5">
        <v>0</v>
      </c>
      <c r="S41" s="5">
        <v>0</v>
      </c>
      <c r="T41" s="5">
        <v>2</v>
      </c>
      <c r="U41" s="5">
        <v>4070700000000</v>
      </c>
      <c r="V41" s="5">
        <v>3851830000000</v>
      </c>
      <c r="W41" s="5">
        <v>3822780000000</v>
      </c>
      <c r="X41" s="5">
        <v>3652720000000</v>
      </c>
      <c r="Y41" s="5">
        <v>5828730000000</v>
      </c>
      <c r="AA41" s="15">
        <v>0.0390136</v>
      </c>
      <c r="AB41" s="5">
        <v>0.0394713</v>
      </c>
      <c r="AC41" s="5">
        <v>21053900000000</v>
      </c>
      <c r="AD41" s="5">
        <v>1121290000</v>
      </c>
      <c r="AE41" s="5">
        <v>0</v>
      </c>
      <c r="AF41" s="5">
        <v>0</v>
      </c>
      <c r="AG41" s="5">
        <v>2</v>
      </c>
      <c r="AH41" s="5">
        <v>4637000000000</v>
      </c>
      <c r="AI41" s="5">
        <v>4419590000000</v>
      </c>
      <c r="AJ41" s="5">
        <v>4275150000000</v>
      </c>
      <c r="AK41" s="5">
        <v>4295280000000</v>
      </c>
      <c r="AL41" s="5">
        <v>3426730000000</v>
      </c>
      <c r="AN41" s="5">
        <f t="shared" si="0"/>
        <v>0.0389915</v>
      </c>
      <c r="AO41" s="5">
        <f t="shared" si="1"/>
        <v>21108233333333.3</v>
      </c>
      <c r="AP41" s="5">
        <f t="shared" si="2"/>
        <v>21043400000000</v>
      </c>
      <c r="AQ41" s="5">
        <f t="shared" si="3"/>
        <v>21227400000000</v>
      </c>
      <c r="AR41" s="5">
        <f t="shared" si="4"/>
        <v>4492243333333.33</v>
      </c>
      <c r="AS41" s="5">
        <f t="shared" si="5"/>
        <v>3426730000000</v>
      </c>
      <c r="AT41" s="5">
        <f t="shared" si="6"/>
        <v>5828730000000</v>
      </c>
    </row>
    <row r="42" customHeight="1" spans="1:46">
      <c r="A42" s="15">
        <v>0.0400133</v>
      </c>
      <c r="B42" s="5">
        <v>0.0404915</v>
      </c>
      <c r="C42" s="5">
        <v>20910400000000</v>
      </c>
      <c r="D42" s="5">
        <v>650190000</v>
      </c>
      <c r="E42" s="5">
        <v>0</v>
      </c>
      <c r="F42" s="5">
        <v>0</v>
      </c>
      <c r="G42" s="5">
        <v>2</v>
      </c>
      <c r="H42" s="5">
        <v>4967290000000</v>
      </c>
      <c r="I42" s="5">
        <v>4294740000000</v>
      </c>
      <c r="J42" s="5">
        <v>3643350000000</v>
      </c>
      <c r="K42" s="5">
        <v>4023780000000</v>
      </c>
      <c r="L42" s="5">
        <v>3979180000000</v>
      </c>
      <c r="N42" s="15">
        <v>0.0399857</v>
      </c>
      <c r="O42" s="5">
        <v>0.0405134</v>
      </c>
      <c r="P42" s="5">
        <v>21337800000000</v>
      </c>
      <c r="Q42" s="5">
        <v>864870000</v>
      </c>
      <c r="R42" s="5">
        <v>0</v>
      </c>
      <c r="S42" s="5">
        <v>0</v>
      </c>
      <c r="T42" s="5">
        <v>2</v>
      </c>
      <c r="U42" s="5">
        <v>4304330000000</v>
      </c>
      <c r="V42" s="5">
        <v>4023310000000</v>
      </c>
      <c r="W42" s="5">
        <v>4061550000000</v>
      </c>
      <c r="X42" s="5">
        <v>3658970000000</v>
      </c>
      <c r="Y42" s="5">
        <v>5288900000000</v>
      </c>
      <c r="AA42" s="15">
        <v>0.039991</v>
      </c>
      <c r="AB42" s="5">
        <v>0.0404413</v>
      </c>
      <c r="AC42" s="5">
        <v>20599100000000</v>
      </c>
      <c r="AD42" s="5">
        <v>347763000</v>
      </c>
      <c r="AE42" s="5">
        <v>0</v>
      </c>
      <c r="AF42" s="5">
        <v>0</v>
      </c>
      <c r="AG42" s="5">
        <v>2</v>
      </c>
      <c r="AH42" s="5">
        <v>4533640000000</v>
      </c>
      <c r="AI42" s="5">
        <v>4496630000000</v>
      </c>
      <c r="AJ42" s="5">
        <v>4168180000000</v>
      </c>
      <c r="AK42" s="5">
        <v>4127720000000</v>
      </c>
      <c r="AL42" s="5">
        <v>3272650000000</v>
      </c>
      <c r="AN42" s="5">
        <f t="shared" si="0"/>
        <v>0.0400133</v>
      </c>
      <c r="AO42" s="5">
        <f t="shared" si="1"/>
        <v>20949100000000</v>
      </c>
      <c r="AP42" s="5">
        <f t="shared" si="2"/>
        <v>20599100000000</v>
      </c>
      <c r="AQ42" s="5">
        <f t="shared" si="3"/>
        <v>21337800000000</v>
      </c>
      <c r="AR42" s="5">
        <f t="shared" si="4"/>
        <v>4180243333333.33</v>
      </c>
      <c r="AS42" s="5">
        <f t="shared" si="5"/>
        <v>3272650000000</v>
      </c>
      <c r="AT42" s="5">
        <f t="shared" si="6"/>
        <v>5288900000000</v>
      </c>
    </row>
    <row r="43" customHeight="1" spans="1:46">
      <c r="A43" s="15">
        <v>0.040969</v>
      </c>
      <c r="B43" s="5">
        <v>0.0414846</v>
      </c>
      <c r="C43" s="5">
        <v>20727300000000</v>
      </c>
      <c r="D43" s="5">
        <v>767441000</v>
      </c>
      <c r="E43" s="5">
        <v>0</v>
      </c>
      <c r="F43" s="5">
        <v>0</v>
      </c>
      <c r="G43" s="5">
        <v>2</v>
      </c>
      <c r="H43" s="5">
        <v>4861550000000</v>
      </c>
      <c r="I43" s="5">
        <v>3721840000000</v>
      </c>
      <c r="J43" s="5">
        <v>3752920000000</v>
      </c>
      <c r="K43" s="5">
        <v>3883930000000</v>
      </c>
      <c r="L43" s="5">
        <v>4506640000000</v>
      </c>
      <c r="N43" s="15">
        <v>0.0409458</v>
      </c>
      <c r="O43" s="5">
        <v>0.041459</v>
      </c>
      <c r="P43" s="5">
        <v>21409800000000</v>
      </c>
      <c r="Q43" s="5">
        <v>928323000</v>
      </c>
      <c r="R43" s="5">
        <v>0</v>
      </c>
      <c r="S43" s="5">
        <v>0</v>
      </c>
      <c r="T43" s="5">
        <v>2</v>
      </c>
      <c r="U43" s="5">
        <v>4601210000000</v>
      </c>
      <c r="V43" s="5">
        <v>4270950000000</v>
      </c>
      <c r="W43" s="5">
        <v>3922850000000</v>
      </c>
      <c r="X43" s="5">
        <v>4061090000000</v>
      </c>
      <c r="Y43" s="5">
        <v>4553190000000</v>
      </c>
      <c r="AA43" s="15">
        <v>0.0410099</v>
      </c>
      <c r="AB43" s="5">
        <v>0.0415257</v>
      </c>
      <c r="AC43" s="5">
        <v>20811300000000</v>
      </c>
      <c r="AD43" s="5">
        <v>316114000</v>
      </c>
      <c r="AE43" s="5">
        <v>0</v>
      </c>
      <c r="AF43" s="5">
        <v>0</v>
      </c>
      <c r="AG43" s="5">
        <v>2</v>
      </c>
      <c r="AH43" s="5">
        <v>4561550000000</v>
      </c>
      <c r="AI43" s="5">
        <v>4627650000000</v>
      </c>
      <c r="AJ43" s="5">
        <v>4057370000000</v>
      </c>
      <c r="AK43" s="5">
        <v>4017700000000</v>
      </c>
      <c r="AL43" s="5">
        <v>3546840000000</v>
      </c>
      <c r="AN43" s="5">
        <f t="shared" si="0"/>
        <v>0.040969</v>
      </c>
      <c r="AO43" s="5">
        <f t="shared" si="1"/>
        <v>20982800000000</v>
      </c>
      <c r="AP43" s="5">
        <f t="shared" si="2"/>
        <v>20727300000000</v>
      </c>
      <c r="AQ43" s="5">
        <f t="shared" si="3"/>
        <v>21409800000000</v>
      </c>
      <c r="AR43" s="5">
        <f t="shared" si="4"/>
        <v>4202223333333.33</v>
      </c>
      <c r="AS43" s="5">
        <f t="shared" si="5"/>
        <v>3546840000000</v>
      </c>
      <c r="AT43" s="5">
        <f t="shared" si="6"/>
        <v>4553190000000</v>
      </c>
    </row>
    <row r="44" customHeight="1" spans="1:46">
      <c r="A44" s="15">
        <v>0.041985</v>
      </c>
      <c r="B44" s="5">
        <v>0.0424771</v>
      </c>
      <c r="C44" s="5">
        <v>21173600000000</v>
      </c>
      <c r="D44" s="5">
        <v>446642000</v>
      </c>
      <c r="E44" s="5">
        <v>0</v>
      </c>
      <c r="F44" s="5">
        <v>0</v>
      </c>
      <c r="G44" s="5">
        <v>2</v>
      </c>
      <c r="H44" s="5">
        <v>5119130000000</v>
      </c>
      <c r="I44" s="5">
        <v>3747210000000</v>
      </c>
      <c r="J44" s="5">
        <v>4007230000000</v>
      </c>
      <c r="K44" s="5">
        <v>3737870000000</v>
      </c>
      <c r="L44" s="5">
        <v>4562010000000</v>
      </c>
      <c r="N44" s="15">
        <v>0.042012</v>
      </c>
      <c r="O44" s="5">
        <v>0.0424912</v>
      </c>
      <c r="P44" s="5">
        <v>21490200000000</v>
      </c>
      <c r="Q44" s="5">
        <v>555458000</v>
      </c>
      <c r="R44" s="5">
        <v>0</v>
      </c>
      <c r="S44" s="5">
        <v>0</v>
      </c>
      <c r="T44" s="5">
        <v>2</v>
      </c>
      <c r="U44" s="5">
        <v>4204840000000</v>
      </c>
      <c r="V44" s="5">
        <v>4231480000000</v>
      </c>
      <c r="W44" s="5">
        <v>4339190000000</v>
      </c>
      <c r="X44" s="5">
        <v>4278890000000</v>
      </c>
      <c r="Y44" s="5">
        <v>4435420000000</v>
      </c>
      <c r="AA44" s="15">
        <v>0.0420054</v>
      </c>
      <c r="AB44" s="5">
        <v>0.0424992</v>
      </c>
      <c r="AC44" s="5">
        <v>21197200000000</v>
      </c>
      <c r="AD44" s="5">
        <v>495227000</v>
      </c>
      <c r="AE44" s="5">
        <v>0</v>
      </c>
      <c r="AF44" s="5">
        <v>0</v>
      </c>
      <c r="AG44" s="5">
        <v>2</v>
      </c>
      <c r="AH44" s="5">
        <v>4914870000000</v>
      </c>
      <c r="AI44" s="5">
        <v>4302980000000</v>
      </c>
      <c r="AJ44" s="5">
        <v>4156890000000</v>
      </c>
      <c r="AK44" s="5">
        <v>4057080000000</v>
      </c>
      <c r="AL44" s="5">
        <v>3763210000000</v>
      </c>
      <c r="AN44" s="5">
        <f t="shared" si="0"/>
        <v>0.041985</v>
      </c>
      <c r="AO44" s="5">
        <f t="shared" si="1"/>
        <v>21287000000000</v>
      </c>
      <c r="AP44" s="5">
        <f t="shared" si="2"/>
        <v>21173600000000</v>
      </c>
      <c r="AQ44" s="5">
        <f t="shared" si="3"/>
        <v>21490200000000</v>
      </c>
      <c r="AR44" s="5">
        <f t="shared" si="4"/>
        <v>4253546666666.67</v>
      </c>
      <c r="AS44" s="5">
        <f t="shared" si="5"/>
        <v>3763210000000</v>
      </c>
      <c r="AT44" s="5">
        <f t="shared" si="6"/>
        <v>4562010000000</v>
      </c>
    </row>
    <row r="45" customHeight="1" spans="1:46">
      <c r="A45" s="15">
        <v>0.0430038</v>
      </c>
      <c r="B45" s="5">
        <v>0.0434627</v>
      </c>
      <c r="C45" s="5">
        <v>21337900000000</v>
      </c>
      <c r="D45" s="5">
        <v>987603000</v>
      </c>
      <c r="E45" s="5">
        <v>0</v>
      </c>
      <c r="F45" s="5">
        <v>0</v>
      </c>
      <c r="G45" s="5">
        <v>2</v>
      </c>
      <c r="H45" s="5">
        <v>4917410000000</v>
      </c>
      <c r="I45" s="5">
        <v>3797980000000</v>
      </c>
      <c r="J45" s="5">
        <v>3973200000000</v>
      </c>
      <c r="K45" s="5">
        <v>3769640000000</v>
      </c>
      <c r="L45" s="5">
        <v>4879670000000</v>
      </c>
      <c r="N45" s="15">
        <v>0.0430357</v>
      </c>
      <c r="O45" s="5">
        <v>0.0435388</v>
      </c>
      <c r="P45" s="5">
        <v>21520000000000</v>
      </c>
      <c r="Q45" s="5">
        <v>1408240000</v>
      </c>
      <c r="R45" s="5">
        <v>0</v>
      </c>
      <c r="S45" s="5">
        <v>0</v>
      </c>
      <c r="T45" s="5">
        <v>2</v>
      </c>
      <c r="U45" s="5">
        <v>4432740000000</v>
      </c>
      <c r="V45" s="5">
        <v>4145550000000</v>
      </c>
      <c r="W45" s="5">
        <v>4420240000000</v>
      </c>
      <c r="X45" s="5">
        <v>3896110000000</v>
      </c>
      <c r="Y45" s="5">
        <v>4625120000000</v>
      </c>
      <c r="AA45" s="15">
        <v>0.0429788</v>
      </c>
      <c r="AB45" s="5">
        <v>0.0434579</v>
      </c>
      <c r="AC45" s="5">
        <v>20817000000000</v>
      </c>
      <c r="AD45" s="5">
        <v>440619000</v>
      </c>
      <c r="AE45" s="5">
        <v>0</v>
      </c>
      <c r="AF45" s="5">
        <v>0</v>
      </c>
      <c r="AG45" s="5">
        <v>2</v>
      </c>
      <c r="AH45" s="5">
        <v>4192520000000</v>
      </c>
      <c r="AI45" s="5">
        <v>4206670000000</v>
      </c>
      <c r="AJ45" s="5">
        <v>4039420000000</v>
      </c>
      <c r="AK45" s="5">
        <v>4262400000000</v>
      </c>
      <c r="AL45" s="5">
        <v>4115750000000</v>
      </c>
      <c r="AN45" s="5">
        <f t="shared" si="0"/>
        <v>0.0430038</v>
      </c>
      <c r="AO45" s="5">
        <f t="shared" si="1"/>
        <v>21224966666666.7</v>
      </c>
      <c r="AP45" s="5">
        <f t="shared" si="2"/>
        <v>20817000000000</v>
      </c>
      <c r="AQ45" s="5">
        <f t="shared" si="3"/>
        <v>21520000000000</v>
      </c>
      <c r="AR45" s="5">
        <f t="shared" si="4"/>
        <v>4540180000000</v>
      </c>
      <c r="AS45" s="5">
        <f t="shared" si="5"/>
        <v>4115750000000</v>
      </c>
      <c r="AT45" s="5">
        <f t="shared" si="6"/>
        <v>4879670000000</v>
      </c>
    </row>
    <row r="46" customHeight="1" spans="1:46">
      <c r="A46" s="15">
        <v>0.0440017</v>
      </c>
      <c r="B46" s="5">
        <v>0.0444384</v>
      </c>
      <c r="C46" s="5">
        <v>21232500000000</v>
      </c>
      <c r="D46" s="5">
        <v>728395000</v>
      </c>
      <c r="E46" s="5">
        <v>0</v>
      </c>
      <c r="F46" s="5">
        <v>0</v>
      </c>
      <c r="G46" s="5">
        <v>2</v>
      </c>
      <c r="H46" s="5">
        <v>4594880000000</v>
      </c>
      <c r="I46" s="5">
        <v>3753400000000</v>
      </c>
      <c r="J46" s="5">
        <v>4241280000000</v>
      </c>
      <c r="K46" s="5">
        <v>3898570000000</v>
      </c>
      <c r="L46" s="5">
        <v>4744120000000</v>
      </c>
      <c r="N46" s="15">
        <v>0.043943</v>
      </c>
      <c r="O46" s="5">
        <v>0.0444641</v>
      </c>
      <c r="P46" s="5">
        <v>21861800000000</v>
      </c>
      <c r="Q46" s="5">
        <v>674014000</v>
      </c>
      <c r="R46" s="5">
        <v>0</v>
      </c>
      <c r="S46" s="5">
        <v>0</v>
      </c>
      <c r="T46" s="5">
        <v>2</v>
      </c>
      <c r="U46" s="5">
        <v>4270730000000</v>
      </c>
      <c r="V46" s="5">
        <v>4118890000000</v>
      </c>
      <c r="W46" s="5">
        <v>3994790000000</v>
      </c>
      <c r="X46" s="5">
        <v>4342240000000</v>
      </c>
      <c r="Y46" s="5">
        <v>5134880000000</v>
      </c>
      <c r="AA46" s="15">
        <v>0.0439889</v>
      </c>
      <c r="AB46" s="5">
        <v>0.0444808</v>
      </c>
      <c r="AC46" s="5">
        <v>20944600000000</v>
      </c>
      <c r="AD46" s="5">
        <v>548641000</v>
      </c>
      <c r="AE46" s="5">
        <v>0</v>
      </c>
      <c r="AF46" s="5">
        <v>0</v>
      </c>
      <c r="AG46" s="5">
        <v>2</v>
      </c>
      <c r="AH46" s="5">
        <v>3933220000000</v>
      </c>
      <c r="AI46" s="5">
        <v>4115580000000</v>
      </c>
      <c r="AJ46" s="5">
        <v>4330940000000</v>
      </c>
      <c r="AK46" s="5">
        <v>4794700000000</v>
      </c>
      <c r="AL46" s="5">
        <v>3769940000000</v>
      </c>
      <c r="AN46" s="5">
        <f t="shared" si="0"/>
        <v>0.0440017</v>
      </c>
      <c r="AO46" s="5">
        <f t="shared" si="1"/>
        <v>21346300000000</v>
      </c>
      <c r="AP46" s="5">
        <f t="shared" si="2"/>
        <v>20944600000000</v>
      </c>
      <c r="AQ46" s="5">
        <f t="shared" si="3"/>
        <v>21861800000000</v>
      </c>
      <c r="AR46" s="5">
        <f t="shared" si="4"/>
        <v>4549646666666.67</v>
      </c>
      <c r="AS46" s="5">
        <f t="shared" si="5"/>
        <v>3769940000000</v>
      </c>
      <c r="AT46" s="5">
        <f t="shared" si="6"/>
        <v>5134880000000</v>
      </c>
    </row>
    <row r="47" customHeight="1" spans="1:46">
      <c r="A47" s="15">
        <v>0.0449997</v>
      </c>
      <c r="B47" s="5">
        <v>0.0454434</v>
      </c>
      <c r="C47" s="5">
        <v>21359300000000</v>
      </c>
      <c r="D47" s="5">
        <v>734193000</v>
      </c>
      <c r="E47" s="5">
        <v>0</v>
      </c>
      <c r="F47" s="5">
        <v>0</v>
      </c>
      <c r="G47" s="5">
        <v>2</v>
      </c>
      <c r="H47" s="5">
        <v>4568820000000</v>
      </c>
      <c r="I47" s="5">
        <v>3668040000000</v>
      </c>
      <c r="J47" s="5">
        <v>4067520000000</v>
      </c>
      <c r="K47" s="5">
        <v>3908510000000</v>
      </c>
      <c r="L47" s="5">
        <v>5146130000000</v>
      </c>
      <c r="N47" s="15">
        <v>0.0450155</v>
      </c>
      <c r="O47" s="5">
        <v>0.0455204</v>
      </c>
      <c r="P47" s="5">
        <v>22004900000000</v>
      </c>
      <c r="Q47" s="5">
        <v>1152340000</v>
      </c>
      <c r="R47" s="5">
        <v>0</v>
      </c>
      <c r="S47" s="5">
        <v>0</v>
      </c>
      <c r="T47" s="5">
        <v>2</v>
      </c>
      <c r="U47" s="5">
        <v>3796720000000</v>
      </c>
      <c r="V47" s="5">
        <v>4298780000000</v>
      </c>
      <c r="W47" s="5">
        <v>3994140000000</v>
      </c>
      <c r="X47" s="5">
        <v>4236260000000</v>
      </c>
      <c r="Y47" s="5">
        <v>5678360000000</v>
      </c>
      <c r="AA47" s="15">
        <v>0.0450192</v>
      </c>
      <c r="AB47" s="5">
        <v>0.045532</v>
      </c>
      <c r="AC47" s="5">
        <v>20955400000000</v>
      </c>
      <c r="AD47" s="5">
        <v>815124000</v>
      </c>
      <c r="AE47" s="5">
        <v>0</v>
      </c>
      <c r="AF47" s="5">
        <v>0</v>
      </c>
      <c r="AG47" s="5">
        <v>2</v>
      </c>
      <c r="AH47" s="5">
        <v>4097200000000</v>
      </c>
      <c r="AI47" s="5">
        <v>4234510000000</v>
      </c>
      <c r="AJ47" s="5">
        <v>4191940000000</v>
      </c>
      <c r="AK47" s="5">
        <v>4109280000000</v>
      </c>
      <c r="AL47" s="5">
        <v>4322430000000</v>
      </c>
      <c r="AN47" s="5">
        <f t="shared" si="0"/>
        <v>0.0449997</v>
      </c>
      <c r="AO47" s="5">
        <f t="shared" si="1"/>
        <v>21439866666666.7</v>
      </c>
      <c r="AP47" s="5">
        <f t="shared" si="2"/>
        <v>20955400000000</v>
      </c>
      <c r="AQ47" s="5">
        <f t="shared" si="3"/>
        <v>22004900000000</v>
      </c>
      <c r="AR47" s="5">
        <f t="shared" si="4"/>
        <v>5048973333333.33</v>
      </c>
      <c r="AS47" s="5">
        <f t="shared" si="5"/>
        <v>4322430000000</v>
      </c>
      <c r="AT47" s="5">
        <f t="shared" si="6"/>
        <v>5678360000000</v>
      </c>
    </row>
    <row r="48" customHeight="1" spans="1:46">
      <c r="A48" s="15">
        <v>0.0459798</v>
      </c>
      <c r="B48" s="5">
        <v>0.046478</v>
      </c>
      <c r="C48" s="5">
        <v>20883500000000</v>
      </c>
      <c r="D48" s="5">
        <v>425484000</v>
      </c>
      <c r="E48" s="5">
        <v>0</v>
      </c>
      <c r="F48" s="5">
        <v>0</v>
      </c>
      <c r="G48" s="5">
        <v>2</v>
      </c>
      <c r="H48" s="5">
        <v>4304930000000</v>
      </c>
      <c r="I48" s="5">
        <v>3734710000000</v>
      </c>
      <c r="J48" s="5">
        <v>3964390000000</v>
      </c>
      <c r="K48" s="5">
        <v>3669950000000</v>
      </c>
      <c r="L48" s="5">
        <v>5209240000000</v>
      </c>
      <c r="N48" s="15">
        <v>0.0459739</v>
      </c>
      <c r="O48" s="5">
        <v>0.0465057</v>
      </c>
      <c r="P48" s="5">
        <v>21801000000000</v>
      </c>
      <c r="Q48" s="5">
        <v>713952000</v>
      </c>
      <c r="R48" s="5">
        <v>0</v>
      </c>
      <c r="S48" s="5">
        <v>0</v>
      </c>
      <c r="T48" s="5">
        <v>2</v>
      </c>
      <c r="U48" s="5">
        <v>3999510000000</v>
      </c>
      <c r="V48" s="5">
        <v>4459970000000</v>
      </c>
      <c r="W48" s="5">
        <v>4154390000000</v>
      </c>
      <c r="X48" s="5">
        <v>3903190000000</v>
      </c>
      <c r="Y48" s="5">
        <v>5283720000000</v>
      </c>
      <c r="AA48" s="15">
        <v>0.0460198</v>
      </c>
      <c r="AB48" s="5">
        <v>0.0464989</v>
      </c>
      <c r="AC48" s="5">
        <v>20940700000000</v>
      </c>
      <c r="AD48" s="5">
        <v>349071000</v>
      </c>
      <c r="AE48" s="5">
        <v>0</v>
      </c>
      <c r="AF48" s="5">
        <v>0</v>
      </c>
      <c r="AG48" s="5">
        <v>2</v>
      </c>
      <c r="AH48" s="5">
        <v>4072160000000</v>
      </c>
      <c r="AI48" s="5">
        <v>4654350000000</v>
      </c>
      <c r="AJ48" s="5">
        <v>4229140000000</v>
      </c>
      <c r="AK48" s="5">
        <v>4244290000000</v>
      </c>
      <c r="AL48" s="5">
        <v>3740690000000</v>
      </c>
      <c r="AN48" s="5">
        <f t="shared" si="0"/>
        <v>0.0459798</v>
      </c>
      <c r="AO48" s="5">
        <f t="shared" si="1"/>
        <v>21208400000000</v>
      </c>
      <c r="AP48" s="5">
        <f t="shared" si="2"/>
        <v>20883500000000</v>
      </c>
      <c r="AQ48" s="5">
        <f t="shared" si="3"/>
        <v>21801000000000</v>
      </c>
      <c r="AR48" s="5">
        <f t="shared" si="4"/>
        <v>4744550000000</v>
      </c>
      <c r="AS48" s="5">
        <f t="shared" si="5"/>
        <v>3740690000000</v>
      </c>
      <c r="AT48" s="5">
        <f t="shared" si="6"/>
        <v>5283720000000</v>
      </c>
    </row>
    <row r="49" customHeight="1" spans="1:46">
      <c r="A49" s="15">
        <v>0.0470347</v>
      </c>
      <c r="B49" s="5">
        <v>0.0474924</v>
      </c>
      <c r="C49" s="5">
        <v>21729700000000</v>
      </c>
      <c r="D49" s="5">
        <v>775562000</v>
      </c>
      <c r="E49" s="5">
        <v>0</v>
      </c>
      <c r="F49" s="5">
        <v>0</v>
      </c>
      <c r="G49" s="5">
        <v>2</v>
      </c>
      <c r="H49" s="5">
        <v>4324450000000</v>
      </c>
      <c r="I49" s="5">
        <v>3693290000000</v>
      </c>
      <c r="J49" s="5">
        <v>4165100000000</v>
      </c>
      <c r="K49" s="5">
        <v>4343400000000</v>
      </c>
      <c r="L49" s="5">
        <v>5203440000000</v>
      </c>
      <c r="N49" s="15">
        <v>0.0469776</v>
      </c>
      <c r="O49" s="5">
        <v>0.0475027</v>
      </c>
      <c r="P49" s="5">
        <v>21691300000000</v>
      </c>
      <c r="Q49" s="5">
        <v>892463000</v>
      </c>
      <c r="R49" s="5">
        <v>0</v>
      </c>
      <c r="S49" s="5">
        <v>0</v>
      </c>
      <c r="T49" s="5">
        <v>2</v>
      </c>
      <c r="U49" s="5">
        <v>3991730000000</v>
      </c>
      <c r="V49" s="5">
        <v>4497990000000</v>
      </c>
      <c r="W49" s="5">
        <v>4294290000000</v>
      </c>
      <c r="X49" s="5">
        <v>3712010000000</v>
      </c>
      <c r="Y49" s="5">
        <v>5195120000000</v>
      </c>
      <c r="AA49" s="15">
        <v>0.0469929</v>
      </c>
      <c r="AB49" s="5">
        <v>0.0474836</v>
      </c>
      <c r="AC49" s="5">
        <v>20858000000000</v>
      </c>
      <c r="AD49" s="5">
        <v>575610000</v>
      </c>
      <c r="AE49" s="5">
        <v>0</v>
      </c>
      <c r="AF49" s="5">
        <v>0</v>
      </c>
      <c r="AG49" s="5">
        <v>2</v>
      </c>
      <c r="AH49" s="5">
        <v>4166030000000</v>
      </c>
      <c r="AI49" s="5">
        <v>4223130000000</v>
      </c>
      <c r="AJ49" s="5">
        <v>4269430000000</v>
      </c>
      <c r="AK49" s="5">
        <v>4011870000000</v>
      </c>
      <c r="AL49" s="5">
        <v>4187470000000</v>
      </c>
      <c r="AN49" s="5">
        <f t="shared" si="0"/>
        <v>0.0470347</v>
      </c>
      <c r="AO49" s="5">
        <f t="shared" si="1"/>
        <v>21426333333333.3</v>
      </c>
      <c r="AP49" s="5">
        <f t="shared" si="2"/>
        <v>20858000000000</v>
      </c>
      <c r="AQ49" s="5">
        <f t="shared" si="3"/>
        <v>21729700000000</v>
      </c>
      <c r="AR49" s="5">
        <f t="shared" si="4"/>
        <v>4862010000000</v>
      </c>
      <c r="AS49" s="5">
        <f t="shared" si="5"/>
        <v>4187470000000</v>
      </c>
      <c r="AT49" s="5">
        <f t="shared" si="6"/>
        <v>5203440000000</v>
      </c>
    </row>
    <row r="50" customHeight="1" spans="1:46">
      <c r="A50" s="15">
        <v>0.047976</v>
      </c>
      <c r="B50" s="5">
        <v>0.048436</v>
      </c>
      <c r="C50" s="5">
        <v>20840800000000</v>
      </c>
      <c r="D50" s="5">
        <v>662916000</v>
      </c>
      <c r="E50" s="5">
        <v>0</v>
      </c>
      <c r="F50" s="5">
        <v>0</v>
      </c>
      <c r="G50" s="5">
        <v>2</v>
      </c>
      <c r="H50" s="5">
        <v>4463940000000</v>
      </c>
      <c r="I50" s="5">
        <v>3239050000000</v>
      </c>
      <c r="J50" s="5">
        <v>3572350000000</v>
      </c>
      <c r="K50" s="5">
        <v>3586090000000</v>
      </c>
      <c r="L50" s="5">
        <v>5978960000000</v>
      </c>
      <c r="N50" s="15">
        <v>0.0480137</v>
      </c>
      <c r="O50" s="5">
        <v>0.0485196</v>
      </c>
      <c r="P50" s="5">
        <v>21785000000000</v>
      </c>
      <c r="Q50" s="5">
        <v>826014000</v>
      </c>
      <c r="R50" s="5">
        <v>0</v>
      </c>
      <c r="S50" s="5">
        <v>0</v>
      </c>
      <c r="T50" s="5">
        <v>2</v>
      </c>
      <c r="U50" s="5">
        <v>3757270000000</v>
      </c>
      <c r="V50" s="5">
        <v>4070130000000</v>
      </c>
      <c r="W50" s="5">
        <v>4509760000000</v>
      </c>
      <c r="X50" s="5">
        <v>3939740000000</v>
      </c>
      <c r="Y50" s="5">
        <v>5507730000000</v>
      </c>
      <c r="AA50" s="15">
        <v>0.0480313</v>
      </c>
      <c r="AB50" s="5">
        <v>0.048522</v>
      </c>
      <c r="AC50" s="5">
        <v>20779800000000</v>
      </c>
      <c r="AD50" s="5">
        <v>580103000</v>
      </c>
      <c r="AE50" s="5">
        <v>0</v>
      </c>
      <c r="AF50" s="5">
        <v>0</v>
      </c>
      <c r="AG50" s="5">
        <v>2</v>
      </c>
      <c r="AH50" s="5">
        <v>4188390000000</v>
      </c>
      <c r="AI50" s="5">
        <v>3835310000000</v>
      </c>
      <c r="AJ50" s="5">
        <v>4660100000000</v>
      </c>
      <c r="AK50" s="5">
        <v>4343440000000</v>
      </c>
      <c r="AL50" s="5">
        <v>3752460000000</v>
      </c>
      <c r="AN50" s="5">
        <f t="shared" si="0"/>
        <v>0.047976</v>
      </c>
      <c r="AO50" s="5">
        <f t="shared" si="1"/>
        <v>21135200000000</v>
      </c>
      <c r="AP50" s="5">
        <f t="shared" si="2"/>
        <v>20779800000000</v>
      </c>
      <c r="AQ50" s="5">
        <f t="shared" si="3"/>
        <v>21785000000000</v>
      </c>
      <c r="AR50" s="5">
        <f t="shared" si="4"/>
        <v>5079716666666.67</v>
      </c>
      <c r="AS50" s="5">
        <f t="shared" si="5"/>
        <v>3752460000000</v>
      </c>
      <c r="AT50" s="5">
        <f t="shared" si="6"/>
        <v>5978960000000</v>
      </c>
    </row>
    <row r="51" customHeight="1" spans="1:46">
      <c r="A51" s="15">
        <v>0.0489749</v>
      </c>
      <c r="B51" s="5">
        <v>0.0494881</v>
      </c>
      <c r="C51" s="5">
        <v>20708900000000</v>
      </c>
      <c r="D51" s="5">
        <v>649686000</v>
      </c>
      <c r="E51" s="5">
        <v>0</v>
      </c>
      <c r="F51" s="5">
        <v>0</v>
      </c>
      <c r="G51" s="5">
        <v>2</v>
      </c>
      <c r="H51" s="5">
        <v>4158970000000</v>
      </c>
      <c r="I51" s="5">
        <v>3438100000000</v>
      </c>
      <c r="J51" s="5">
        <v>3663560000000</v>
      </c>
      <c r="K51" s="5">
        <v>3641860000000</v>
      </c>
      <c r="L51" s="5">
        <v>5806080000000</v>
      </c>
      <c r="N51" s="15">
        <v>0.0489962</v>
      </c>
      <c r="O51" s="5">
        <v>0.0494856</v>
      </c>
      <c r="P51" s="5">
        <v>21625200000000</v>
      </c>
      <c r="Q51" s="5">
        <v>541837000</v>
      </c>
      <c r="R51" s="5">
        <v>0</v>
      </c>
      <c r="S51" s="5">
        <v>0</v>
      </c>
      <c r="T51" s="5">
        <v>2</v>
      </c>
      <c r="U51" s="5">
        <v>4172110000000</v>
      </c>
      <c r="V51" s="5">
        <v>4090430000000</v>
      </c>
      <c r="W51" s="5">
        <v>4370520000000</v>
      </c>
      <c r="X51" s="5">
        <v>4228780000000</v>
      </c>
      <c r="Y51" s="5">
        <v>4763080000000</v>
      </c>
      <c r="AA51" s="15">
        <v>0.048999</v>
      </c>
      <c r="AB51" s="5">
        <v>0.0494907</v>
      </c>
      <c r="AC51" s="5">
        <v>20801900000000</v>
      </c>
      <c r="AD51" s="5">
        <v>1166700000</v>
      </c>
      <c r="AE51" s="5">
        <v>0</v>
      </c>
      <c r="AF51" s="5">
        <v>0</v>
      </c>
      <c r="AG51" s="5">
        <v>2</v>
      </c>
      <c r="AH51" s="5">
        <v>4135140000000</v>
      </c>
      <c r="AI51" s="5">
        <v>4072640000000</v>
      </c>
      <c r="AJ51" s="5">
        <v>4341730000000</v>
      </c>
      <c r="AK51" s="5">
        <v>4256290000000</v>
      </c>
      <c r="AL51" s="5">
        <v>3995870000000</v>
      </c>
      <c r="AN51" s="5">
        <f t="shared" si="0"/>
        <v>0.0489749</v>
      </c>
      <c r="AO51" s="5">
        <f t="shared" si="1"/>
        <v>21045333333333.3</v>
      </c>
      <c r="AP51" s="5">
        <f t="shared" si="2"/>
        <v>20708900000000</v>
      </c>
      <c r="AQ51" s="5">
        <f t="shared" si="3"/>
        <v>21625200000000</v>
      </c>
      <c r="AR51" s="5">
        <f t="shared" si="4"/>
        <v>4855010000000</v>
      </c>
      <c r="AS51" s="5">
        <f t="shared" si="5"/>
        <v>3995870000000</v>
      </c>
      <c r="AT51" s="5">
        <f t="shared" si="6"/>
        <v>5806080000000</v>
      </c>
    </row>
    <row r="52" customHeight="1" spans="1:46">
      <c r="A52" s="15">
        <v>0.0500052</v>
      </c>
      <c r="B52" s="5">
        <v>0.0504826</v>
      </c>
      <c r="C52" s="5">
        <v>20938100000000</v>
      </c>
      <c r="D52" s="5">
        <v>913599000</v>
      </c>
      <c r="E52" s="5">
        <v>0</v>
      </c>
      <c r="F52" s="5">
        <v>0</v>
      </c>
      <c r="G52" s="5">
        <v>2</v>
      </c>
      <c r="H52" s="5">
        <v>4243340000000</v>
      </c>
      <c r="I52" s="5">
        <v>3611200000000</v>
      </c>
      <c r="J52" s="5">
        <v>3446160000000</v>
      </c>
      <c r="K52" s="5">
        <v>4036590000000</v>
      </c>
      <c r="L52" s="5">
        <v>5600470000000</v>
      </c>
      <c r="N52" s="15">
        <v>0.0499872</v>
      </c>
      <c r="O52" s="5">
        <v>0.0504323</v>
      </c>
      <c r="P52" s="5">
        <v>22199000000000</v>
      </c>
      <c r="Q52" s="5">
        <v>490599000</v>
      </c>
      <c r="R52" s="5">
        <v>0</v>
      </c>
      <c r="S52" s="5">
        <v>0</v>
      </c>
      <c r="T52" s="5">
        <v>2</v>
      </c>
      <c r="U52" s="5">
        <v>4316230000000</v>
      </c>
      <c r="V52" s="5">
        <v>4383660000000</v>
      </c>
      <c r="W52" s="5">
        <v>4684290000000</v>
      </c>
      <c r="X52" s="5">
        <v>4156470000000</v>
      </c>
      <c r="Y52" s="5">
        <v>4656760000000</v>
      </c>
      <c r="AA52" s="15">
        <v>0.049981</v>
      </c>
      <c r="AB52" s="5">
        <v>0.0505218</v>
      </c>
      <c r="AC52" s="5">
        <v>21419100000000</v>
      </c>
      <c r="AD52" s="5">
        <v>585893000</v>
      </c>
      <c r="AE52" s="5">
        <v>0</v>
      </c>
      <c r="AF52" s="5">
        <v>0</v>
      </c>
      <c r="AG52" s="5">
        <v>2</v>
      </c>
      <c r="AH52" s="5">
        <v>3968960000000</v>
      </c>
      <c r="AI52" s="5">
        <v>4193830000000</v>
      </c>
      <c r="AJ52" s="5">
        <v>4358950000000</v>
      </c>
      <c r="AK52" s="5">
        <v>4274710000000</v>
      </c>
      <c r="AL52" s="5">
        <v>4622630000000</v>
      </c>
      <c r="AN52" s="5">
        <f t="shared" si="0"/>
        <v>0.0500052</v>
      </c>
      <c r="AO52" s="5">
        <f t="shared" si="1"/>
        <v>21518733333333.3</v>
      </c>
      <c r="AP52" s="5">
        <f t="shared" si="2"/>
        <v>20938100000000</v>
      </c>
      <c r="AQ52" s="5">
        <f t="shared" si="3"/>
        <v>22199000000000</v>
      </c>
      <c r="AR52" s="5">
        <f t="shared" si="4"/>
        <v>4959953333333.33</v>
      </c>
      <c r="AS52" s="5">
        <f t="shared" si="5"/>
        <v>4622630000000</v>
      </c>
      <c r="AT52" s="5">
        <f t="shared" si="6"/>
        <v>5600470000000</v>
      </c>
    </row>
    <row r="53" customHeight="1" spans="1:46">
      <c r="A53" s="5"/>
      <c r="B53" s="5"/>
      <c r="N53" s="15">
        <v>0.0509776</v>
      </c>
      <c r="O53" s="5">
        <v>0.0514773</v>
      </c>
      <c r="P53" s="5">
        <v>21823500000000</v>
      </c>
      <c r="Q53" s="5">
        <v>521126000</v>
      </c>
      <c r="R53" s="5">
        <v>0</v>
      </c>
      <c r="S53" s="5">
        <v>0</v>
      </c>
      <c r="T53" s="5">
        <v>2</v>
      </c>
      <c r="U53" s="5">
        <v>4575850000000</v>
      </c>
      <c r="V53" s="5">
        <v>4211480000000</v>
      </c>
      <c r="W53" s="5">
        <v>4143720000000</v>
      </c>
      <c r="X53" s="5">
        <v>4117340000000</v>
      </c>
      <c r="Y53" s="5">
        <v>4773810000000</v>
      </c>
      <c r="AA53" s="15">
        <v>0.051024</v>
      </c>
      <c r="AB53" s="5">
        <v>0.0515562</v>
      </c>
      <c r="AC53" s="5">
        <v>21278600000000</v>
      </c>
      <c r="AD53" s="5">
        <v>662330000</v>
      </c>
      <c r="AE53" s="5">
        <v>0</v>
      </c>
      <c r="AF53" s="5">
        <v>0</v>
      </c>
      <c r="AG53" s="5">
        <v>2</v>
      </c>
      <c r="AH53" s="5">
        <v>4063310000000</v>
      </c>
      <c r="AI53" s="5">
        <v>4231860000000</v>
      </c>
      <c r="AJ53" s="5">
        <v>3977630000000</v>
      </c>
      <c r="AK53" s="5">
        <v>4238840000000</v>
      </c>
      <c r="AL53" s="5">
        <v>4766860000000</v>
      </c>
      <c r="AN53" s="5"/>
      <c r="AO53" s="5"/>
      <c r="AP53" s="5"/>
      <c r="AQ53" s="5"/>
      <c r="AR53" s="5"/>
      <c r="AS53" s="5"/>
      <c r="AT53" s="5"/>
    </row>
    <row r="54" customHeight="1" spans="1:46">
      <c r="A54" s="5"/>
      <c r="B54" s="5"/>
      <c r="N54" s="15">
        <v>0.0520144</v>
      </c>
      <c r="O54" s="5">
        <v>0.0524722</v>
      </c>
      <c r="P54" s="5">
        <v>21506500000000</v>
      </c>
      <c r="Q54" s="5">
        <v>416250000</v>
      </c>
      <c r="R54" s="5">
        <v>0</v>
      </c>
      <c r="S54" s="5">
        <v>0</v>
      </c>
      <c r="T54" s="5">
        <v>2</v>
      </c>
      <c r="U54" s="5">
        <v>4735230000000</v>
      </c>
      <c r="V54" s="5">
        <v>4474170000000</v>
      </c>
      <c r="W54" s="5">
        <v>4215310000000</v>
      </c>
      <c r="X54" s="5">
        <v>4584230000000</v>
      </c>
      <c r="Y54" s="5">
        <v>3497440000000</v>
      </c>
      <c r="AA54" s="15">
        <v>0.0520175</v>
      </c>
      <c r="AB54" s="5">
        <v>0.0525219</v>
      </c>
      <c r="AC54" s="5">
        <v>21165900000000</v>
      </c>
      <c r="AD54" s="5">
        <v>774633000</v>
      </c>
      <c r="AE54" s="5">
        <v>0</v>
      </c>
      <c r="AF54" s="5">
        <v>0</v>
      </c>
      <c r="AG54" s="5">
        <v>2</v>
      </c>
      <c r="AH54" s="5">
        <v>4090300000000</v>
      </c>
      <c r="AI54" s="5">
        <v>4009300000000</v>
      </c>
      <c r="AJ54" s="5">
        <v>3890360000000</v>
      </c>
      <c r="AK54" s="5">
        <v>4352620000000</v>
      </c>
      <c r="AL54" s="5">
        <v>4823170000000</v>
      </c>
      <c r="AN54" s="5"/>
      <c r="AO54" s="5"/>
      <c r="AP54" s="5"/>
      <c r="AQ54" s="5"/>
      <c r="AR54" s="5"/>
      <c r="AS54" s="5"/>
      <c r="AT54" s="5"/>
    </row>
    <row r="55" customHeight="1" spans="1:46">
      <c r="A55" s="5"/>
      <c r="B55" s="5"/>
      <c r="N55" s="15">
        <v>0.0529575</v>
      </c>
      <c r="O55" s="5">
        <v>0.0534361</v>
      </c>
      <c r="P55" s="5">
        <v>21062000000000</v>
      </c>
      <c r="Q55" s="5">
        <v>370373000</v>
      </c>
      <c r="R55" s="5">
        <v>0</v>
      </c>
      <c r="S55" s="5">
        <v>0</v>
      </c>
      <c r="T55" s="5">
        <v>2</v>
      </c>
      <c r="U55" s="5">
        <v>4984110000000</v>
      </c>
      <c r="V55" s="5">
        <v>4250200000000</v>
      </c>
      <c r="W55" s="5">
        <v>4106840000000</v>
      </c>
      <c r="X55" s="5">
        <v>4143750000000</v>
      </c>
      <c r="Y55" s="5">
        <v>3577080000000</v>
      </c>
      <c r="AA55" s="15">
        <v>0.0529076</v>
      </c>
      <c r="AB55" s="5">
        <v>0.0534111</v>
      </c>
      <c r="AC55" s="5">
        <v>21106300000000</v>
      </c>
      <c r="AD55" s="5">
        <v>401509000</v>
      </c>
      <c r="AE55" s="5">
        <v>0</v>
      </c>
      <c r="AF55" s="5">
        <v>0</v>
      </c>
      <c r="AG55" s="5">
        <v>2</v>
      </c>
      <c r="AH55" s="5">
        <v>4088000000000</v>
      </c>
      <c r="AI55" s="5">
        <v>3730990000000</v>
      </c>
      <c r="AJ55" s="5">
        <v>4021670000000</v>
      </c>
      <c r="AK55" s="5">
        <v>4475560000000</v>
      </c>
      <c r="AL55" s="5">
        <v>4790090000000</v>
      </c>
      <c r="AN55" s="5"/>
      <c r="AO55" s="5"/>
      <c r="AP55" s="5"/>
      <c r="AQ55" s="5"/>
      <c r="AR55" s="5"/>
      <c r="AS55" s="5"/>
      <c r="AT55" s="5"/>
    </row>
    <row r="56" customHeight="1" spans="1:25">
      <c r="A56" s="5"/>
      <c r="B56" s="5"/>
      <c r="N56" s="15">
        <v>0.0539645</v>
      </c>
      <c r="O56" s="5">
        <v>0.0544469</v>
      </c>
      <c r="P56" s="5">
        <v>21370100000000</v>
      </c>
      <c r="Q56" s="5">
        <v>464447000</v>
      </c>
      <c r="R56" s="5">
        <v>0</v>
      </c>
      <c r="S56" s="5">
        <v>0</v>
      </c>
      <c r="T56" s="5">
        <v>2</v>
      </c>
      <c r="U56" s="5">
        <v>4906740000000</v>
      </c>
      <c r="V56" s="5">
        <v>4279600000000</v>
      </c>
      <c r="W56" s="5">
        <v>4065550000000</v>
      </c>
      <c r="X56" s="5">
        <v>4234450000000</v>
      </c>
      <c r="Y56" s="5">
        <v>3883680000000</v>
      </c>
    </row>
    <row r="57" customHeight="1" spans="1:25">
      <c r="A57" s="5"/>
      <c r="B57" s="5"/>
      <c r="N57" s="15">
        <v>0.0550027</v>
      </c>
      <c r="O57" s="5">
        <v>0.0554879</v>
      </c>
      <c r="P57" s="5">
        <v>21613300000000</v>
      </c>
      <c r="Q57" s="5">
        <v>556232000</v>
      </c>
      <c r="R57" s="5">
        <v>0</v>
      </c>
      <c r="S57" s="5">
        <v>0</v>
      </c>
      <c r="T57" s="5">
        <v>2</v>
      </c>
      <c r="U57" s="5">
        <v>5089640000000</v>
      </c>
      <c r="V57" s="5">
        <v>4281390000000</v>
      </c>
      <c r="W57" s="5">
        <v>4380260000000</v>
      </c>
      <c r="X57" s="5">
        <v>4293240000000</v>
      </c>
      <c r="Y57" s="5">
        <v>3568720000000</v>
      </c>
    </row>
    <row r="58" customHeight="1" spans="1:25">
      <c r="A58" s="5"/>
      <c r="B58" s="5"/>
      <c r="N58" s="15">
        <v>0.0560003</v>
      </c>
      <c r="O58" s="5">
        <v>0.0565048</v>
      </c>
      <c r="P58" s="5">
        <v>21835400000000</v>
      </c>
      <c r="Q58" s="5">
        <v>501897000</v>
      </c>
      <c r="R58" s="5">
        <v>0</v>
      </c>
      <c r="S58" s="5">
        <v>0</v>
      </c>
      <c r="T58" s="5">
        <v>2</v>
      </c>
      <c r="U58" s="5">
        <v>5091820000000</v>
      </c>
      <c r="V58" s="5">
        <v>4314830000000</v>
      </c>
      <c r="W58" s="5">
        <v>4229640000000</v>
      </c>
      <c r="X58" s="5">
        <v>4188630000000</v>
      </c>
      <c r="Y58" s="5">
        <v>4010480000000</v>
      </c>
    </row>
    <row r="59" customHeight="1" spans="1:2">
      <c r="A59" s="5"/>
      <c r="B59" s="5"/>
    </row>
    <row r="60" customHeight="1" spans="1:2">
      <c r="A60" s="5"/>
      <c r="B60" s="5"/>
    </row>
    <row r="61" customHeight="1" spans="1:2">
      <c r="A61" s="5"/>
      <c r="B61" s="5"/>
    </row>
    <row r="62" customHeight="1" spans="1:2">
      <c r="A62" s="5"/>
      <c r="B62" s="5"/>
    </row>
    <row r="63" customHeight="1" spans="1:2">
      <c r="A63" s="5"/>
      <c r="B63" s="5"/>
    </row>
    <row r="64" customHeight="1" spans="1:2">
      <c r="A64" s="5"/>
      <c r="B64" s="5"/>
    </row>
    <row r="65" customHeight="1" spans="1:2">
      <c r="A65" s="5"/>
      <c r="B65" s="5"/>
    </row>
    <row r="66" customHeight="1" spans="1:2">
      <c r="A66" s="5"/>
      <c r="B66" s="5"/>
    </row>
    <row r="67" customHeight="1" spans="1:2">
      <c r="A67" s="5"/>
      <c r="B67" s="5"/>
    </row>
    <row r="68" customHeight="1" spans="1:2">
      <c r="A68" s="5"/>
      <c r="B68" s="5"/>
    </row>
    <row r="69" customHeight="1" spans="1:2">
      <c r="A69" s="5"/>
      <c r="B69" s="5"/>
    </row>
    <row r="70" customHeight="1" spans="1:2">
      <c r="A70" s="5"/>
      <c r="B70" s="5"/>
    </row>
    <row r="71" customHeight="1" spans="1:2">
      <c r="A71" s="5"/>
      <c r="B71" s="5"/>
    </row>
    <row r="72" customHeight="1" spans="1:2">
      <c r="A72" s="5"/>
      <c r="B72" s="5"/>
    </row>
    <row r="73" customHeight="1" spans="1:2">
      <c r="A73" s="5"/>
      <c r="B73" s="5"/>
    </row>
    <row r="74" customHeight="1" spans="1:2">
      <c r="A74" s="5"/>
      <c r="B74" s="5"/>
    </row>
    <row r="75" customHeight="1" spans="1:2">
      <c r="A75" s="5"/>
      <c r="B75" s="5"/>
    </row>
    <row r="76" customHeight="1" spans="1:2">
      <c r="A76" s="5"/>
      <c r="B76" s="5"/>
    </row>
    <row r="77" customHeight="1" spans="1:2">
      <c r="A77" s="5"/>
      <c r="B77" s="5"/>
    </row>
    <row r="78" customHeight="1" spans="1:2">
      <c r="A78" s="5"/>
      <c r="B78" s="5"/>
    </row>
    <row r="79" customHeight="1" spans="1:2">
      <c r="A79" s="5"/>
      <c r="B79" s="5"/>
    </row>
    <row r="80" customHeight="1" spans="1:2">
      <c r="A80" s="5"/>
      <c r="B80" s="5"/>
    </row>
    <row r="81" customHeight="1" spans="1:2">
      <c r="A81" s="5"/>
      <c r="B81" s="5"/>
    </row>
    <row r="82" customHeight="1" spans="1:2">
      <c r="A82" s="5"/>
      <c r="B82" s="5"/>
    </row>
    <row r="83" customHeight="1" spans="1:2">
      <c r="A83" s="5"/>
      <c r="B83" s="5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"/>
  <sheetViews>
    <sheetView zoomScale="180" zoomScaleNormal="180" workbookViewId="0">
      <selection activeCell="M12" sqref="M12"/>
    </sheetView>
  </sheetViews>
  <sheetFormatPr defaultColWidth="9.01481481481481" defaultRowHeight="15" customHeight="1"/>
  <cols>
    <col min="1" max="1" width="11.1111111111111" style="2" customWidth="1"/>
    <col min="4" max="4" width="12.437037037037" style="2" customWidth="1"/>
    <col min="11" max="11" width="10.2518518518519" style="2" customWidth="1"/>
    <col min="16" max="16" width="12.437037037037" style="2" customWidth="1"/>
    <col min="18" max="18" width="12.437037037037" style="2" customWidth="1"/>
  </cols>
  <sheetData>
    <row r="1" customHeight="1" spans="1:19">
      <c r="A1" s="19" t="s">
        <v>12</v>
      </c>
      <c r="B1" s="19"/>
      <c r="D1" s="19" t="s">
        <v>13</v>
      </c>
      <c r="E1" s="19"/>
      <c r="G1" s="19" t="s">
        <v>4</v>
      </c>
      <c r="H1" s="19"/>
      <c r="J1" s="19" t="s">
        <v>25</v>
      </c>
      <c r="K1" s="19"/>
      <c r="N1" s="7"/>
      <c r="O1" s="7"/>
      <c r="S1" s="7"/>
    </row>
    <row r="2" customHeight="1" spans="1:19">
      <c r="A2" s="4">
        <v>0.000200299</v>
      </c>
      <c r="B2" s="4">
        <v>61877100</v>
      </c>
      <c r="C2" s="4"/>
      <c r="D2" s="4">
        <v>0.00018897</v>
      </c>
      <c r="E2" s="4">
        <v>64572300</v>
      </c>
      <c r="F2" s="4"/>
      <c r="G2" s="4">
        <v>0.000188535</v>
      </c>
      <c r="H2" s="4">
        <v>59298700</v>
      </c>
      <c r="K2" s="3" t="s">
        <v>16</v>
      </c>
      <c r="L2" s="3" t="s">
        <v>17</v>
      </c>
      <c r="M2" s="3" t="s">
        <v>18</v>
      </c>
      <c r="N2" s="7" t="s">
        <v>19</v>
      </c>
      <c r="O2" s="7" t="s">
        <v>20</v>
      </c>
      <c r="P2" s="3" t="s">
        <v>21</v>
      </c>
      <c r="Q2" s="3" t="s">
        <v>22</v>
      </c>
      <c r="R2" s="3" t="s">
        <v>23</v>
      </c>
      <c r="S2" s="7" t="s">
        <v>24</v>
      </c>
    </row>
    <row r="3" customHeight="1" spans="1:19">
      <c r="A3" s="4">
        <v>0.0009834</v>
      </c>
      <c r="B3" s="4">
        <v>92521100</v>
      </c>
      <c r="C3" s="4"/>
      <c r="D3" s="4">
        <v>0.00103417</v>
      </c>
      <c r="E3" s="4">
        <v>91879500</v>
      </c>
      <c r="F3" s="4"/>
      <c r="G3" s="4">
        <v>0.000998393</v>
      </c>
      <c r="H3" s="4">
        <v>88800400</v>
      </c>
      <c r="J3" s="3" t="s">
        <v>2</v>
      </c>
      <c r="K3" s="3">
        <f>AVERAGE(B28:B32)/1000000</f>
        <v>109.8856</v>
      </c>
      <c r="L3" s="5">
        <f>AVERAGE('400K_SR40'!L28:L32)</f>
        <v>3536872000000</v>
      </c>
      <c r="M3" s="5">
        <f>AVERAGE('400K_SR40'!C28:C32)</f>
        <v>21882200000000</v>
      </c>
      <c r="N3" s="7">
        <f>Graphs!$B$1*80.9*0.248*SQRT(L3)/1000000</f>
        <v>18.8660020906101</v>
      </c>
      <c r="O3" s="7">
        <f>Graphs!$B$2*80.9*0.248*SQRT(M3)/1000000</f>
        <v>4.69262336128698</v>
      </c>
      <c r="P3" s="3">
        <f>SQRT(N3^2+O3^2)</f>
        <v>19.4408525763095</v>
      </c>
      <c r="Q3" s="3">
        <f>K3*0.4707</f>
        <v>51.72315192</v>
      </c>
      <c r="R3" s="3">
        <f>Q3/P3</f>
        <v>2.66053928020777</v>
      </c>
      <c r="S3" s="7">
        <f>L3/M3</f>
        <v>0.161632377000484</v>
      </c>
    </row>
    <row r="4" customHeight="1" spans="1:19">
      <c r="A4" s="4">
        <v>0.0020135</v>
      </c>
      <c r="B4" s="4">
        <v>102228000</v>
      </c>
      <c r="C4" s="4"/>
      <c r="D4" s="4">
        <v>0.00199645</v>
      </c>
      <c r="E4" s="4">
        <v>105048000</v>
      </c>
      <c r="F4" s="4"/>
      <c r="G4" s="4">
        <v>0.00201971</v>
      </c>
      <c r="H4" s="4">
        <v>95055400</v>
      </c>
      <c r="J4" s="3" t="s">
        <v>3</v>
      </c>
      <c r="K4" s="3">
        <f>AVERAGE(E28:E32)/1000000</f>
        <v>111.0328</v>
      </c>
      <c r="L4" s="5">
        <f>AVERAGE('400K_SR40'!Y28:Y32)</f>
        <v>3978228000000</v>
      </c>
      <c r="M4" s="5">
        <f>AVERAGE('400K_SR40'!P28:P32)</f>
        <v>21689660000000</v>
      </c>
      <c r="N4" s="7">
        <f>Graphs!$B$1*80.9*0.248*SQRT(L4)/1000000</f>
        <v>20.0085234986331</v>
      </c>
      <c r="O4" s="7">
        <f>Graphs!$B$2*80.9*0.248*SQRT(M4)/1000000</f>
        <v>4.67193270879075</v>
      </c>
      <c r="P4" s="3">
        <f>SQRT(N4^2+O4^2)</f>
        <v>20.5467264504792</v>
      </c>
      <c r="Q4" s="3">
        <f>K4*0.4707</f>
        <v>52.26313896</v>
      </c>
      <c r="R4" s="3">
        <f>Q4/P4</f>
        <v>2.54362363201566</v>
      </c>
      <c r="S4" s="7">
        <f>L4/M4</f>
        <v>0.18341587650521</v>
      </c>
    </row>
    <row r="5" customHeight="1" spans="1:19">
      <c r="A5" s="4">
        <v>0.00298985</v>
      </c>
      <c r="B5" s="4">
        <v>107563000</v>
      </c>
      <c r="C5" s="4"/>
      <c r="D5" s="4">
        <v>0.0029962</v>
      </c>
      <c r="E5" s="4">
        <v>104653000</v>
      </c>
      <c r="F5" s="4"/>
      <c r="G5" s="4">
        <v>0.00301403</v>
      </c>
      <c r="H5" s="4">
        <v>109357000</v>
      </c>
      <c r="J5" s="3" t="s">
        <v>4</v>
      </c>
      <c r="K5" s="3">
        <f>AVERAGE(H28:H32)/1000000</f>
        <v>110.4832</v>
      </c>
      <c r="L5" s="5">
        <f>AVERAGE('400K_SR40'!AL28:AL32)</f>
        <v>3661616000000</v>
      </c>
      <c r="M5" s="5">
        <f>AVERAGE('400K_SR40'!AC28:AC32)</f>
        <v>21628540000000</v>
      </c>
      <c r="N5" s="7">
        <f>Graphs!$B$1*80.9*0.248*SQRT(L5)/1000000</f>
        <v>19.1958171916507</v>
      </c>
      <c r="O5" s="7">
        <f>Graphs!$B$2*80.9*0.248*SQRT(M5)/1000000</f>
        <v>4.66534546917471</v>
      </c>
      <c r="P5" s="3">
        <f>SQRT(N5^2+O5^2)</f>
        <v>19.7546158150955</v>
      </c>
      <c r="Q5" s="3">
        <f>K5*0.4707</f>
        <v>52.00444224</v>
      </c>
      <c r="R5" s="3">
        <f>Q5/P5</f>
        <v>2.6325210637739</v>
      </c>
      <c r="S5" s="7">
        <f>L5/M5</f>
        <v>0.169295569650101</v>
      </c>
    </row>
    <row r="6" customHeight="1" spans="1:8">
      <c r="A6" s="4">
        <v>0.00397897</v>
      </c>
      <c r="B6" s="4">
        <v>103191000</v>
      </c>
      <c r="C6" s="4"/>
      <c r="D6" s="4">
        <v>0.00400079</v>
      </c>
      <c r="E6" s="4">
        <v>110949000</v>
      </c>
      <c r="F6" s="4"/>
      <c r="G6" s="4">
        <v>0.00399261</v>
      </c>
      <c r="H6" s="4">
        <v>109618000</v>
      </c>
    </row>
    <row r="7" customHeight="1" spans="1:8">
      <c r="A7" s="4">
        <v>0.00499823</v>
      </c>
      <c r="B7" s="4">
        <v>109701000</v>
      </c>
      <c r="C7" s="4"/>
      <c r="D7" s="4">
        <v>0.0049942</v>
      </c>
      <c r="E7" s="4">
        <v>109139000</v>
      </c>
      <c r="F7" s="4"/>
      <c r="G7" s="4">
        <v>0.00501898</v>
      </c>
      <c r="H7" s="4">
        <v>112882000</v>
      </c>
    </row>
    <row r="8" customHeight="1" spans="1:8">
      <c r="A8" s="4">
        <v>0.00598766</v>
      </c>
      <c r="B8" s="4">
        <v>109110000</v>
      </c>
      <c r="C8" s="4"/>
      <c r="D8" s="4">
        <v>0.00597956</v>
      </c>
      <c r="E8" s="4">
        <v>110451000</v>
      </c>
      <c r="F8" s="4"/>
      <c r="G8" s="4">
        <v>0.00599668</v>
      </c>
      <c r="H8" s="4">
        <v>107767000</v>
      </c>
    </row>
    <row r="9" customHeight="1" spans="1:19">
      <c r="A9" s="4">
        <v>0.00697675</v>
      </c>
      <c r="B9" s="4">
        <v>109040000</v>
      </c>
      <c r="C9" s="4"/>
      <c r="D9" s="4">
        <v>0.00697128</v>
      </c>
      <c r="E9" s="4">
        <v>112591000</v>
      </c>
      <c r="F9" s="4"/>
      <c r="G9" s="4">
        <v>0.00700269</v>
      </c>
      <c r="H9" s="4">
        <v>104616000</v>
      </c>
      <c r="J9" s="3" t="s">
        <v>2</v>
      </c>
      <c r="K9" s="3">
        <f>AVERAGE(B12:B16)/1000000</f>
        <v>114.3706</v>
      </c>
      <c r="L9" s="5">
        <f>AVERAGE('400K_SR40'!L12:L16)</f>
        <v>4072418000000</v>
      </c>
      <c r="M9" s="5">
        <f>AVERAGE('400K_SR40'!C12:C16)</f>
        <v>22298520000000</v>
      </c>
      <c r="N9" s="7">
        <f>Graphs!$B$1*80.9*0.248*SQRT(L9)/1000000</f>
        <v>20.2440024384932</v>
      </c>
      <c r="O9" s="7">
        <f>Graphs!$B$2*80.9*0.248*SQRT(M9)/1000000</f>
        <v>4.73705280849827</v>
      </c>
      <c r="P9" s="3">
        <f>SQRT(N9^2+O9^2)</f>
        <v>20.7908466407749</v>
      </c>
      <c r="Q9" s="3">
        <f>K9*0.4707</f>
        <v>53.83424142</v>
      </c>
      <c r="R9" s="3">
        <f>Q9/P9</f>
        <v>2.58932415548776</v>
      </c>
      <c r="S9" s="7">
        <f>L9/M9</f>
        <v>0.182631762107978</v>
      </c>
    </row>
    <row r="10" customHeight="1" spans="1:19">
      <c r="A10" s="4">
        <v>0.00799115</v>
      </c>
      <c r="B10" s="4">
        <v>103822000</v>
      </c>
      <c r="C10" s="4"/>
      <c r="D10" s="4">
        <v>0.00803373</v>
      </c>
      <c r="E10" s="4">
        <v>107173000</v>
      </c>
      <c r="F10" s="4"/>
      <c r="G10" s="4">
        <v>0.00799832</v>
      </c>
      <c r="H10" s="4">
        <v>110260000</v>
      </c>
      <c r="J10" s="3" t="s">
        <v>3</v>
      </c>
      <c r="K10" s="3">
        <f>AVERAGE(E12:E16)/1000000</f>
        <v>109.9654</v>
      </c>
      <c r="L10" s="5">
        <f>AVERAGE('400K_SR40'!Y12:Y16)</f>
        <v>4449282000000</v>
      </c>
      <c r="M10" s="5">
        <f>AVERAGE('400K_SR40'!P12:P16)</f>
        <v>21780640000000</v>
      </c>
      <c r="N10" s="7">
        <f>Graphs!$B$1*80.9*0.248*SQRT(L10)/1000000</f>
        <v>21.1599761129127</v>
      </c>
      <c r="O10" s="7">
        <f>Graphs!$B$2*80.9*0.248*SQRT(M10)/1000000</f>
        <v>4.6817209589593</v>
      </c>
      <c r="P10" s="3">
        <f>SQRT(N10^2+O10^2)</f>
        <v>21.6717119821345</v>
      </c>
      <c r="Q10" s="3">
        <f>K10*0.4707</f>
        <v>51.76071378</v>
      </c>
      <c r="R10" s="3">
        <f>Q10/P10</f>
        <v>2.38839985611981</v>
      </c>
      <c r="S10" s="7">
        <f>L10/M10</f>
        <v>0.204276917482682</v>
      </c>
    </row>
    <row r="11" customHeight="1" spans="1:19">
      <c r="A11" s="4">
        <v>0.00897785</v>
      </c>
      <c r="B11" s="4">
        <v>107802000</v>
      </c>
      <c r="C11" s="4"/>
      <c r="D11" s="4">
        <v>0.00899369</v>
      </c>
      <c r="E11" s="4">
        <v>112009000</v>
      </c>
      <c r="F11" s="4"/>
      <c r="G11" s="4">
        <v>0.00902476</v>
      </c>
      <c r="H11" s="4">
        <v>104703000</v>
      </c>
      <c r="J11" s="3" t="s">
        <v>4</v>
      </c>
      <c r="K11" s="3">
        <f>AVERAGE(H12:H16)/1000000</f>
        <v>108.7624</v>
      </c>
      <c r="L11" s="5">
        <f>AVERAGE('400K_SR40'!AL12:AL16)</f>
        <v>3497148000000</v>
      </c>
      <c r="M11" s="5">
        <f>AVERAGE('400K_SR40'!AC12:AC16)</f>
        <v>21628180000000</v>
      </c>
      <c r="N11" s="7">
        <f>Graphs!$B$1*80.9*0.248*SQRT(L11)/1000000</f>
        <v>18.7597571852118</v>
      </c>
      <c r="O11" s="7">
        <f>Graphs!$B$2*80.9*0.248*SQRT(M11)/1000000</f>
        <v>4.66530664243565</v>
      </c>
      <c r="P11" s="3">
        <f>SQRT(N11^2+O11^2)</f>
        <v>19.3311555711515</v>
      </c>
      <c r="Q11" s="3">
        <f>K11*0.4707</f>
        <v>51.19446168</v>
      </c>
      <c r="R11" s="3">
        <f>Q11/P11</f>
        <v>2.6482877079733</v>
      </c>
      <c r="S11" s="7">
        <f>L11/M11</f>
        <v>0.161694049152541</v>
      </c>
    </row>
    <row r="12" customHeight="1" spans="1:8">
      <c r="A12" s="4">
        <v>0.00998248</v>
      </c>
      <c r="B12" s="4">
        <v>113139000</v>
      </c>
      <c r="C12" s="4"/>
      <c r="D12" s="4">
        <v>0.00999467</v>
      </c>
      <c r="E12" s="4">
        <v>114148000</v>
      </c>
      <c r="F12" s="4"/>
      <c r="G12" s="4">
        <v>0.00990508</v>
      </c>
      <c r="H12" s="4">
        <v>108161000</v>
      </c>
    </row>
    <row r="13" customHeight="1" spans="1:8">
      <c r="A13" s="4">
        <v>0.011009</v>
      </c>
      <c r="B13" s="4">
        <v>114756000</v>
      </c>
      <c r="C13" s="4"/>
      <c r="D13" s="4">
        <v>0.0110127</v>
      </c>
      <c r="E13" s="4">
        <v>106705000</v>
      </c>
      <c r="F13" s="4"/>
      <c r="G13" s="4">
        <v>0.0109868</v>
      </c>
      <c r="H13" s="4">
        <v>115082000</v>
      </c>
    </row>
    <row r="14" customHeight="1" spans="1:8">
      <c r="A14" s="4">
        <v>0.0119627</v>
      </c>
      <c r="B14" s="4">
        <v>114934000</v>
      </c>
      <c r="C14" s="4"/>
      <c r="D14" s="4">
        <v>0.0119983</v>
      </c>
      <c r="E14" s="4">
        <v>109162000</v>
      </c>
      <c r="F14" s="4"/>
      <c r="G14" s="4">
        <v>0.0120279</v>
      </c>
      <c r="H14" s="4">
        <v>109536000</v>
      </c>
    </row>
    <row r="15" customHeight="1" spans="1:8">
      <c r="A15" s="4">
        <v>0.0130151</v>
      </c>
      <c r="B15" s="4">
        <v>114829000</v>
      </c>
      <c r="C15" s="4"/>
      <c r="D15" s="4">
        <v>0.0130203</v>
      </c>
      <c r="E15" s="4">
        <v>109481000</v>
      </c>
      <c r="F15" s="4"/>
      <c r="G15" s="4">
        <v>0.0130108</v>
      </c>
      <c r="H15" s="4">
        <v>106847000</v>
      </c>
    </row>
    <row r="16" customHeight="1" spans="1:8">
      <c r="A16" s="4">
        <v>0.014013</v>
      </c>
      <c r="B16" s="4">
        <v>114195000</v>
      </c>
      <c r="C16" s="4"/>
      <c r="D16" s="4">
        <v>0.0140089</v>
      </c>
      <c r="E16" s="4">
        <v>110331000</v>
      </c>
      <c r="F16" s="4"/>
      <c r="G16" s="4">
        <v>0.0139805</v>
      </c>
      <c r="H16" s="4">
        <v>104186000</v>
      </c>
    </row>
    <row r="17" customHeight="1" spans="1:8">
      <c r="A17" s="4">
        <v>0.0149773</v>
      </c>
      <c r="B17" s="4">
        <v>112053000</v>
      </c>
      <c r="C17" s="4"/>
      <c r="D17" s="4">
        <v>0.0149751</v>
      </c>
      <c r="E17" s="4">
        <v>114153000</v>
      </c>
      <c r="F17" s="4"/>
      <c r="G17" s="4">
        <v>0.0150274</v>
      </c>
      <c r="H17" s="4">
        <v>105637000</v>
      </c>
    </row>
    <row r="18" customHeight="1" spans="1:8">
      <c r="A18" s="4">
        <v>0.0159849</v>
      </c>
      <c r="B18" s="4">
        <v>103202000</v>
      </c>
      <c r="C18" s="4"/>
      <c r="D18" s="4">
        <v>0.0160076</v>
      </c>
      <c r="E18" s="4">
        <v>113801000</v>
      </c>
      <c r="F18" s="4"/>
      <c r="G18" s="4">
        <v>0.0159683</v>
      </c>
      <c r="H18" s="4">
        <v>117937000</v>
      </c>
    </row>
    <row r="19" customHeight="1" spans="1:8">
      <c r="A19" s="4">
        <v>0.0170388</v>
      </c>
      <c r="B19" s="4">
        <v>110739000</v>
      </c>
      <c r="C19" s="4"/>
      <c r="D19" s="4">
        <v>0.0170012</v>
      </c>
      <c r="E19" s="4">
        <v>109639000</v>
      </c>
      <c r="F19" s="4"/>
      <c r="G19" s="4">
        <v>0.0169766</v>
      </c>
      <c r="H19" s="4">
        <v>109520000</v>
      </c>
    </row>
    <row r="20" customHeight="1" spans="1:8">
      <c r="A20" s="4">
        <v>0.0180022</v>
      </c>
      <c r="B20" s="4">
        <v>113532000</v>
      </c>
      <c r="C20" s="4"/>
      <c r="D20" s="4">
        <v>0.0180101</v>
      </c>
      <c r="E20" s="4">
        <v>116822000</v>
      </c>
      <c r="F20" s="4"/>
      <c r="G20" s="4">
        <v>0.0179848</v>
      </c>
      <c r="H20" s="4">
        <v>107745000</v>
      </c>
    </row>
    <row r="21" customHeight="1" spans="1:8">
      <c r="A21" s="4">
        <v>0.0189797</v>
      </c>
      <c r="B21" s="4">
        <v>115660000</v>
      </c>
      <c r="C21" s="4"/>
      <c r="D21" s="4">
        <v>0.0189844</v>
      </c>
      <c r="E21" s="4">
        <v>115760000</v>
      </c>
      <c r="F21" s="4"/>
      <c r="G21" s="4">
        <v>0.0190148</v>
      </c>
      <c r="H21" s="4">
        <v>111717000</v>
      </c>
    </row>
    <row r="22" customHeight="1" spans="1:8">
      <c r="A22" s="4">
        <v>0.0199746</v>
      </c>
      <c r="B22" s="4">
        <v>103959000</v>
      </c>
      <c r="C22" s="4"/>
      <c r="D22" s="4">
        <v>0.0200084</v>
      </c>
      <c r="E22" s="4">
        <v>106761000</v>
      </c>
      <c r="F22" s="4"/>
      <c r="G22" s="4">
        <v>0.0200384</v>
      </c>
      <c r="H22" s="4">
        <v>113895000</v>
      </c>
    </row>
    <row r="23" customHeight="1" spans="1:8">
      <c r="A23" s="4">
        <v>0.0210202</v>
      </c>
      <c r="B23" s="4">
        <v>101769000</v>
      </c>
      <c r="C23" s="4"/>
      <c r="D23" s="4">
        <v>0.0210205</v>
      </c>
      <c r="E23" s="4">
        <v>99571100</v>
      </c>
      <c r="F23" s="4"/>
      <c r="G23" s="4">
        <v>0.0209673</v>
      </c>
      <c r="H23" s="4">
        <v>111274000</v>
      </c>
    </row>
    <row r="24" customHeight="1" spans="1:8">
      <c r="A24" s="4">
        <v>0.0220134</v>
      </c>
      <c r="B24" s="4">
        <v>102345000</v>
      </c>
      <c r="C24" s="4"/>
      <c r="D24" s="4">
        <v>0.0219861</v>
      </c>
      <c r="E24" s="4">
        <v>106326000</v>
      </c>
      <c r="F24" s="4"/>
      <c r="G24" s="4">
        <v>0.0219614</v>
      </c>
      <c r="H24" s="4">
        <v>114157000</v>
      </c>
    </row>
    <row r="25" customHeight="1" spans="1:8">
      <c r="A25" s="4">
        <v>0.0229826</v>
      </c>
      <c r="B25" s="4">
        <v>102620000</v>
      </c>
      <c r="C25" s="4"/>
      <c r="D25" s="4">
        <v>0.0229906</v>
      </c>
      <c r="E25" s="4">
        <v>109195000</v>
      </c>
      <c r="F25" s="4"/>
      <c r="G25" s="4">
        <v>0.0230111</v>
      </c>
      <c r="H25" s="4">
        <v>117580000</v>
      </c>
    </row>
    <row r="26" customHeight="1" spans="1:8">
      <c r="A26" s="4">
        <v>0.0240501</v>
      </c>
      <c r="B26" s="4">
        <v>109118000</v>
      </c>
      <c r="C26" s="4"/>
      <c r="D26" s="4">
        <v>0.0239685</v>
      </c>
      <c r="E26" s="4">
        <v>108950000</v>
      </c>
      <c r="F26" s="4"/>
      <c r="G26" s="4">
        <v>0.0239929</v>
      </c>
      <c r="H26" s="4">
        <v>116840000</v>
      </c>
    </row>
    <row r="27" customHeight="1" spans="1:23">
      <c r="A27" s="4">
        <v>0.0249972</v>
      </c>
      <c r="B27" s="4">
        <v>108735000</v>
      </c>
      <c r="C27" s="4"/>
      <c r="D27" s="4">
        <v>0.024996</v>
      </c>
      <c r="E27" s="4">
        <v>102799000</v>
      </c>
      <c r="F27" s="4"/>
      <c r="G27" s="4">
        <v>0.0249534</v>
      </c>
      <c r="H27" s="4">
        <v>121137000</v>
      </c>
      <c r="W27" s="3">
        <f>200*1.414</f>
        <v>282.8</v>
      </c>
    </row>
    <row r="28" customHeight="1" spans="1:8">
      <c r="A28" s="4">
        <v>0.0259852</v>
      </c>
      <c r="B28" s="4">
        <v>111239000</v>
      </c>
      <c r="C28" s="4"/>
      <c r="D28" s="4">
        <v>0.026019</v>
      </c>
      <c r="E28" s="4">
        <v>108831000</v>
      </c>
      <c r="F28" s="4"/>
      <c r="G28" s="4">
        <v>0.0260011</v>
      </c>
      <c r="H28" s="4">
        <v>110771000</v>
      </c>
    </row>
    <row r="29" customHeight="1" spans="1:8">
      <c r="A29" s="4">
        <v>0.0270025</v>
      </c>
      <c r="B29" s="4">
        <v>112307000</v>
      </c>
      <c r="C29" s="4"/>
      <c r="D29" s="4">
        <v>0.0269998</v>
      </c>
      <c r="E29" s="4">
        <v>113819000</v>
      </c>
      <c r="F29" s="4"/>
      <c r="G29" s="4">
        <v>0.0270144</v>
      </c>
      <c r="H29" s="4">
        <v>109934000</v>
      </c>
    </row>
    <row r="30" customHeight="1" spans="1:8">
      <c r="A30" s="4">
        <v>0.0280224</v>
      </c>
      <c r="B30" s="4">
        <v>107355000</v>
      </c>
      <c r="C30" s="4"/>
      <c r="D30" s="4">
        <v>0.0280511</v>
      </c>
      <c r="E30" s="4">
        <v>110155000</v>
      </c>
      <c r="F30" s="4"/>
      <c r="G30" s="4">
        <v>0.028009</v>
      </c>
      <c r="H30" s="4">
        <v>111191000</v>
      </c>
    </row>
    <row r="31" customHeight="1" spans="1:8">
      <c r="A31" s="4">
        <v>0.0289825</v>
      </c>
      <c r="B31" s="4">
        <v>113734000</v>
      </c>
      <c r="C31" s="4"/>
      <c r="D31" s="4">
        <v>0.0289441</v>
      </c>
      <c r="E31" s="4">
        <v>115041000</v>
      </c>
      <c r="F31" s="4"/>
      <c r="G31" s="4">
        <v>0.0289967</v>
      </c>
      <c r="H31" s="4">
        <v>110755000</v>
      </c>
    </row>
    <row r="32" customHeight="1" spans="1:8">
      <c r="A32" s="4">
        <v>0.030026</v>
      </c>
      <c r="B32" s="4">
        <v>104793000</v>
      </c>
      <c r="C32" s="4"/>
      <c r="D32" s="4">
        <v>0.0299154</v>
      </c>
      <c r="E32" s="4">
        <v>107318000</v>
      </c>
      <c r="F32" s="4"/>
      <c r="G32" s="4">
        <v>0.0300111</v>
      </c>
      <c r="H32" s="4">
        <v>109765000</v>
      </c>
    </row>
    <row r="33" customHeight="1" spans="1:8">
      <c r="A33" s="4">
        <v>0.0309942</v>
      </c>
      <c r="B33" s="4">
        <v>111043000</v>
      </c>
      <c r="C33" s="4"/>
      <c r="D33" s="4">
        <v>0.0310391</v>
      </c>
      <c r="E33" s="4">
        <v>105588000</v>
      </c>
      <c r="F33" s="4"/>
      <c r="G33" s="4">
        <v>0.0310224</v>
      </c>
      <c r="H33" s="4">
        <v>105937000</v>
      </c>
    </row>
    <row r="34" customHeight="1" spans="1:8">
      <c r="A34" s="4">
        <v>0.0319944</v>
      </c>
      <c r="B34" s="4">
        <v>110893000</v>
      </c>
      <c r="C34" s="4"/>
      <c r="D34" s="4">
        <v>0.0319526</v>
      </c>
      <c r="E34" s="4">
        <v>106055000</v>
      </c>
      <c r="F34" s="4"/>
      <c r="G34" s="4">
        <v>0.0319385</v>
      </c>
      <c r="H34" s="4">
        <v>115716000</v>
      </c>
    </row>
    <row r="35" customHeight="1" spans="1:8">
      <c r="A35" s="4">
        <v>0.0329684</v>
      </c>
      <c r="B35" s="4">
        <v>111268000</v>
      </c>
      <c r="C35" s="4"/>
      <c r="D35" s="4">
        <v>0.0330534</v>
      </c>
      <c r="E35" s="4">
        <v>115095000</v>
      </c>
      <c r="F35" s="4"/>
      <c r="G35" s="4">
        <v>0.0329802</v>
      </c>
      <c r="H35" s="4">
        <v>112921000</v>
      </c>
    </row>
    <row r="36" customHeight="1" spans="1:8">
      <c r="A36" s="4">
        <v>0.0339924</v>
      </c>
      <c r="B36" s="4">
        <v>108177000</v>
      </c>
      <c r="C36" s="4"/>
      <c r="D36" s="4">
        <v>0.0340329</v>
      </c>
      <c r="E36" s="4">
        <v>116873000</v>
      </c>
      <c r="F36" s="4"/>
      <c r="G36" s="4">
        <v>0.0340239</v>
      </c>
      <c r="H36" s="4">
        <v>107891000</v>
      </c>
    </row>
    <row r="37" customHeight="1" spans="1:8">
      <c r="A37" s="4">
        <v>0.0350067</v>
      </c>
      <c r="B37" s="4">
        <v>110273000</v>
      </c>
      <c r="C37" s="4"/>
      <c r="D37" s="4">
        <v>0.0349998</v>
      </c>
      <c r="E37" s="4">
        <v>105915000</v>
      </c>
      <c r="F37" s="4"/>
      <c r="G37" s="4">
        <v>0.0350149</v>
      </c>
      <c r="H37" s="4">
        <v>99848200</v>
      </c>
    </row>
    <row r="38" customHeight="1" spans="1:8">
      <c r="A38" s="4">
        <v>0.036004</v>
      </c>
      <c r="B38" s="4">
        <v>110577000</v>
      </c>
      <c r="C38" s="4"/>
      <c r="D38" s="4">
        <v>0.0359996</v>
      </c>
      <c r="E38" s="4">
        <v>110306000</v>
      </c>
      <c r="F38" s="4"/>
      <c r="G38" s="4">
        <v>0.0358873</v>
      </c>
      <c r="H38" s="4">
        <v>106590000</v>
      </c>
    </row>
    <row r="39" customHeight="1" spans="1:8">
      <c r="A39" s="4">
        <v>0.0370332</v>
      </c>
      <c r="B39" s="4">
        <v>111254000</v>
      </c>
      <c r="C39" s="4"/>
      <c r="D39" s="4">
        <v>0.0369998</v>
      </c>
      <c r="E39" s="4">
        <v>112688000</v>
      </c>
      <c r="F39" s="4"/>
      <c r="G39" s="4">
        <v>0.036997</v>
      </c>
      <c r="H39" s="4">
        <v>108853000</v>
      </c>
    </row>
    <row r="40" customHeight="1" spans="1:8">
      <c r="A40" s="4">
        <v>0.0379976</v>
      </c>
      <c r="B40" s="4">
        <v>112533000</v>
      </c>
      <c r="C40" s="4"/>
      <c r="D40" s="4">
        <v>0.0379896</v>
      </c>
      <c r="E40" s="4">
        <v>116187000</v>
      </c>
      <c r="F40" s="4"/>
      <c r="G40" s="4">
        <v>0.0379729</v>
      </c>
      <c r="H40" s="4">
        <v>117898000</v>
      </c>
    </row>
    <row r="41" customHeight="1" spans="1:8">
      <c r="A41" s="4">
        <v>0.0390332</v>
      </c>
      <c r="B41" s="4">
        <v>108500000</v>
      </c>
      <c r="C41" s="4"/>
      <c r="D41" s="4">
        <v>0.0389838</v>
      </c>
      <c r="E41" s="4">
        <v>114347000</v>
      </c>
      <c r="F41" s="4"/>
      <c r="G41" s="4">
        <v>0.0390414</v>
      </c>
      <c r="H41" s="4">
        <v>108616000</v>
      </c>
    </row>
    <row r="42" customHeight="1" spans="1:8">
      <c r="A42" s="4">
        <v>0.0400331</v>
      </c>
      <c r="B42" s="4">
        <v>110148000</v>
      </c>
      <c r="C42" s="4"/>
      <c r="D42" s="4">
        <v>0.0399947</v>
      </c>
      <c r="E42" s="4">
        <v>114014000</v>
      </c>
      <c r="F42" s="4"/>
      <c r="G42" s="4">
        <v>0.0400132</v>
      </c>
      <c r="H42" s="4">
        <v>106506000</v>
      </c>
    </row>
    <row r="43" customHeight="1" spans="1:8">
      <c r="A43" s="4">
        <v>0.0410245</v>
      </c>
      <c r="B43" s="4">
        <v>116255000</v>
      </c>
      <c r="C43" s="4"/>
      <c r="D43" s="4">
        <v>0.0410329</v>
      </c>
      <c r="E43" s="4">
        <v>108301000</v>
      </c>
      <c r="F43" s="4"/>
      <c r="G43" s="4">
        <v>0.0409977</v>
      </c>
      <c r="H43" s="4">
        <v>112211000</v>
      </c>
    </row>
    <row r="44" customHeight="1" spans="1:8">
      <c r="A44" s="4">
        <v>0.042007</v>
      </c>
      <c r="B44" s="4">
        <v>108496000</v>
      </c>
      <c r="C44" s="4"/>
      <c r="D44" s="4">
        <v>0.0420217</v>
      </c>
      <c r="E44" s="4">
        <v>110110000</v>
      </c>
      <c r="F44" s="4"/>
      <c r="G44" s="4">
        <v>0.0420223</v>
      </c>
      <c r="H44" s="4">
        <v>105530000</v>
      </c>
    </row>
    <row r="45" customHeight="1" spans="1:8">
      <c r="A45" s="4">
        <v>0.0430207</v>
      </c>
      <c r="B45" s="4">
        <v>114681000</v>
      </c>
      <c r="C45" s="4"/>
      <c r="D45" s="4">
        <v>0.0429891</v>
      </c>
      <c r="E45" s="4">
        <v>111834000</v>
      </c>
      <c r="F45" s="4"/>
      <c r="G45" s="4">
        <v>0.0429859</v>
      </c>
      <c r="H45" s="4">
        <v>111652000</v>
      </c>
    </row>
    <row r="46" customHeight="1" spans="1:8">
      <c r="A46" s="4">
        <v>0.0440121</v>
      </c>
      <c r="B46" s="4">
        <v>111478000</v>
      </c>
      <c r="C46" s="4"/>
      <c r="D46" s="4">
        <v>0.0440278</v>
      </c>
      <c r="E46" s="4">
        <v>104867000</v>
      </c>
      <c r="F46" s="4"/>
      <c r="G46" s="4">
        <v>0.0440246</v>
      </c>
      <c r="H46" s="4">
        <v>123643000</v>
      </c>
    </row>
    <row r="47" customHeight="1" spans="1:8">
      <c r="A47" s="4">
        <v>0.0449447</v>
      </c>
      <c r="B47" s="4">
        <v>112310000</v>
      </c>
      <c r="C47" s="4"/>
      <c r="D47" s="4">
        <v>0.0449825</v>
      </c>
      <c r="E47" s="4">
        <v>110308000</v>
      </c>
      <c r="F47" s="4"/>
      <c r="G47" s="4">
        <v>0.0449692</v>
      </c>
      <c r="H47" s="4">
        <v>114833000</v>
      </c>
    </row>
    <row r="48" customHeight="1" spans="1:8">
      <c r="A48" s="4">
        <v>0.0460476</v>
      </c>
      <c r="B48" s="4">
        <v>112919000</v>
      </c>
      <c r="C48" s="4"/>
      <c r="D48" s="4">
        <v>0.0459696</v>
      </c>
      <c r="E48" s="4">
        <v>117021000</v>
      </c>
      <c r="F48" s="4"/>
      <c r="G48" s="4">
        <v>0.045983</v>
      </c>
      <c r="H48" s="4">
        <v>108864000</v>
      </c>
    </row>
    <row r="49" customHeight="1" spans="1:8">
      <c r="A49" s="4">
        <v>0.0470154</v>
      </c>
      <c r="B49" s="4">
        <v>109673000</v>
      </c>
      <c r="C49" s="4"/>
      <c r="D49" s="4">
        <v>0.0469955</v>
      </c>
      <c r="E49" s="4">
        <v>116431000</v>
      </c>
      <c r="F49" s="4"/>
      <c r="G49" s="4">
        <v>0.0469683</v>
      </c>
      <c r="H49" s="4">
        <v>112285000</v>
      </c>
    </row>
    <row r="50" customHeight="1" spans="1:8">
      <c r="A50" s="4">
        <v>0.0480152</v>
      </c>
      <c r="B50" s="4">
        <v>111517000</v>
      </c>
      <c r="C50" s="4"/>
      <c r="D50" s="4">
        <v>0.0479973</v>
      </c>
      <c r="E50" s="4">
        <v>117194000</v>
      </c>
      <c r="F50" s="4"/>
      <c r="G50" s="4">
        <v>0.0479916</v>
      </c>
      <c r="H50" s="4">
        <v>108631000</v>
      </c>
    </row>
    <row r="51" customHeight="1" spans="1:8">
      <c r="A51" s="4">
        <v>0.0490317</v>
      </c>
      <c r="B51" s="4">
        <v>108484000</v>
      </c>
      <c r="C51" s="4"/>
      <c r="D51" s="4">
        <v>0.0489558</v>
      </c>
      <c r="E51" s="4">
        <v>111475000</v>
      </c>
      <c r="F51" s="4"/>
      <c r="G51" s="4">
        <v>0.0489937</v>
      </c>
      <c r="H51" s="4">
        <v>108645000</v>
      </c>
    </row>
    <row r="52" customHeight="1" spans="1:8">
      <c r="A52" s="4">
        <v>0.050023</v>
      </c>
      <c r="B52" s="4">
        <v>107506000</v>
      </c>
      <c r="C52" s="4"/>
      <c r="D52" s="4">
        <v>0.0499969</v>
      </c>
      <c r="E52" s="4">
        <v>116338000</v>
      </c>
      <c r="F52" s="4"/>
      <c r="G52" s="4">
        <v>0.049996</v>
      </c>
      <c r="H52" s="4">
        <v>110823000</v>
      </c>
    </row>
    <row r="53" customHeight="1" spans="1:8">
      <c r="A53" s="4">
        <v>0.0509594</v>
      </c>
      <c r="B53" s="4">
        <v>112887000</v>
      </c>
      <c r="C53" s="4"/>
      <c r="D53" s="4">
        <v>0.0510062</v>
      </c>
      <c r="E53" s="4">
        <v>113886000</v>
      </c>
      <c r="F53" s="4"/>
      <c r="G53" s="4">
        <v>0.0510305</v>
      </c>
      <c r="H53" s="4">
        <v>102758000</v>
      </c>
    </row>
    <row r="54" customHeight="1" spans="1:8">
      <c r="A54" s="4"/>
      <c r="B54" s="4"/>
      <c r="C54" s="4"/>
      <c r="D54" s="4">
        <v>0.0519854</v>
      </c>
      <c r="E54" s="4">
        <v>115625000</v>
      </c>
      <c r="F54" s="4"/>
      <c r="G54" s="4">
        <v>0.0520006</v>
      </c>
      <c r="H54" s="4">
        <v>98599800</v>
      </c>
    </row>
    <row r="55" customHeight="1" spans="1:8">
      <c r="A55" s="4"/>
      <c r="B55" s="4"/>
      <c r="C55" s="4"/>
      <c r="D55" s="4">
        <v>0.0529953</v>
      </c>
      <c r="E55" s="4">
        <v>108235000</v>
      </c>
      <c r="F55" s="4"/>
      <c r="G55" s="4">
        <v>0.0529762</v>
      </c>
      <c r="H55" s="4">
        <v>103948000</v>
      </c>
    </row>
    <row r="56" customHeight="1" spans="1:8">
      <c r="A56" s="4"/>
      <c r="B56" s="4"/>
      <c r="C56" s="4"/>
      <c r="D56" s="4">
        <v>0.0540649</v>
      </c>
      <c r="E56" s="4">
        <v>102413000</v>
      </c>
      <c r="F56" s="4"/>
      <c r="G56" s="4">
        <v>0.0540117</v>
      </c>
      <c r="H56" s="4">
        <v>104542000</v>
      </c>
    </row>
    <row r="57" customHeight="1" spans="1:8">
      <c r="A57" s="4"/>
      <c r="B57" s="4"/>
      <c r="C57" s="4"/>
      <c r="D57" s="4">
        <v>0.0549954</v>
      </c>
      <c r="E57" s="4">
        <v>117317000</v>
      </c>
      <c r="F57" s="4"/>
      <c r="G57" s="4">
        <v>0.05498</v>
      </c>
      <c r="H57" s="4">
        <v>110098000</v>
      </c>
    </row>
    <row r="58" customHeight="1" spans="1:8">
      <c r="A58" s="4"/>
      <c r="B58" s="4"/>
      <c r="C58" s="4"/>
      <c r="D58" s="4">
        <v>0.0560102</v>
      </c>
      <c r="E58" s="4">
        <v>111109000</v>
      </c>
      <c r="F58" s="4"/>
      <c r="G58" s="4">
        <v>0.0559271</v>
      </c>
      <c r="H58" s="4">
        <v>109180000</v>
      </c>
    </row>
    <row r="59" customHeight="1" spans="4:5">
      <c r="D59" s="18">
        <v>0.0570144</v>
      </c>
      <c r="E59" s="5">
        <v>107021000</v>
      </c>
    </row>
  </sheetData>
  <mergeCells count="4">
    <mergeCell ref="A1:B1"/>
    <mergeCell ref="D1:E1"/>
    <mergeCell ref="G1:H1"/>
    <mergeCell ref="J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3"/>
  <sheetViews>
    <sheetView zoomScale="180" zoomScaleNormal="180" topLeftCell="R10" workbookViewId="0">
      <selection activeCell="AL28" sqref="AL28"/>
    </sheetView>
  </sheetViews>
  <sheetFormatPr defaultColWidth="9.01481481481481" defaultRowHeight="15" customHeight="1"/>
  <sheetData>
    <row r="1" customHeight="1" spans="1:46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7"/>
      <c r="N1" s="19" t="s">
        <v>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"/>
      <c r="AA1" s="19" t="s">
        <v>26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7"/>
      <c r="AM1" s="17"/>
      <c r="AN1" s="17" t="s">
        <v>5</v>
      </c>
      <c r="AO1" s="17" t="s">
        <v>6</v>
      </c>
      <c r="AP1" s="17" t="s">
        <v>7</v>
      </c>
      <c r="AQ1" s="17" t="s">
        <v>8</v>
      </c>
      <c r="AR1" s="2" t="s">
        <v>9</v>
      </c>
      <c r="AS1" s="2" t="s">
        <v>10</v>
      </c>
      <c r="AT1" s="2" t="s">
        <v>11</v>
      </c>
    </row>
    <row r="2" customHeight="1" spans="1:46">
      <c r="A2" s="15">
        <v>0.000200299</v>
      </c>
      <c r="B2" s="5">
        <v>0.000495157</v>
      </c>
      <c r="C2" s="5">
        <v>19882000000000</v>
      </c>
      <c r="D2" s="5">
        <v>2078150000</v>
      </c>
      <c r="E2" s="5">
        <v>0</v>
      </c>
      <c r="F2" s="5">
        <v>0</v>
      </c>
      <c r="G2" s="5">
        <v>2</v>
      </c>
      <c r="H2" s="5">
        <v>5382190000000</v>
      </c>
      <c r="I2" s="5">
        <v>4625540000000</v>
      </c>
      <c r="J2" s="5">
        <v>4585540000000</v>
      </c>
      <c r="K2" s="5">
        <v>4605530000000</v>
      </c>
      <c r="L2" s="5">
        <v>683216000000</v>
      </c>
      <c r="M2" s="5"/>
      <c r="N2" s="15">
        <v>0.00018897</v>
      </c>
      <c r="O2" s="5">
        <v>0.00049667</v>
      </c>
      <c r="P2" s="5">
        <v>19971000000000</v>
      </c>
      <c r="Q2" s="5">
        <v>1626590000</v>
      </c>
      <c r="R2" s="5">
        <v>0</v>
      </c>
      <c r="S2" s="5">
        <v>0</v>
      </c>
      <c r="T2" s="5">
        <v>2</v>
      </c>
      <c r="U2" s="5">
        <v>5488770000000</v>
      </c>
      <c r="V2" s="5">
        <v>4622050000000</v>
      </c>
      <c r="W2" s="5">
        <v>4665590000000</v>
      </c>
      <c r="X2" s="5">
        <v>4644580000000</v>
      </c>
      <c r="Y2" s="5">
        <v>550056000000</v>
      </c>
      <c r="Z2" s="15"/>
      <c r="AA2" s="15">
        <v>0.000188535</v>
      </c>
      <c r="AB2" s="5">
        <v>0.000471108</v>
      </c>
      <c r="AC2" s="5">
        <v>19741400000000</v>
      </c>
      <c r="AD2" s="5">
        <v>1848110000</v>
      </c>
      <c r="AE2" s="5">
        <v>0</v>
      </c>
      <c r="AF2" s="5">
        <v>0</v>
      </c>
      <c r="AG2" s="5">
        <v>2</v>
      </c>
      <c r="AH2" s="5">
        <v>4860410000000</v>
      </c>
      <c r="AI2" s="5">
        <v>4830070000000</v>
      </c>
      <c r="AJ2" s="5">
        <v>4813430000000</v>
      </c>
      <c r="AK2" s="5">
        <v>4850540000000</v>
      </c>
      <c r="AL2" s="5">
        <v>386960000000</v>
      </c>
      <c r="AM2" s="5"/>
      <c r="AN2" s="21">
        <f t="shared" ref="AN2:AN52" si="0">A2</f>
        <v>0.000200299</v>
      </c>
      <c r="AO2" s="21">
        <f t="shared" ref="AO2:AO52" si="1">(C2+P2+AC2)/3</f>
        <v>19864800000000</v>
      </c>
      <c r="AP2" s="5">
        <f t="shared" ref="AP2:AP52" si="2">MIN(C2,P2,AC2)</f>
        <v>19741400000000</v>
      </c>
      <c r="AQ2" s="5">
        <f t="shared" ref="AQ2:AQ52" si="3">MAX(C2,P2,AC2)</f>
        <v>19971000000000</v>
      </c>
      <c r="AR2" s="5">
        <f t="shared" ref="AR2:AR52" si="4">(L2+Y2+AL2)/3</f>
        <v>540077333333.333</v>
      </c>
      <c r="AS2" s="5">
        <f t="shared" ref="AS2:AS52" si="5">MIN(L2,Y2,AK2)</f>
        <v>550056000000</v>
      </c>
      <c r="AT2" s="5">
        <f t="shared" ref="AT2:AT52" si="6">MAX(L2,Y2,AL2)</f>
        <v>683216000000</v>
      </c>
    </row>
    <row r="3" customHeight="1" spans="1:46">
      <c r="A3" s="15">
        <v>0.0009834</v>
      </c>
      <c r="B3" s="5">
        <v>0.00142428</v>
      </c>
      <c r="C3" s="5">
        <v>20362700000000</v>
      </c>
      <c r="D3" s="5">
        <v>295244000</v>
      </c>
      <c r="E3" s="5">
        <v>0</v>
      </c>
      <c r="F3" s="5">
        <v>0</v>
      </c>
      <c r="G3" s="5">
        <v>2</v>
      </c>
      <c r="H3" s="5">
        <v>5363940000000</v>
      </c>
      <c r="I3" s="5">
        <v>4620450000000</v>
      </c>
      <c r="J3" s="5">
        <v>4559380000000</v>
      </c>
      <c r="K3" s="5">
        <v>4659850000000</v>
      </c>
      <c r="L3" s="5">
        <v>1159060000000</v>
      </c>
      <c r="M3" s="5"/>
      <c r="N3" s="15">
        <v>0.00103417</v>
      </c>
      <c r="O3" s="5">
        <v>0.00147199</v>
      </c>
      <c r="P3" s="5">
        <v>20396300000000</v>
      </c>
      <c r="Q3" s="5">
        <v>344362000</v>
      </c>
      <c r="R3" s="5">
        <v>0</v>
      </c>
      <c r="S3" s="5">
        <v>0</v>
      </c>
      <c r="T3" s="5">
        <v>2</v>
      </c>
      <c r="U3" s="5">
        <v>5479300000000</v>
      </c>
      <c r="V3" s="5">
        <v>4644920000000</v>
      </c>
      <c r="W3" s="5">
        <v>4573990000000</v>
      </c>
      <c r="X3" s="5">
        <v>4536950000000</v>
      </c>
      <c r="Y3" s="5">
        <v>1161040000000</v>
      </c>
      <c r="Z3" s="15"/>
      <c r="AA3" s="15">
        <v>0.000998393</v>
      </c>
      <c r="AB3" s="5">
        <v>0.00142154</v>
      </c>
      <c r="AC3" s="5">
        <v>20183600000000</v>
      </c>
      <c r="AD3" s="5">
        <v>354239000</v>
      </c>
      <c r="AE3" s="5">
        <v>0</v>
      </c>
      <c r="AF3" s="5">
        <v>0</v>
      </c>
      <c r="AG3" s="5">
        <v>2</v>
      </c>
      <c r="AH3" s="5">
        <v>4849310000000</v>
      </c>
      <c r="AI3" s="5">
        <v>4713800000000</v>
      </c>
      <c r="AJ3" s="5">
        <v>4814610000000</v>
      </c>
      <c r="AK3" s="5">
        <v>4822120000000</v>
      </c>
      <c r="AL3" s="5">
        <v>983760000000</v>
      </c>
      <c r="AM3" s="5"/>
      <c r="AN3" s="21">
        <f t="shared" si="0"/>
        <v>0.0009834</v>
      </c>
      <c r="AO3" s="21">
        <f t="shared" si="1"/>
        <v>20314200000000</v>
      </c>
      <c r="AP3" s="5">
        <f t="shared" si="2"/>
        <v>20183600000000</v>
      </c>
      <c r="AQ3" s="5">
        <f t="shared" si="3"/>
        <v>20396300000000</v>
      </c>
      <c r="AR3" s="5">
        <f t="shared" si="4"/>
        <v>1101286666666.67</v>
      </c>
      <c r="AS3" s="5">
        <f t="shared" si="5"/>
        <v>1159060000000</v>
      </c>
      <c r="AT3" s="5">
        <f t="shared" si="6"/>
        <v>1161040000000</v>
      </c>
    </row>
    <row r="4" customHeight="1" spans="1:46">
      <c r="A4" s="15">
        <v>0.0020135</v>
      </c>
      <c r="B4" s="5">
        <v>0.00250063</v>
      </c>
      <c r="C4" s="5">
        <v>21344300000000</v>
      </c>
      <c r="D4" s="5">
        <v>394713000</v>
      </c>
      <c r="E4" s="5">
        <v>0</v>
      </c>
      <c r="F4" s="5">
        <v>0</v>
      </c>
      <c r="G4" s="5">
        <v>2</v>
      </c>
      <c r="H4" s="5">
        <v>5242790000000</v>
      </c>
      <c r="I4" s="5">
        <v>4545990000000</v>
      </c>
      <c r="J4" s="5">
        <v>4609620000000</v>
      </c>
      <c r="K4" s="5">
        <v>4762700000000</v>
      </c>
      <c r="L4" s="5">
        <v>2183230000000</v>
      </c>
      <c r="M4" s="5"/>
      <c r="N4" s="15">
        <v>0.00199645</v>
      </c>
      <c r="O4" s="5">
        <v>0.00249702</v>
      </c>
      <c r="P4" s="5">
        <v>21446100000000</v>
      </c>
      <c r="Q4" s="5">
        <v>881915000</v>
      </c>
      <c r="R4" s="5">
        <v>0</v>
      </c>
      <c r="S4" s="5">
        <v>0</v>
      </c>
      <c r="T4" s="5">
        <v>2</v>
      </c>
      <c r="U4" s="5">
        <v>5686400000000</v>
      </c>
      <c r="V4" s="5">
        <v>4539670000000</v>
      </c>
      <c r="W4" s="5">
        <v>4408240000000</v>
      </c>
      <c r="X4" s="5">
        <v>4396100000000</v>
      </c>
      <c r="Y4" s="5">
        <v>2415550000000</v>
      </c>
      <c r="Z4" s="15"/>
      <c r="AA4" s="15">
        <v>0.00201971</v>
      </c>
      <c r="AB4" s="5">
        <v>0.00247266</v>
      </c>
      <c r="AC4" s="5">
        <v>20893100000000</v>
      </c>
      <c r="AD4" s="5">
        <v>947903000</v>
      </c>
      <c r="AE4" s="5">
        <v>0</v>
      </c>
      <c r="AF4" s="5">
        <v>0</v>
      </c>
      <c r="AG4" s="5">
        <v>2</v>
      </c>
      <c r="AH4" s="5">
        <v>4883500000000</v>
      </c>
      <c r="AI4" s="5">
        <v>4660640000000</v>
      </c>
      <c r="AJ4" s="5">
        <v>4903300000000</v>
      </c>
      <c r="AK4" s="5">
        <v>4824010000000</v>
      </c>
      <c r="AL4" s="5">
        <v>1621620000000</v>
      </c>
      <c r="AM4" s="5"/>
      <c r="AN4" s="21">
        <f t="shared" si="0"/>
        <v>0.0020135</v>
      </c>
      <c r="AO4" s="21">
        <f t="shared" si="1"/>
        <v>21227833333333.3</v>
      </c>
      <c r="AP4" s="5">
        <f t="shared" si="2"/>
        <v>20893100000000</v>
      </c>
      <c r="AQ4" s="5">
        <f t="shared" si="3"/>
        <v>21446100000000</v>
      </c>
      <c r="AR4" s="5">
        <f t="shared" si="4"/>
        <v>2073466666666.67</v>
      </c>
      <c r="AS4" s="5">
        <f t="shared" si="5"/>
        <v>2183230000000</v>
      </c>
      <c r="AT4" s="5">
        <f t="shared" si="6"/>
        <v>2415550000000</v>
      </c>
    </row>
    <row r="5" customHeight="1" spans="1:46">
      <c r="A5" s="15">
        <v>0.00298985</v>
      </c>
      <c r="B5" s="5">
        <v>0.0035024</v>
      </c>
      <c r="C5" s="5">
        <v>22069300000000</v>
      </c>
      <c r="D5" s="5">
        <v>1228010000</v>
      </c>
      <c r="E5" s="5">
        <v>0</v>
      </c>
      <c r="F5" s="5">
        <v>0</v>
      </c>
      <c r="G5" s="5">
        <v>2</v>
      </c>
      <c r="H5" s="5">
        <v>5544420000000</v>
      </c>
      <c r="I5" s="5">
        <v>4177240000000</v>
      </c>
      <c r="J5" s="5">
        <v>4491980000000</v>
      </c>
      <c r="K5" s="5">
        <v>4874040000000</v>
      </c>
      <c r="L5" s="5">
        <v>2981640000000</v>
      </c>
      <c r="M5" s="5"/>
      <c r="N5" s="15">
        <v>0.0029962</v>
      </c>
      <c r="O5" s="5">
        <v>0.00349488</v>
      </c>
      <c r="P5" s="5">
        <v>21539100000000</v>
      </c>
      <c r="Q5" s="5">
        <v>630920000</v>
      </c>
      <c r="R5" s="5">
        <v>0</v>
      </c>
      <c r="S5" s="5">
        <v>0</v>
      </c>
      <c r="T5" s="5">
        <v>2</v>
      </c>
      <c r="U5" s="5">
        <v>5277950000000</v>
      </c>
      <c r="V5" s="5">
        <v>4450700000000</v>
      </c>
      <c r="W5" s="5">
        <v>4645260000000</v>
      </c>
      <c r="X5" s="5">
        <v>4196270000000</v>
      </c>
      <c r="Y5" s="5">
        <v>2968840000000</v>
      </c>
      <c r="Z5" s="15"/>
      <c r="AA5" s="15">
        <v>0.00301403</v>
      </c>
      <c r="AB5" s="5">
        <v>0.00353513</v>
      </c>
      <c r="AC5" s="5">
        <v>21769500000000</v>
      </c>
      <c r="AD5" s="5">
        <v>895175000</v>
      </c>
      <c r="AE5" s="5">
        <v>0</v>
      </c>
      <c r="AF5" s="5">
        <v>0</v>
      </c>
      <c r="AG5" s="5">
        <v>2</v>
      </c>
      <c r="AH5" s="5">
        <v>4438780000000</v>
      </c>
      <c r="AI5" s="5">
        <v>4385940000000</v>
      </c>
      <c r="AJ5" s="5">
        <v>4925560000000</v>
      </c>
      <c r="AK5" s="5">
        <v>4977090000000</v>
      </c>
      <c r="AL5" s="5">
        <v>3042030000000</v>
      </c>
      <c r="AM5" s="5"/>
      <c r="AN5" s="21">
        <f t="shared" si="0"/>
        <v>0.00298985</v>
      </c>
      <c r="AO5" s="21">
        <f t="shared" si="1"/>
        <v>21792633333333.3</v>
      </c>
      <c r="AP5" s="5">
        <f t="shared" si="2"/>
        <v>21539100000000</v>
      </c>
      <c r="AQ5" s="5">
        <f t="shared" si="3"/>
        <v>22069300000000</v>
      </c>
      <c r="AR5" s="5">
        <f t="shared" si="4"/>
        <v>2997503333333.33</v>
      </c>
      <c r="AS5" s="5">
        <f t="shared" si="5"/>
        <v>2968840000000</v>
      </c>
      <c r="AT5" s="5">
        <f t="shared" si="6"/>
        <v>3042030000000</v>
      </c>
    </row>
    <row r="6" customHeight="1" spans="1:46">
      <c r="A6" s="15">
        <v>0.00397897</v>
      </c>
      <c r="B6" s="5">
        <v>0.00447069</v>
      </c>
      <c r="C6" s="5">
        <v>21781500000000</v>
      </c>
      <c r="D6" s="5">
        <v>1236180000</v>
      </c>
      <c r="E6" s="5">
        <v>0</v>
      </c>
      <c r="F6" s="5">
        <v>0</v>
      </c>
      <c r="G6" s="5">
        <v>2</v>
      </c>
      <c r="H6" s="5">
        <v>5436630000000</v>
      </c>
      <c r="I6" s="5">
        <v>4350520000000</v>
      </c>
      <c r="J6" s="5">
        <v>4402140000000</v>
      </c>
      <c r="K6" s="5">
        <v>4349540000000</v>
      </c>
      <c r="L6" s="5">
        <v>3242550000000</v>
      </c>
      <c r="M6" s="5"/>
      <c r="N6" s="15">
        <v>0.00400079</v>
      </c>
      <c r="O6" s="5">
        <v>0.00452947</v>
      </c>
      <c r="P6" s="5">
        <v>21609200000000</v>
      </c>
      <c r="Q6" s="5">
        <v>629654000</v>
      </c>
      <c r="R6" s="5">
        <v>0</v>
      </c>
      <c r="S6" s="5">
        <v>0</v>
      </c>
      <c r="T6" s="5">
        <v>2</v>
      </c>
      <c r="U6" s="5">
        <v>5162540000000</v>
      </c>
      <c r="V6" s="5">
        <v>4640090000000</v>
      </c>
      <c r="W6" s="5">
        <v>4333300000000</v>
      </c>
      <c r="X6" s="5">
        <v>4163250000000</v>
      </c>
      <c r="Y6" s="5">
        <v>3309760000000</v>
      </c>
      <c r="Z6" s="15"/>
      <c r="AA6" s="15">
        <v>0.00399261</v>
      </c>
      <c r="AB6" s="5">
        <v>0.00451496</v>
      </c>
      <c r="AC6" s="5">
        <v>21429000000000</v>
      </c>
      <c r="AD6" s="5">
        <v>1172250000</v>
      </c>
      <c r="AE6" s="5">
        <v>0</v>
      </c>
      <c r="AF6" s="5">
        <v>0</v>
      </c>
      <c r="AG6" s="5">
        <v>2</v>
      </c>
      <c r="AH6" s="5">
        <v>4629380000000</v>
      </c>
      <c r="AI6" s="5">
        <v>4437790000000</v>
      </c>
      <c r="AJ6" s="5">
        <v>4658330000000</v>
      </c>
      <c r="AK6" s="5">
        <v>4541800000000</v>
      </c>
      <c r="AL6" s="5">
        <v>3161550000000</v>
      </c>
      <c r="AM6" s="5"/>
      <c r="AN6" s="21">
        <f t="shared" si="0"/>
        <v>0.00397897</v>
      </c>
      <c r="AO6" s="21">
        <f t="shared" si="1"/>
        <v>21606566666666.7</v>
      </c>
      <c r="AP6" s="5">
        <f t="shared" si="2"/>
        <v>21429000000000</v>
      </c>
      <c r="AQ6" s="5">
        <f t="shared" si="3"/>
        <v>21781500000000</v>
      </c>
      <c r="AR6" s="5">
        <f t="shared" si="4"/>
        <v>3237953333333.33</v>
      </c>
      <c r="AS6" s="5">
        <f t="shared" si="5"/>
        <v>3242550000000</v>
      </c>
      <c r="AT6" s="5">
        <f t="shared" si="6"/>
        <v>3309760000000</v>
      </c>
    </row>
    <row r="7" customHeight="1" spans="1:46">
      <c r="A7" s="15">
        <v>0.00499823</v>
      </c>
      <c r="B7" s="5">
        <v>0.00552097</v>
      </c>
      <c r="C7" s="5">
        <v>21668000000000</v>
      </c>
      <c r="D7" s="5">
        <v>1061690000</v>
      </c>
      <c r="E7" s="5">
        <v>0</v>
      </c>
      <c r="F7" s="5">
        <v>0</v>
      </c>
      <c r="G7" s="5">
        <v>2</v>
      </c>
      <c r="H7" s="5">
        <v>5371370000000</v>
      </c>
      <c r="I7" s="5">
        <v>4162530000000</v>
      </c>
      <c r="J7" s="5">
        <v>4213800000000</v>
      </c>
      <c r="K7" s="5">
        <v>4527200000000</v>
      </c>
      <c r="L7" s="5">
        <v>3393060000000</v>
      </c>
      <c r="M7" s="5"/>
      <c r="N7" s="15">
        <v>0.0049942</v>
      </c>
      <c r="O7" s="5">
        <v>0.00551426</v>
      </c>
      <c r="P7" s="5">
        <v>22092500000000</v>
      </c>
      <c r="Q7" s="5">
        <v>1122910000</v>
      </c>
      <c r="R7" s="5">
        <v>0</v>
      </c>
      <c r="S7" s="5">
        <v>0</v>
      </c>
      <c r="T7" s="5">
        <v>2</v>
      </c>
      <c r="U7" s="5">
        <v>5115200000000</v>
      </c>
      <c r="V7" s="5">
        <v>4673930000000</v>
      </c>
      <c r="W7" s="5">
        <v>4464230000000</v>
      </c>
      <c r="X7" s="5">
        <v>4105640000000</v>
      </c>
      <c r="Y7" s="5">
        <v>3733380000000</v>
      </c>
      <c r="Z7" s="15"/>
      <c r="AA7" s="15">
        <v>0.00501898</v>
      </c>
      <c r="AB7" s="5">
        <v>0.00555689</v>
      </c>
      <c r="AC7" s="5">
        <v>21812200000000</v>
      </c>
      <c r="AD7" s="5">
        <v>779386000</v>
      </c>
      <c r="AE7" s="5">
        <v>0</v>
      </c>
      <c r="AF7" s="5">
        <v>0</v>
      </c>
      <c r="AG7" s="5">
        <v>2</v>
      </c>
      <c r="AH7" s="5">
        <v>4228520000000</v>
      </c>
      <c r="AI7" s="5">
        <v>4931040000000</v>
      </c>
      <c r="AJ7" s="5">
        <v>4415330000000</v>
      </c>
      <c r="AK7" s="5">
        <v>4478930000000</v>
      </c>
      <c r="AL7" s="5">
        <v>3758060000000</v>
      </c>
      <c r="AM7" s="5"/>
      <c r="AN7" s="21">
        <f t="shared" si="0"/>
        <v>0.00499823</v>
      </c>
      <c r="AO7" s="21">
        <f t="shared" si="1"/>
        <v>21857566666666.7</v>
      </c>
      <c r="AP7" s="5">
        <f t="shared" si="2"/>
        <v>21668000000000</v>
      </c>
      <c r="AQ7" s="5">
        <f t="shared" si="3"/>
        <v>22092500000000</v>
      </c>
      <c r="AR7" s="5">
        <f t="shared" si="4"/>
        <v>3628166666666.67</v>
      </c>
      <c r="AS7" s="5">
        <f t="shared" si="5"/>
        <v>3393060000000</v>
      </c>
      <c r="AT7" s="5">
        <f t="shared" si="6"/>
        <v>3758060000000</v>
      </c>
    </row>
    <row r="8" customHeight="1" spans="1:46">
      <c r="A8" s="15">
        <v>0.00598766</v>
      </c>
      <c r="B8" s="5">
        <v>0.00650759</v>
      </c>
      <c r="C8" s="5">
        <v>22036400000000</v>
      </c>
      <c r="D8" s="5">
        <v>1026910000</v>
      </c>
      <c r="E8" s="5">
        <v>0</v>
      </c>
      <c r="F8" s="5">
        <v>0</v>
      </c>
      <c r="G8" s="5">
        <v>2</v>
      </c>
      <c r="H8" s="5">
        <v>5730010000000</v>
      </c>
      <c r="I8" s="5">
        <v>4036100000000</v>
      </c>
      <c r="J8" s="5">
        <v>4117780000000</v>
      </c>
      <c r="K8" s="5">
        <v>4344930000000</v>
      </c>
      <c r="L8" s="5">
        <v>3807540000000</v>
      </c>
      <c r="M8" s="5"/>
      <c r="N8" s="15">
        <v>0.00597956</v>
      </c>
      <c r="O8" s="5">
        <v>0.00650587</v>
      </c>
      <c r="P8" s="5">
        <v>21665400000000</v>
      </c>
      <c r="Q8" s="5">
        <v>825541000</v>
      </c>
      <c r="R8" s="5">
        <v>0</v>
      </c>
      <c r="S8" s="5">
        <v>0</v>
      </c>
      <c r="T8" s="5">
        <v>2</v>
      </c>
      <c r="U8" s="5">
        <v>5452290000000</v>
      </c>
      <c r="V8" s="5">
        <v>4339100000000</v>
      </c>
      <c r="W8" s="5">
        <v>4349320000000</v>
      </c>
      <c r="X8" s="5">
        <v>3936530000000</v>
      </c>
      <c r="Y8" s="5">
        <v>3588180000000</v>
      </c>
      <c r="Z8" s="15"/>
      <c r="AA8" s="15">
        <v>0.00599668</v>
      </c>
      <c r="AB8" s="5">
        <v>0.0065102</v>
      </c>
      <c r="AC8" s="5">
        <v>21935500000000</v>
      </c>
      <c r="AD8" s="5">
        <v>954836000</v>
      </c>
      <c r="AE8" s="5">
        <v>0</v>
      </c>
      <c r="AF8" s="5">
        <v>0</v>
      </c>
      <c r="AG8" s="5">
        <v>2</v>
      </c>
      <c r="AH8" s="5">
        <v>4405180000000</v>
      </c>
      <c r="AI8" s="5">
        <v>4872010000000</v>
      </c>
      <c r="AJ8" s="5">
        <v>4319140000000</v>
      </c>
      <c r="AK8" s="5">
        <v>4796210000000</v>
      </c>
      <c r="AL8" s="5">
        <v>3542880000000</v>
      </c>
      <c r="AM8" s="5"/>
      <c r="AN8" s="21">
        <f t="shared" si="0"/>
        <v>0.00598766</v>
      </c>
      <c r="AO8" s="21">
        <f t="shared" si="1"/>
        <v>21879100000000</v>
      </c>
      <c r="AP8" s="5">
        <f t="shared" si="2"/>
        <v>21665400000000</v>
      </c>
      <c r="AQ8" s="5">
        <f t="shared" si="3"/>
        <v>22036400000000</v>
      </c>
      <c r="AR8" s="5">
        <f t="shared" si="4"/>
        <v>3646200000000</v>
      </c>
      <c r="AS8" s="5">
        <f t="shared" si="5"/>
        <v>3588180000000</v>
      </c>
      <c r="AT8" s="5">
        <f t="shared" si="6"/>
        <v>3807540000000</v>
      </c>
    </row>
    <row r="9" customHeight="1" spans="1:46">
      <c r="A9" s="15">
        <v>0.00697675</v>
      </c>
      <c r="B9" s="5">
        <v>0.00749634</v>
      </c>
      <c r="C9" s="5">
        <v>21909100000000</v>
      </c>
      <c r="D9" s="5">
        <v>1122460000</v>
      </c>
      <c r="E9" s="5">
        <v>0</v>
      </c>
      <c r="F9" s="5">
        <v>0</v>
      </c>
      <c r="G9" s="5">
        <v>2</v>
      </c>
      <c r="H9" s="5">
        <v>5159370000000</v>
      </c>
      <c r="I9" s="5">
        <v>3712380000000</v>
      </c>
      <c r="J9" s="5">
        <v>4006880000000</v>
      </c>
      <c r="K9" s="5">
        <v>4774480000000</v>
      </c>
      <c r="L9" s="5">
        <v>4255480000000</v>
      </c>
      <c r="M9" s="5"/>
      <c r="N9" s="15">
        <v>0.00697128</v>
      </c>
      <c r="O9" s="5">
        <v>0.00750779</v>
      </c>
      <c r="P9" s="5">
        <v>21403800000000</v>
      </c>
      <c r="Q9" s="5">
        <v>825579000</v>
      </c>
      <c r="R9" s="5">
        <v>0</v>
      </c>
      <c r="S9" s="5">
        <v>0</v>
      </c>
      <c r="T9" s="5">
        <v>2</v>
      </c>
      <c r="U9" s="5">
        <v>5387220000000</v>
      </c>
      <c r="V9" s="5">
        <v>4249660000000</v>
      </c>
      <c r="W9" s="5">
        <v>3899050000000</v>
      </c>
      <c r="X9" s="5">
        <v>4084260000000</v>
      </c>
      <c r="Y9" s="5">
        <v>3783390000000</v>
      </c>
      <c r="Z9" s="15"/>
      <c r="AA9" s="15">
        <v>0.00700269</v>
      </c>
      <c r="AB9" s="5">
        <v>0.0075012</v>
      </c>
      <c r="AC9" s="5">
        <v>21502500000000</v>
      </c>
      <c r="AD9" s="5">
        <v>991293000</v>
      </c>
      <c r="AE9" s="5">
        <v>0</v>
      </c>
      <c r="AF9" s="5">
        <v>0</v>
      </c>
      <c r="AG9" s="5">
        <v>2</v>
      </c>
      <c r="AH9" s="5">
        <v>4331640000000</v>
      </c>
      <c r="AI9" s="5">
        <v>4828810000000</v>
      </c>
      <c r="AJ9" s="5">
        <v>4515400000000</v>
      </c>
      <c r="AK9" s="5">
        <v>4625080000000</v>
      </c>
      <c r="AL9" s="5">
        <v>3200660000000</v>
      </c>
      <c r="AM9" s="5"/>
      <c r="AN9" s="21">
        <f t="shared" si="0"/>
        <v>0.00697675</v>
      </c>
      <c r="AO9" s="21">
        <f t="shared" si="1"/>
        <v>21605133333333.3</v>
      </c>
      <c r="AP9" s="5">
        <f t="shared" si="2"/>
        <v>21403800000000</v>
      </c>
      <c r="AQ9" s="5">
        <f t="shared" si="3"/>
        <v>21909100000000</v>
      </c>
      <c r="AR9" s="5">
        <f t="shared" si="4"/>
        <v>3746510000000</v>
      </c>
      <c r="AS9" s="5">
        <f t="shared" si="5"/>
        <v>3783390000000</v>
      </c>
      <c r="AT9" s="5">
        <f t="shared" si="6"/>
        <v>4255480000000</v>
      </c>
    </row>
    <row r="10" customHeight="1" spans="1:46">
      <c r="A10" s="15">
        <v>0.00799115</v>
      </c>
      <c r="B10" s="5">
        <v>0.00848588</v>
      </c>
      <c r="C10" s="5">
        <v>21446700000000</v>
      </c>
      <c r="D10" s="5">
        <v>1118930000</v>
      </c>
      <c r="E10" s="5">
        <v>0</v>
      </c>
      <c r="F10" s="5">
        <v>0</v>
      </c>
      <c r="G10" s="5">
        <v>2</v>
      </c>
      <c r="H10" s="5">
        <v>5368010000000</v>
      </c>
      <c r="I10" s="5">
        <v>3888400000000</v>
      </c>
      <c r="J10" s="5">
        <v>3910550000000</v>
      </c>
      <c r="K10" s="5">
        <v>4416990000000</v>
      </c>
      <c r="L10" s="5">
        <v>3862640000000</v>
      </c>
      <c r="M10" s="5"/>
      <c r="N10" s="15">
        <v>0.00803373</v>
      </c>
      <c r="O10" s="5">
        <v>0.00854442</v>
      </c>
      <c r="P10" s="5">
        <v>21263900000000</v>
      </c>
      <c r="Q10" s="5">
        <v>2246770000</v>
      </c>
      <c r="R10" s="5">
        <v>0</v>
      </c>
      <c r="S10" s="5">
        <v>0</v>
      </c>
      <c r="T10" s="5">
        <v>2</v>
      </c>
      <c r="U10" s="5">
        <v>5361400000000</v>
      </c>
      <c r="V10" s="5">
        <v>4281720000000</v>
      </c>
      <c r="W10" s="5">
        <v>3810400000000</v>
      </c>
      <c r="X10" s="5">
        <v>3861810000000</v>
      </c>
      <c r="Y10" s="5">
        <v>3948470000000</v>
      </c>
      <c r="Z10" s="15"/>
      <c r="AA10" s="15">
        <v>0.00799832</v>
      </c>
      <c r="AB10" s="5">
        <v>0.00852373</v>
      </c>
      <c r="AC10" s="5">
        <v>21879600000000</v>
      </c>
      <c r="AD10" s="5">
        <v>750342000</v>
      </c>
      <c r="AE10" s="5">
        <v>0</v>
      </c>
      <c r="AF10" s="5">
        <v>0</v>
      </c>
      <c r="AG10" s="5">
        <v>2</v>
      </c>
      <c r="AH10" s="5">
        <v>4369840000000</v>
      </c>
      <c r="AI10" s="5">
        <v>4971560000000</v>
      </c>
      <c r="AJ10" s="5">
        <v>4792760000000</v>
      </c>
      <c r="AK10" s="5">
        <v>4302940000000</v>
      </c>
      <c r="AL10" s="5">
        <v>3442490000000</v>
      </c>
      <c r="AM10" s="5"/>
      <c r="AN10" s="21">
        <f t="shared" si="0"/>
        <v>0.00799115</v>
      </c>
      <c r="AO10" s="21">
        <f t="shared" si="1"/>
        <v>21530066666666.7</v>
      </c>
      <c r="AP10" s="5">
        <f t="shared" si="2"/>
        <v>21263900000000</v>
      </c>
      <c r="AQ10" s="5">
        <f t="shared" si="3"/>
        <v>21879600000000</v>
      </c>
      <c r="AR10" s="5">
        <f t="shared" si="4"/>
        <v>3751200000000</v>
      </c>
      <c r="AS10" s="5">
        <f t="shared" si="5"/>
        <v>3862640000000</v>
      </c>
      <c r="AT10" s="5">
        <f t="shared" si="6"/>
        <v>3948470000000</v>
      </c>
    </row>
    <row r="11" customHeight="1" spans="1:46">
      <c r="A11" s="15">
        <v>0.00897785</v>
      </c>
      <c r="B11" s="5">
        <v>0.00949155</v>
      </c>
      <c r="C11" s="5">
        <v>21495000000000</v>
      </c>
      <c r="D11" s="5">
        <v>1088540000</v>
      </c>
      <c r="E11" s="5">
        <v>0</v>
      </c>
      <c r="F11" s="5">
        <v>0</v>
      </c>
      <c r="G11" s="5">
        <v>2</v>
      </c>
      <c r="H11" s="5">
        <v>5318180000000</v>
      </c>
      <c r="I11" s="5">
        <v>4022040000000</v>
      </c>
      <c r="J11" s="5">
        <v>4190940000000</v>
      </c>
      <c r="K11" s="5">
        <v>4387870000000</v>
      </c>
      <c r="L11" s="5">
        <v>3575810000000</v>
      </c>
      <c r="M11" s="5"/>
      <c r="N11" s="15">
        <v>0.00899369</v>
      </c>
      <c r="O11" s="5">
        <v>0.00952743</v>
      </c>
      <c r="P11" s="5">
        <v>21726700000000</v>
      </c>
      <c r="Q11" s="5">
        <v>3588300000</v>
      </c>
      <c r="R11" s="5">
        <v>0</v>
      </c>
      <c r="S11" s="5">
        <v>0</v>
      </c>
      <c r="T11" s="5">
        <v>2</v>
      </c>
      <c r="U11" s="5">
        <v>5233030000000</v>
      </c>
      <c r="V11" s="5">
        <v>4666010000000</v>
      </c>
      <c r="W11" s="5">
        <v>4009720000000</v>
      </c>
      <c r="X11" s="5">
        <v>4260760000000</v>
      </c>
      <c r="Y11" s="5">
        <v>3557000000000</v>
      </c>
      <c r="Z11" s="15"/>
      <c r="AA11" s="15">
        <v>0.00902476</v>
      </c>
      <c r="AB11" s="5">
        <v>0.00952368</v>
      </c>
      <c r="AC11" s="5">
        <v>21854800000000</v>
      </c>
      <c r="AD11" s="5">
        <v>784806000</v>
      </c>
      <c r="AE11" s="5">
        <v>0</v>
      </c>
      <c r="AF11" s="5">
        <v>0</v>
      </c>
      <c r="AG11" s="5">
        <v>2</v>
      </c>
      <c r="AH11" s="5">
        <v>4501710000000</v>
      </c>
      <c r="AI11" s="5">
        <v>4589560000000</v>
      </c>
      <c r="AJ11" s="5">
        <v>4722600000000</v>
      </c>
      <c r="AK11" s="5">
        <v>4483620000000</v>
      </c>
      <c r="AL11" s="5">
        <v>3555600000000</v>
      </c>
      <c r="AM11" s="5"/>
      <c r="AN11" s="21">
        <f t="shared" si="0"/>
        <v>0.00897785</v>
      </c>
      <c r="AO11" s="21">
        <f t="shared" si="1"/>
        <v>21692166666666.7</v>
      </c>
      <c r="AP11" s="5">
        <f t="shared" si="2"/>
        <v>21495000000000</v>
      </c>
      <c r="AQ11" s="5">
        <f t="shared" si="3"/>
        <v>21854800000000</v>
      </c>
      <c r="AR11" s="5">
        <f t="shared" si="4"/>
        <v>3562803333333.33</v>
      </c>
      <c r="AS11" s="5">
        <f t="shared" si="5"/>
        <v>3557000000000</v>
      </c>
      <c r="AT11" s="5">
        <f t="shared" si="6"/>
        <v>3575810000000</v>
      </c>
    </row>
    <row r="12" customHeight="1" spans="1:46">
      <c r="A12" s="15">
        <v>0.00998248</v>
      </c>
      <c r="B12" s="5">
        <v>0.0105216</v>
      </c>
      <c r="C12" s="5">
        <v>21738400000000</v>
      </c>
      <c r="D12" s="5">
        <v>995518000</v>
      </c>
      <c r="E12" s="5">
        <v>0</v>
      </c>
      <c r="F12" s="5">
        <v>0</v>
      </c>
      <c r="G12" s="5">
        <v>2</v>
      </c>
      <c r="H12" s="5">
        <v>5094540000000</v>
      </c>
      <c r="I12" s="5">
        <v>4161670000000</v>
      </c>
      <c r="J12" s="5">
        <v>4307980000000</v>
      </c>
      <c r="K12" s="5">
        <v>4322920000000</v>
      </c>
      <c r="L12" s="5">
        <v>3851230000000</v>
      </c>
      <c r="M12" s="5"/>
      <c r="N12" s="15">
        <v>0.00999467</v>
      </c>
      <c r="O12" s="5">
        <v>0.0105386</v>
      </c>
      <c r="P12" s="5">
        <v>21688400000000</v>
      </c>
      <c r="Q12" s="5">
        <v>1433810000</v>
      </c>
      <c r="R12" s="5">
        <v>0</v>
      </c>
      <c r="S12" s="5">
        <v>0</v>
      </c>
      <c r="T12" s="5">
        <v>2</v>
      </c>
      <c r="U12" s="5">
        <v>5378610000000</v>
      </c>
      <c r="V12" s="5">
        <v>4437540000000</v>
      </c>
      <c r="W12" s="5">
        <v>3891420000000</v>
      </c>
      <c r="X12" s="5">
        <v>4005390000000</v>
      </c>
      <c r="Y12" s="5">
        <v>3974810000000</v>
      </c>
      <c r="Z12" s="15"/>
      <c r="AA12" s="15">
        <v>0.00990508</v>
      </c>
      <c r="AB12" s="5">
        <v>0.0104205</v>
      </c>
      <c r="AC12" s="5">
        <v>21603200000000</v>
      </c>
      <c r="AD12" s="5">
        <v>825785000</v>
      </c>
      <c r="AE12" s="5">
        <v>0</v>
      </c>
      <c r="AF12" s="5">
        <v>0</v>
      </c>
      <c r="AG12" s="5">
        <v>2</v>
      </c>
      <c r="AH12" s="5">
        <v>4250440000000</v>
      </c>
      <c r="AI12" s="5">
        <v>4917610000000</v>
      </c>
      <c r="AJ12" s="5">
        <v>4576420000000</v>
      </c>
      <c r="AK12" s="5">
        <v>4419730000000</v>
      </c>
      <c r="AL12" s="5">
        <v>3435980000000</v>
      </c>
      <c r="AM12" s="5"/>
      <c r="AN12" s="21">
        <f t="shared" si="0"/>
        <v>0.00998248</v>
      </c>
      <c r="AO12" s="21">
        <f t="shared" si="1"/>
        <v>21676666666666.7</v>
      </c>
      <c r="AP12" s="5">
        <f t="shared" si="2"/>
        <v>21603200000000</v>
      </c>
      <c r="AQ12" s="5">
        <f t="shared" si="3"/>
        <v>21738400000000</v>
      </c>
      <c r="AR12" s="5">
        <f t="shared" si="4"/>
        <v>3754006666666.67</v>
      </c>
      <c r="AS12" s="5">
        <f t="shared" si="5"/>
        <v>3851230000000</v>
      </c>
      <c r="AT12" s="5">
        <f t="shared" si="6"/>
        <v>3974810000000</v>
      </c>
    </row>
    <row r="13" customHeight="1" spans="1:46">
      <c r="A13" s="15">
        <v>0.011009</v>
      </c>
      <c r="B13" s="5">
        <v>0.0115558</v>
      </c>
      <c r="C13" s="5">
        <v>22583400000000</v>
      </c>
      <c r="D13" s="5">
        <v>1180490000</v>
      </c>
      <c r="E13" s="5">
        <v>0</v>
      </c>
      <c r="F13" s="5">
        <v>0</v>
      </c>
      <c r="G13" s="5">
        <v>2</v>
      </c>
      <c r="H13" s="5">
        <v>5828980000000</v>
      </c>
      <c r="I13" s="5">
        <v>4134390000000</v>
      </c>
      <c r="J13" s="5">
        <v>4124270000000</v>
      </c>
      <c r="K13" s="5">
        <v>4034150000000</v>
      </c>
      <c r="L13" s="5">
        <v>4461590000000</v>
      </c>
      <c r="M13" s="5"/>
      <c r="N13" s="15">
        <v>0.0110127</v>
      </c>
      <c r="O13" s="5">
        <v>0.0115212</v>
      </c>
      <c r="P13" s="5">
        <v>21771300000000</v>
      </c>
      <c r="Q13" s="5">
        <v>995590000</v>
      </c>
      <c r="R13" s="5">
        <v>0</v>
      </c>
      <c r="S13" s="5">
        <v>0</v>
      </c>
      <c r="T13" s="5">
        <v>2</v>
      </c>
      <c r="U13" s="5">
        <v>5302450000000</v>
      </c>
      <c r="V13" s="5">
        <v>4377920000000</v>
      </c>
      <c r="W13" s="5">
        <v>4227870000000</v>
      </c>
      <c r="X13" s="5">
        <v>3925520000000</v>
      </c>
      <c r="Y13" s="5">
        <v>3937560000000</v>
      </c>
      <c r="Z13" s="15"/>
      <c r="AA13" s="15">
        <v>0.0109868</v>
      </c>
      <c r="AB13" s="5">
        <v>0.0115351</v>
      </c>
      <c r="AC13" s="5">
        <v>21938800000000</v>
      </c>
      <c r="AD13" s="5">
        <v>1255450000</v>
      </c>
      <c r="AE13" s="5">
        <v>0</v>
      </c>
      <c r="AF13" s="5">
        <v>0</v>
      </c>
      <c r="AG13" s="5">
        <v>2</v>
      </c>
      <c r="AH13" s="5">
        <v>4241100000000</v>
      </c>
      <c r="AI13" s="5">
        <v>4802020000000</v>
      </c>
      <c r="AJ13" s="5">
        <v>4253890000000</v>
      </c>
      <c r="AK13" s="5">
        <v>4314540000000</v>
      </c>
      <c r="AL13" s="5">
        <v>4326640000000</v>
      </c>
      <c r="AM13" s="5"/>
      <c r="AN13" s="21">
        <f t="shared" si="0"/>
        <v>0.011009</v>
      </c>
      <c r="AO13" s="21">
        <f t="shared" si="1"/>
        <v>22097833333333.3</v>
      </c>
      <c r="AP13" s="5">
        <f t="shared" si="2"/>
        <v>21771300000000</v>
      </c>
      <c r="AQ13" s="5">
        <f t="shared" si="3"/>
        <v>22583400000000</v>
      </c>
      <c r="AR13" s="5">
        <f t="shared" si="4"/>
        <v>4241930000000</v>
      </c>
      <c r="AS13" s="5">
        <f t="shared" si="5"/>
        <v>3937560000000</v>
      </c>
      <c r="AT13" s="5">
        <f t="shared" si="6"/>
        <v>4461590000000</v>
      </c>
    </row>
    <row r="14" customHeight="1" spans="1:46">
      <c r="A14" s="15">
        <v>0.0119627</v>
      </c>
      <c r="B14" s="5">
        <v>0.0125104</v>
      </c>
      <c r="C14" s="5">
        <v>22745200000000</v>
      </c>
      <c r="D14" s="5">
        <v>992556000</v>
      </c>
      <c r="E14" s="5">
        <v>0</v>
      </c>
      <c r="F14" s="5">
        <v>0</v>
      </c>
      <c r="G14" s="5">
        <v>2</v>
      </c>
      <c r="H14" s="5">
        <v>6075080000000</v>
      </c>
      <c r="I14" s="5">
        <v>4270950000000</v>
      </c>
      <c r="J14" s="5">
        <v>4176780000000</v>
      </c>
      <c r="K14" s="5">
        <v>4067220000000</v>
      </c>
      <c r="L14" s="5">
        <v>4155020000000</v>
      </c>
      <c r="M14" s="5"/>
      <c r="N14" s="15">
        <v>0.0119983</v>
      </c>
      <c r="O14" s="5">
        <v>0.0125184</v>
      </c>
      <c r="P14" s="5">
        <v>22062400000000</v>
      </c>
      <c r="Q14" s="5">
        <v>1363280000</v>
      </c>
      <c r="R14" s="5">
        <v>0</v>
      </c>
      <c r="S14" s="5">
        <v>0</v>
      </c>
      <c r="T14" s="5">
        <v>2</v>
      </c>
      <c r="U14" s="5">
        <v>5413470000000</v>
      </c>
      <c r="V14" s="5">
        <v>4248240000000</v>
      </c>
      <c r="W14" s="5">
        <v>3977460000000</v>
      </c>
      <c r="X14" s="5">
        <v>3585070000000</v>
      </c>
      <c r="Y14" s="5">
        <v>4838100000000</v>
      </c>
      <c r="Z14" s="15"/>
      <c r="AA14" s="15">
        <v>0.0120279</v>
      </c>
      <c r="AB14" s="5">
        <v>0.0125499</v>
      </c>
      <c r="AC14" s="5">
        <v>21520800000000</v>
      </c>
      <c r="AD14" s="5">
        <v>1283380000</v>
      </c>
      <c r="AE14" s="5">
        <v>0</v>
      </c>
      <c r="AF14" s="5">
        <v>0</v>
      </c>
      <c r="AG14" s="5">
        <v>2</v>
      </c>
      <c r="AH14" s="5">
        <v>4343790000000</v>
      </c>
      <c r="AI14" s="5">
        <v>4527740000000</v>
      </c>
      <c r="AJ14" s="5">
        <v>4309800000000</v>
      </c>
      <c r="AK14" s="5">
        <v>4652080000000</v>
      </c>
      <c r="AL14" s="5">
        <v>3687110000000</v>
      </c>
      <c r="AM14" s="5"/>
      <c r="AN14" s="21">
        <f t="shared" si="0"/>
        <v>0.0119627</v>
      </c>
      <c r="AO14" s="21">
        <f t="shared" si="1"/>
        <v>22109466666666.7</v>
      </c>
      <c r="AP14" s="5">
        <f t="shared" si="2"/>
        <v>21520800000000</v>
      </c>
      <c r="AQ14" s="5">
        <f t="shared" si="3"/>
        <v>22745200000000</v>
      </c>
      <c r="AR14" s="5">
        <f t="shared" si="4"/>
        <v>4226743333333.33</v>
      </c>
      <c r="AS14" s="5">
        <f t="shared" si="5"/>
        <v>4155020000000</v>
      </c>
      <c r="AT14" s="5">
        <f t="shared" si="6"/>
        <v>4838100000000</v>
      </c>
    </row>
    <row r="15" customHeight="1" spans="1:46">
      <c r="A15" s="15">
        <v>0.0130151</v>
      </c>
      <c r="B15" s="5">
        <v>0.0135623</v>
      </c>
      <c r="C15" s="5">
        <v>21975600000000</v>
      </c>
      <c r="D15" s="5">
        <v>914894000</v>
      </c>
      <c r="E15" s="5">
        <v>0</v>
      </c>
      <c r="F15" s="5">
        <v>0</v>
      </c>
      <c r="G15" s="5">
        <v>2</v>
      </c>
      <c r="H15" s="5">
        <v>5043510000000</v>
      </c>
      <c r="I15" s="5">
        <v>4229650000000</v>
      </c>
      <c r="J15" s="5">
        <v>4548930000000</v>
      </c>
      <c r="K15" s="5">
        <v>4309020000000</v>
      </c>
      <c r="L15" s="5">
        <v>3844360000000</v>
      </c>
      <c r="M15" s="5"/>
      <c r="N15" s="15">
        <v>0.0130203</v>
      </c>
      <c r="O15" s="5">
        <v>0.013542</v>
      </c>
      <c r="P15" s="5">
        <v>21367900000000</v>
      </c>
      <c r="Q15" s="5">
        <v>1936480000</v>
      </c>
      <c r="R15" s="5">
        <v>0</v>
      </c>
      <c r="S15" s="5">
        <v>0</v>
      </c>
      <c r="T15" s="5">
        <v>2</v>
      </c>
      <c r="U15" s="5">
        <v>4984490000000</v>
      </c>
      <c r="V15" s="5">
        <v>3820900000000</v>
      </c>
      <c r="W15" s="5">
        <v>4074870000000</v>
      </c>
      <c r="X15" s="5">
        <v>3961100000000</v>
      </c>
      <c r="Y15" s="5">
        <v>4526080000000</v>
      </c>
      <c r="Z15" s="15"/>
      <c r="AA15" s="15">
        <v>0.0130108</v>
      </c>
      <c r="AB15" s="5">
        <v>0.0135199</v>
      </c>
      <c r="AC15" s="5">
        <v>21633100000000</v>
      </c>
      <c r="AD15" s="5">
        <v>678511000</v>
      </c>
      <c r="AE15" s="5">
        <v>0</v>
      </c>
      <c r="AF15" s="5">
        <v>0</v>
      </c>
      <c r="AG15" s="5">
        <v>2</v>
      </c>
      <c r="AH15" s="5">
        <v>4369030000000</v>
      </c>
      <c r="AI15" s="5">
        <v>4361520000000</v>
      </c>
      <c r="AJ15" s="5">
        <v>4767210000000</v>
      </c>
      <c r="AK15" s="5">
        <v>4947200000000</v>
      </c>
      <c r="AL15" s="5">
        <v>3188120000000</v>
      </c>
      <c r="AM15" s="5"/>
      <c r="AN15" s="21">
        <f t="shared" si="0"/>
        <v>0.0130151</v>
      </c>
      <c r="AO15" s="21">
        <f t="shared" si="1"/>
        <v>21658866666666.7</v>
      </c>
      <c r="AP15" s="5">
        <f t="shared" si="2"/>
        <v>21367900000000</v>
      </c>
      <c r="AQ15" s="5">
        <f t="shared" si="3"/>
        <v>21975600000000</v>
      </c>
      <c r="AR15" s="5">
        <f t="shared" si="4"/>
        <v>3852853333333.33</v>
      </c>
      <c r="AS15" s="5">
        <f t="shared" si="5"/>
        <v>3844360000000</v>
      </c>
      <c r="AT15" s="5">
        <f t="shared" si="6"/>
        <v>4526080000000</v>
      </c>
    </row>
    <row r="16" customHeight="1" spans="1:46">
      <c r="A16" s="15">
        <v>0.014013</v>
      </c>
      <c r="B16" s="5">
        <v>0.0145572</v>
      </c>
      <c r="C16" s="5">
        <v>22450000000000</v>
      </c>
      <c r="D16" s="5">
        <v>869146000</v>
      </c>
      <c r="E16" s="5">
        <v>0</v>
      </c>
      <c r="F16" s="5">
        <v>0</v>
      </c>
      <c r="G16" s="5">
        <v>2</v>
      </c>
      <c r="H16" s="5">
        <v>4994000000000</v>
      </c>
      <c r="I16" s="5">
        <v>4490480000000</v>
      </c>
      <c r="J16" s="5">
        <v>4548040000000</v>
      </c>
      <c r="K16" s="5">
        <v>4367550000000</v>
      </c>
      <c r="L16" s="5">
        <v>4049890000000</v>
      </c>
      <c r="M16" s="5"/>
      <c r="N16" s="15">
        <v>0.0140089</v>
      </c>
      <c r="O16" s="5">
        <v>0.0145346</v>
      </c>
      <c r="P16" s="5">
        <v>22013200000000</v>
      </c>
      <c r="Q16" s="5">
        <v>1274900000</v>
      </c>
      <c r="R16" s="5">
        <v>0</v>
      </c>
      <c r="S16" s="5">
        <v>0</v>
      </c>
      <c r="T16" s="5">
        <v>2</v>
      </c>
      <c r="U16" s="5">
        <v>5064600000000</v>
      </c>
      <c r="V16" s="5">
        <v>4010430000000</v>
      </c>
      <c r="W16" s="5">
        <v>3833970000000</v>
      </c>
      <c r="X16" s="5">
        <v>4134000000000</v>
      </c>
      <c r="Y16" s="5">
        <v>4969860000000</v>
      </c>
      <c r="Z16" s="15"/>
      <c r="AA16" s="15">
        <v>0.0139805</v>
      </c>
      <c r="AB16" s="5">
        <v>0.014477</v>
      </c>
      <c r="AC16" s="5">
        <v>21445000000000</v>
      </c>
      <c r="AD16" s="5">
        <v>745698000</v>
      </c>
      <c r="AE16" s="5">
        <v>0</v>
      </c>
      <c r="AF16" s="5">
        <v>0</v>
      </c>
      <c r="AG16" s="5">
        <v>2</v>
      </c>
      <c r="AH16" s="5">
        <v>4620370000000</v>
      </c>
      <c r="AI16" s="5">
        <v>4843140000000</v>
      </c>
      <c r="AJ16" s="5">
        <v>4688690000000</v>
      </c>
      <c r="AK16" s="5">
        <v>4444900000000</v>
      </c>
      <c r="AL16" s="5">
        <v>2847890000000</v>
      </c>
      <c r="AM16" s="5"/>
      <c r="AN16" s="21">
        <f t="shared" si="0"/>
        <v>0.014013</v>
      </c>
      <c r="AO16" s="21">
        <f t="shared" si="1"/>
        <v>21969400000000</v>
      </c>
      <c r="AP16" s="5">
        <f t="shared" si="2"/>
        <v>21445000000000</v>
      </c>
      <c r="AQ16" s="5">
        <f t="shared" si="3"/>
        <v>22450000000000</v>
      </c>
      <c r="AR16" s="5">
        <f t="shared" si="4"/>
        <v>3955880000000</v>
      </c>
      <c r="AS16" s="5">
        <f t="shared" si="5"/>
        <v>4049890000000</v>
      </c>
      <c r="AT16" s="5">
        <f t="shared" si="6"/>
        <v>4969860000000</v>
      </c>
    </row>
    <row r="17" customHeight="1" spans="1:46">
      <c r="A17" s="15">
        <v>0.0149773</v>
      </c>
      <c r="B17" s="5">
        <v>0.0155113</v>
      </c>
      <c r="C17" s="5">
        <v>22687900000000</v>
      </c>
      <c r="D17" s="5">
        <v>1385550000</v>
      </c>
      <c r="E17" s="5">
        <v>0</v>
      </c>
      <c r="F17" s="5">
        <v>0</v>
      </c>
      <c r="G17" s="5">
        <v>2</v>
      </c>
      <c r="H17" s="5">
        <v>5619170000000</v>
      </c>
      <c r="I17" s="5">
        <v>4235750000000</v>
      </c>
      <c r="J17" s="5">
        <v>4383360000000</v>
      </c>
      <c r="K17" s="5">
        <v>4071810000000</v>
      </c>
      <c r="L17" s="5">
        <v>4377670000000</v>
      </c>
      <c r="M17" s="5"/>
      <c r="N17" s="15">
        <v>0.0149751</v>
      </c>
      <c r="O17" s="5">
        <v>0.0155191</v>
      </c>
      <c r="P17" s="5">
        <v>22373200000000</v>
      </c>
      <c r="Q17" s="5">
        <v>931675000</v>
      </c>
      <c r="R17" s="5">
        <v>0</v>
      </c>
      <c r="S17" s="5">
        <v>0</v>
      </c>
      <c r="T17" s="5">
        <v>2</v>
      </c>
      <c r="U17" s="5">
        <v>5260940000000</v>
      </c>
      <c r="V17" s="5">
        <v>3641880000000</v>
      </c>
      <c r="W17" s="5">
        <v>3748920000000</v>
      </c>
      <c r="X17" s="5">
        <v>4344710000000</v>
      </c>
      <c r="Y17" s="5">
        <v>5376020000000</v>
      </c>
      <c r="Z17" s="15"/>
      <c r="AA17" s="15">
        <v>0.0150274</v>
      </c>
      <c r="AB17" s="5">
        <v>0.0155308</v>
      </c>
      <c r="AC17" s="5">
        <v>21746600000000</v>
      </c>
      <c r="AD17" s="5">
        <v>1148980000</v>
      </c>
      <c r="AE17" s="5">
        <v>0</v>
      </c>
      <c r="AF17" s="5">
        <v>0</v>
      </c>
      <c r="AG17" s="5">
        <v>2</v>
      </c>
      <c r="AH17" s="5">
        <v>4810600000000</v>
      </c>
      <c r="AI17" s="5">
        <v>4562540000000</v>
      </c>
      <c r="AJ17" s="5">
        <v>4786370000000</v>
      </c>
      <c r="AK17" s="5">
        <v>4666010000000</v>
      </c>
      <c r="AL17" s="5">
        <v>2921040000000</v>
      </c>
      <c r="AM17" s="5"/>
      <c r="AN17" s="21">
        <f t="shared" si="0"/>
        <v>0.0149773</v>
      </c>
      <c r="AO17" s="21">
        <f t="shared" si="1"/>
        <v>22269233333333.3</v>
      </c>
      <c r="AP17" s="5">
        <f t="shared" si="2"/>
        <v>21746600000000</v>
      </c>
      <c r="AQ17" s="5">
        <f t="shared" si="3"/>
        <v>22687900000000</v>
      </c>
      <c r="AR17" s="5">
        <f t="shared" si="4"/>
        <v>4224910000000</v>
      </c>
      <c r="AS17" s="5">
        <f t="shared" si="5"/>
        <v>4377670000000</v>
      </c>
      <c r="AT17" s="5">
        <f t="shared" si="6"/>
        <v>5376020000000</v>
      </c>
    </row>
    <row r="18" customHeight="1" spans="1:46">
      <c r="A18" s="15">
        <v>0.0159849</v>
      </c>
      <c r="B18" s="5">
        <v>0.0164767</v>
      </c>
      <c r="C18" s="5">
        <v>22246000000000</v>
      </c>
      <c r="D18" s="5">
        <v>1105030000</v>
      </c>
      <c r="E18" s="5">
        <v>0</v>
      </c>
      <c r="F18" s="5">
        <v>0</v>
      </c>
      <c r="G18" s="5">
        <v>2</v>
      </c>
      <c r="H18" s="5">
        <v>5117530000000</v>
      </c>
      <c r="I18" s="5">
        <v>4403480000000</v>
      </c>
      <c r="J18" s="5">
        <v>4474790000000</v>
      </c>
      <c r="K18" s="5">
        <v>4313060000000</v>
      </c>
      <c r="L18" s="5">
        <v>3936820000000</v>
      </c>
      <c r="M18" s="5"/>
      <c r="N18" s="15">
        <v>0.0160076</v>
      </c>
      <c r="O18" s="5">
        <v>0.0165498</v>
      </c>
      <c r="P18" s="5">
        <v>21942600000000</v>
      </c>
      <c r="Q18" s="5">
        <v>1145600000</v>
      </c>
      <c r="R18" s="5">
        <v>0</v>
      </c>
      <c r="S18" s="5">
        <v>0</v>
      </c>
      <c r="T18" s="5">
        <v>2</v>
      </c>
      <c r="U18" s="5">
        <v>5166370000000</v>
      </c>
      <c r="V18" s="5">
        <v>3939520000000</v>
      </c>
      <c r="W18" s="5">
        <v>3996310000000</v>
      </c>
      <c r="X18" s="5">
        <v>4309730000000</v>
      </c>
      <c r="Y18" s="5">
        <v>4529790000000</v>
      </c>
      <c r="Z18" s="15"/>
      <c r="AA18" s="15">
        <v>0.0159683</v>
      </c>
      <c r="AB18" s="5">
        <v>0.0165303</v>
      </c>
      <c r="AC18" s="5">
        <v>21869500000000</v>
      </c>
      <c r="AD18" s="5">
        <v>836272000</v>
      </c>
      <c r="AE18" s="5">
        <v>0</v>
      </c>
      <c r="AF18" s="5">
        <v>0</v>
      </c>
      <c r="AG18" s="5">
        <v>2</v>
      </c>
      <c r="AH18" s="5">
        <v>4348170000000</v>
      </c>
      <c r="AI18" s="5">
        <v>4380960000000</v>
      </c>
      <c r="AJ18" s="5">
        <v>4762700000000</v>
      </c>
      <c r="AK18" s="5">
        <v>4356490000000</v>
      </c>
      <c r="AL18" s="5">
        <v>4021190000000</v>
      </c>
      <c r="AM18" s="5"/>
      <c r="AN18" s="21">
        <f t="shared" si="0"/>
        <v>0.0159849</v>
      </c>
      <c r="AO18" s="21">
        <f t="shared" si="1"/>
        <v>22019366666666.7</v>
      </c>
      <c r="AP18" s="5">
        <f t="shared" si="2"/>
        <v>21869500000000</v>
      </c>
      <c r="AQ18" s="5">
        <f t="shared" si="3"/>
        <v>22246000000000</v>
      </c>
      <c r="AR18" s="5">
        <f t="shared" si="4"/>
        <v>4162600000000</v>
      </c>
      <c r="AS18" s="5">
        <f t="shared" si="5"/>
        <v>3936820000000</v>
      </c>
      <c r="AT18" s="5">
        <f t="shared" si="6"/>
        <v>4529790000000</v>
      </c>
    </row>
    <row r="19" customHeight="1" spans="1:46">
      <c r="A19" s="15">
        <v>0.0170388</v>
      </c>
      <c r="B19" s="5">
        <v>0.0175665</v>
      </c>
      <c r="C19" s="5">
        <v>22591300000000</v>
      </c>
      <c r="D19" s="5">
        <v>909982000</v>
      </c>
      <c r="E19" s="5">
        <v>0</v>
      </c>
      <c r="F19" s="5">
        <v>0</v>
      </c>
      <c r="G19" s="5">
        <v>2</v>
      </c>
      <c r="H19" s="5">
        <v>5499630000000</v>
      </c>
      <c r="I19" s="5">
        <v>4551230000000</v>
      </c>
      <c r="J19" s="5">
        <v>4199150000000</v>
      </c>
      <c r="K19" s="5">
        <v>4154080000000</v>
      </c>
      <c r="L19" s="5">
        <v>4186970000000</v>
      </c>
      <c r="M19" s="5"/>
      <c r="N19" s="15">
        <v>0.0170012</v>
      </c>
      <c r="O19" s="5">
        <v>0.0175236</v>
      </c>
      <c r="P19" s="5">
        <v>22019100000000</v>
      </c>
      <c r="Q19" s="5">
        <v>1385050000</v>
      </c>
      <c r="R19" s="5">
        <v>0</v>
      </c>
      <c r="S19" s="5">
        <v>0</v>
      </c>
      <c r="T19" s="5">
        <v>2</v>
      </c>
      <c r="U19" s="5">
        <v>5350280000000</v>
      </c>
      <c r="V19" s="5">
        <v>4171240000000</v>
      </c>
      <c r="W19" s="5">
        <v>3947610000000</v>
      </c>
      <c r="X19" s="5">
        <v>4112010000000</v>
      </c>
      <c r="Y19" s="5">
        <v>4437730000000</v>
      </c>
      <c r="Z19" s="15"/>
      <c r="AA19" s="15">
        <v>0.0169766</v>
      </c>
      <c r="AB19" s="5">
        <v>0.0174985</v>
      </c>
      <c r="AC19" s="5">
        <v>21644300000000</v>
      </c>
      <c r="AD19" s="5">
        <v>1072930000</v>
      </c>
      <c r="AE19" s="5">
        <v>0</v>
      </c>
      <c r="AF19" s="5">
        <v>0</v>
      </c>
      <c r="AG19" s="5">
        <v>2</v>
      </c>
      <c r="AH19" s="5">
        <v>4304940000000</v>
      </c>
      <c r="AI19" s="5">
        <v>4418480000000</v>
      </c>
      <c r="AJ19" s="5">
        <v>4944230000000</v>
      </c>
      <c r="AK19" s="5">
        <v>4121980000000</v>
      </c>
      <c r="AL19" s="5">
        <v>3853800000000</v>
      </c>
      <c r="AM19" s="5"/>
      <c r="AN19" s="21">
        <f t="shared" si="0"/>
        <v>0.0170388</v>
      </c>
      <c r="AO19" s="21">
        <f t="shared" si="1"/>
        <v>22084900000000</v>
      </c>
      <c r="AP19" s="5">
        <f t="shared" si="2"/>
        <v>21644300000000</v>
      </c>
      <c r="AQ19" s="5">
        <f t="shared" si="3"/>
        <v>22591300000000</v>
      </c>
      <c r="AR19" s="5">
        <f t="shared" si="4"/>
        <v>4159500000000</v>
      </c>
      <c r="AS19" s="5">
        <f t="shared" si="5"/>
        <v>4121980000000</v>
      </c>
      <c r="AT19" s="5">
        <f t="shared" si="6"/>
        <v>4437730000000</v>
      </c>
    </row>
    <row r="20" customHeight="1" spans="1:46">
      <c r="A20" s="15">
        <v>0.0180022</v>
      </c>
      <c r="B20" s="5">
        <v>0.0185432</v>
      </c>
      <c r="C20" s="5">
        <v>22635200000000</v>
      </c>
      <c r="D20" s="5">
        <v>1088860000</v>
      </c>
      <c r="E20" s="5">
        <v>0</v>
      </c>
      <c r="F20" s="5">
        <v>0</v>
      </c>
      <c r="G20" s="5">
        <v>2</v>
      </c>
      <c r="H20" s="5">
        <v>5784750000000</v>
      </c>
      <c r="I20" s="5">
        <v>4304500000000</v>
      </c>
      <c r="J20" s="5">
        <v>4000200000000</v>
      </c>
      <c r="K20" s="5">
        <v>4373540000000</v>
      </c>
      <c r="L20" s="5">
        <v>4172070000000</v>
      </c>
      <c r="N20" s="15">
        <v>0.0180101</v>
      </c>
      <c r="O20" s="5">
        <v>0.0185668</v>
      </c>
      <c r="P20" s="5">
        <v>21348200000000</v>
      </c>
      <c r="Q20" s="5">
        <v>1402030000</v>
      </c>
      <c r="R20" s="5">
        <v>0</v>
      </c>
      <c r="S20" s="5">
        <v>0</v>
      </c>
      <c r="T20" s="5">
        <v>2</v>
      </c>
      <c r="U20" s="5">
        <v>5138150000000</v>
      </c>
      <c r="V20" s="5">
        <v>3982930000000</v>
      </c>
      <c r="W20" s="5">
        <v>3537910000000</v>
      </c>
      <c r="X20" s="5">
        <v>3685620000000</v>
      </c>
      <c r="Y20" s="5">
        <v>5003270000000</v>
      </c>
      <c r="Z20" s="15"/>
      <c r="AA20" s="15">
        <v>0.0179848</v>
      </c>
      <c r="AB20" s="5">
        <v>0.0184983</v>
      </c>
      <c r="AC20" s="5">
        <v>20861700000000</v>
      </c>
      <c r="AD20" s="5">
        <v>1281040000</v>
      </c>
      <c r="AE20" s="5">
        <v>0</v>
      </c>
      <c r="AF20" s="5">
        <v>0</v>
      </c>
      <c r="AG20" s="5">
        <v>2</v>
      </c>
      <c r="AH20" s="5">
        <v>4222150000000</v>
      </c>
      <c r="AI20" s="5">
        <v>4284880000000</v>
      </c>
      <c r="AJ20" s="5">
        <v>4363560000000</v>
      </c>
      <c r="AK20" s="5">
        <v>4090060000000</v>
      </c>
      <c r="AL20" s="5">
        <v>3900940000000</v>
      </c>
      <c r="AM20" s="5"/>
      <c r="AN20" s="21">
        <f t="shared" si="0"/>
        <v>0.0180022</v>
      </c>
      <c r="AO20" s="21">
        <f t="shared" si="1"/>
        <v>21615033333333.3</v>
      </c>
      <c r="AP20" s="5">
        <f t="shared" si="2"/>
        <v>20861700000000</v>
      </c>
      <c r="AQ20" s="5">
        <f t="shared" si="3"/>
        <v>22635200000000</v>
      </c>
      <c r="AR20" s="5">
        <f t="shared" si="4"/>
        <v>4358760000000</v>
      </c>
      <c r="AS20" s="5">
        <f t="shared" si="5"/>
        <v>4090060000000</v>
      </c>
      <c r="AT20" s="5">
        <f t="shared" si="6"/>
        <v>5003270000000</v>
      </c>
    </row>
    <row r="21" customHeight="1" spans="1:46">
      <c r="A21" s="15">
        <v>0.0189797</v>
      </c>
      <c r="B21" s="5">
        <v>0.0195309</v>
      </c>
      <c r="C21" s="5">
        <v>22215500000000</v>
      </c>
      <c r="D21" s="5">
        <v>1159140000</v>
      </c>
      <c r="E21" s="5">
        <v>0</v>
      </c>
      <c r="F21" s="5">
        <v>0</v>
      </c>
      <c r="G21" s="5">
        <v>2</v>
      </c>
      <c r="H21" s="5">
        <v>5478740000000</v>
      </c>
      <c r="I21" s="5">
        <v>4628310000000</v>
      </c>
      <c r="J21" s="5">
        <v>4050540000000</v>
      </c>
      <c r="K21" s="5">
        <v>3862420000000</v>
      </c>
      <c r="L21" s="5">
        <v>4194430000000</v>
      </c>
      <c r="N21" s="15">
        <v>0.0189844</v>
      </c>
      <c r="O21" s="5">
        <v>0.019536</v>
      </c>
      <c r="P21" s="5">
        <v>21856900000000</v>
      </c>
      <c r="Q21" s="5">
        <v>1390060000</v>
      </c>
      <c r="R21" s="5">
        <v>0</v>
      </c>
      <c r="S21" s="5">
        <v>0</v>
      </c>
      <c r="T21" s="5">
        <v>2</v>
      </c>
      <c r="U21" s="5">
        <v>5188640000000</v>
      </c>
      <c r="V21" s="5">
        <v>4130250000000</v>
      </c>
      <c r="W21" s="5">
        <v>3957730000000</v>
      </c>
      <c r="X21" s="5">
        <v>4127750000000</v>
      </c>
      <c r="Y21" s="5">
        <v>4451910000000</v>
      </c>
      <c r="Z21" s="15"/>
      <c r="AA21" s="15">
        <v>0.0190148</v>
      </c>
      <c r="AB21" s="5">
        <v>0.0195472</v>
      </c>
      <c r="AC21" s="5">
        <v>21375600000000</v>
      </c>
      <c r="AD21" s="5">
        <v>1121900000</v>
      </c>
      <c r="AE21" s="5">
        <v>0</v>
      </c>
      <c r="AF21" s="5">
        <v>0</v>
      </c>
      <c r="AG21" s="5">
        <v>2</v>
      </c>
      <c r="AH21" s="5">
        <v>4291560000000</v>
      </c>
      <c r="AI21" s="5">
        <v>4405990000000</v>
      </c>
      <c r="AJ21" s="5">
        <v>4458620000000</v>
      </c>
      <c r="AK21" s="5">
        <v>4431400000000</v>
      </c>
      <c r="AL21" s="5">
        <v>3788000000000</v>
      </c>
      <c r="AM21" s="5"/>
      <c r="AN21" s="21">
        <f t="shared" si="0"/>
        <v>0.0189797</v>
      </c>
      <c r="AO21" s="21">
        <f t="shared" si="1"/>
        <v>21816000000000</v>
      </c>
      <c r="AP21" s="5">
        <f t="shared" si="2"/>
        <v>21375600000000</v>
      </c>
      <c r="AQ21" s="5">
        <f t="shared" si="3"/>
        <v>22215500000000</v>
      </c>
      <c r="AR21" s="5">
        <f t="shared" si="4"/>
        <v>4144780000000</v>
      </c>
      <c r="AS21" s="5">
        <f t="shared" si="5"/>
        <v>4194430000000</v>
      </c>
      <c r="AT21" s="5">
        <f t="shared" si="6"/>
        <v>4451910000000</v>
      </c>
    </row>
    <row r="22" customHeight="1" spans="1:46">
      <c r="A22" s="15">
        <v>0.0199746</v>
      </c>
      <c r="B22" s="5">
        <v>0.02047</v>
      </c>
      <c r="C22" s="5">
        <v>21646800000000</v>
      </c>
      <c r="D22" s="5">
        <v>932406000</v>
      </c>
      <c r="E22" s="5">
        <v>0</v>
      </c>
      <c r="F22" s="5">
        <v>0</v>
      </c>
      <c r="G22" s="5">
        <v>2</v>
      </c>
      <c r="H22" s="5">
        <v>5105300000000</v>
      </c>
      <c r="I22" s="5">
        <v>4436680000000</v>
      </c>
      <c r="J22" s="5">
        <v>4130830000000</v>
      </c>
      <c r="K22" s="5">
        <v>3987690000000</v>
      </c>
      <c r="L22" s="5">
        <v>3985910000000</v>
      </c>
      <c r="N22" s="15">
        <v>0.0200084</v>
      </c>
      <c r="O22" s="5">
        <v>0.0205171</v>
      </c>
      <c r="P22" s="5">
        <v>22024900000000</v>
      </c>
      <c r="Q22" s="5">
        <v>731599000</v>
      </c>
      <c r="R22" s="5">
        <v>0</v>
      </c>
      <c r="S22" s="5">
        <v>0</v>
      </c>
      <c r="T22" s="5">
        <v>2</v>
      </c>
      <c r="U22" s="5">
        <v>5137970000000</v>
      </c>
      <c r="V22" s="5">
        <v>4586410000000</v>
      </c>
      <c r="W22" s="5">
        <v>4208130000000</v>
      </c>
      <c r="X22" s="5">
        <v>4266020000000</v>
      </c>
      <c r="Y22" s="5">
        <v>3826250000000</v>
      </c>
      <c r="Z22" s="15"/>
      <c r="AA22" s="15">
        <v>0.0200384</v>
      </c>
      <c r="AB22" s="5">
        <v>0.0205812</v>
      </c>
      <c r="AC22" s="5">
        <v>21608500000000</v>
      </c>
      <c r="AD22" s="5">
        <v>1437940000</v>
      </c>
      <c r="AE22" s="5">
        <v>0</v>
      </c>
      <c r="AF22" s="5">
        <v>0</v>
      </c>
      <c r="AG22" s="5">
        <v>2</v>
      </c>
      <c r="AH22" s="5">
        <v>4242240000000</v>
      </c>
      <c r="AI22" s="5">
        <v>4849140000000</v>
      </c>
      <c r="AJ22" s="5">
        <v>4300030000000</v>
      </c>
      <c r="AK22" s="5">
        <v>4410280000000</v>
      </c>
      <c r="AL22" s="5">
        <v>3806780000000</v>
      </c>
      <c r="AM22" s="5"/>
      <c r="AN22" s="21">
        <f t="shared" si="0"/>
        <v>0.0199746</v>
      </c>
      <c r="AO22" s="21">
        <f t="shared" si="1"/>
        <v>21760066666666.7</v>
      </c>
      <c r="AP22" s="5">
        <f t="shared" si="2"/>
        <v>21608500000000</v>
      </c>
      <c r="AQ22" s="5">
        <f t="shared" si="3"/>
        <v>22024900000000</v>
      </c>
      <c r="AR22" s="5">
        <f t="shared" si="4"/>
        <v>3872980000000</v>
      </c>
      <c r="AS22" s="5">
        <f t="shared" si="5"/>
        <v>3826250000000</v>
      </c>
      <c r="AT22" s="5">
        <f t="shared" si="6"/>
        <v>3985910000000</v>
      </c>
    </row>
    <row r="23" customHeight="1" spans="1:46">
      <c r="A23" s="15">
        <v>0.0210202</v>
      </c>
      <c r="B23" s="5">
        <v>0.0215052</v>
      </c>
      <c r="C23" s="5">
        <v>21700700000000</v>
      </c>
      <c r="D23" s="5">
        <v>851502000</v>
      </c>
      <c r="E23" s="5">
        <v>0</v>
      </c>
      <c r="F23" s="5">
        <v>0</v>
      </c>
      <c r="G23" s="5">
        <v>2</v>
      </c>
      <c r="H23" s="5">
        <v>5203320000000</v>
      </c>
      <c r="I23" s="5">
        <v>4624880000000</v>
      </c>
      <c r="J23" s="5">
        <v>4356720000000</v>
      </c>
      <c r="K23" s="5">
        <v>4245360000000</v>
      </c>
      <c r="L23" s="5">
        <v>3270220000000</v>
      </c>
      <c r="N23" s="15">
        <v>0.0210205</v>
      </c>
      <c r="O23" s="5">
        <v>0.021495</v>
      </c>
      <c r="P23" s="5">
        <v>22373700000000</v>
      </c>
      <c r="Q23" s="5">
        <v>1121170000</v>
      </c>
      <c r="R23" s="5">
        <v>0</v>
      </c>
      <c r="S23" s="5">
        <v>0</v>
      </c>
      <c r="T23" s="5">
        <v>2</v>
      </c>
      <c r="U23" s="5">
        <v>5101100000000</v>
      </c>
      <c r="V23" s="5">
        <v>5150180000000</v>
      </c>
      <c r="W23" s="5">
        <v>4165670000000</v>
      </c>
      <c r="X23" s="5">
        <v>4090840000000</v>
      </c>
      <c r="Y23" s="5">
        <v>3865900000000</v>
      </c>
      <c r="Z23" s="15"/>
      <c r="AA23" s="15">
        <v>0.0209673</v>
      </c>
      <c r="AB23" s="5">
        <v>0.0214975</v>
      </c>
      <c r="AC23" s="5">
        <v>21621000000000</v>
      </c>
      <c r="AD23" s="5">
        <v>1376170000</v>
      </c>
      <c r="AE23" s="5">
        <v>0</v>
      </c>
      <c r="AF23" s="5">
        <v>0</v>
      </c>
      <c r="AG23" s="5">
        <v>2</v>
      </c>
      <c r="AH23" s="5">
        <v>4435200000000</v>
      </c>
      <c r="AI23" s="5">
        <v>4434810000000</v>
      </c>
      <c r="AJ23" s="5">
        <v>4066160000000</v>
      </c>
      <c r="AK23" s="5">
        <v>4282380000000</v>
      </c>
      <c r="AL23" s="5">
        <v>4402360000000</v>
      </c>
      <c r="AM23" s="5"/>
      <c r="AN23" s="21">
        <f t="shared" si="0"/>
        <v>0.0210202</v>
      </c>
      <c r="AO23" s="21">
        <f t="shared" si="1"/>
        <v>21898466666666.7</v>
      </c>
      <c r="AP23" s="5">
        <f t="shared" si="2"/>
        <v>21621000000000</v>
      </c>
      <c r="AQ23" s="5">
        <f t="shared" si="3"/>
        <v>22373700000000</v>
      </c>
      <c r="AR23" s="5">
        <f t="shared" si="4"/>
        <v>3846160000000</v>
      </c>
      <c r="AS23" s="5">
        <f t="shared" si="5"/>
        <v>3270220000000</v>
      </c>
      <c r="AT23" s="5">
        <f t="shared" si="6"/>
        <v>4402360000000</v>
      </c>
    </row>
    <row r="24" customHeight="1" spans="1:46">
      <c r="A24" s="15">
        <v>0.0220134</v>
      </c>
      <c r="B24" s="5">
        <v>0.0225011</v>
      </c>
      <c r="C24" s="5">
        <v>21860700000000</v>
      </c>
      <c r="D24" s="5">
        <v>1058830000</v>
      </c>
      <c r="E24" s="5">
        <v>0</v>
      </c>
      <c r="F24" s="5">
        <v>0</v>
      </c>
      <c r="G24" s="5">
        <v>2</v>
      </c>
      <c r="H24" s="5">
        <v>4772540000000</v>
      </c>
      <c r="I24" s="5">
        <v>4942130000000</v>
      </c>
      <c r="J24" s="5">
        <v>4532840000000</v>
      </c>
      <c r="K24" s="5">
        <v>4575360000000</v>
      </c>
      <c r="L24" s="5">
        <v>3037740000000</v>
      </c>
      <c r="N24" s="15">
        <v>0.0219861</v>
      </c>
      <c r="O24" s="5">
        <v>0.0224928</v>
      </c>
      <c r="P24" s="5">
        <v>21634600000000</v>
      </c>
      <c r="Q24" s="5">
        <v>576163000</v>
      </c>
      <c r="R24" s="5">
        <v>0</v>
      </c>
      <c r="S24" s="5">
        <v>0</v>
      </c>
      <c r="T24" s="5">
        <v>2</v>
      </c>
      <c r="U24" s="5">
        <v>4886140000000</v>
      </c>
      <c r="V24" s="5">
        <v>4488330000000</v>
      </c>
      <c r="W24" s="5">
        <v>4304290000000</v>
      </c>
      <c r="X24" s="5">
        <v>4037620000000</v>
      </c>
      <c r="Y24" s="5">
        <v>3918200000000</v>
      </c>
      <c r="AA24" s="15">
        <v>0.0219614</v>
      </c>
      <c r="AB24" s="5">
        <v>0.0225053</v>
      </c>
      <c r="AC24" s="5">
        <v>21182500000000</v>
      </c>
      <c r="AD24" s="5">
        <v>994111000</v>
      </c>
      <c r="AE24" s="5">
        <v>0</v>
      </c>
      <c r="AF24" s="5">
        <v>0</v>
      </c>
      <c r="AG24" s="5">
        <v>2</v>
      </c>
      <c r="AH24" s="5">
        <v>4465930000000</v>
      </c>
      <c r="AI24" s="5">
        <v>4239430000000</v>
      </c>
      <c r="AJ24" s="5">
        <v>4132950000000</v>
      </c>
      <c r="AK24" s="5">
        <v>4227830000000</v>
      </c>
      <c r="AL24" s="5">
        <v>4116360000000</v>
      </c>
      <c r="AM24" s="5"/>
      <c r="AN24" s="21">
        <f t="shared" si="0"/>
        <v>0.0220134</v>
      </c>
      <c r="AO24" s="21">
        <f t="shared" si="1"/>
        <v>21559266666666.7</v>
      </c>
      <c r="AP24" s="5">
        <f t="shared" si="2"/>
        <v>21182500000000</v>
      </c>
      <c r="AQ24" s="5">
        <f t="shared" si="3"/>
        <v>21860700000000</v>
      </c>
      <c r="AR24" s="5">
        <f t="shared" si="4"/>
        <v>3690766666666.67</v>
      </c>
      <c r="AS24" s="5">
        <f t="shared" si="5"/>
        <v>3037740000000</v>
      </c>
      <c r="AT24" s="5">
        <f t="shared" si="6"/>
        <v>4116360000000</v>
      </c>
    </row>
    <row r="25" customHeight="1" spans="1:46">
      <c r="A25" s="15">
        <v>0.0229826</v>
      </c>
      <c r="B25" s="5">
        <v>0.0234716</v>
      </c>
      <c r="C25" s="5">
        <v>21808300000000</v>
      </c>
      <c r="D25" s="5">
        <v>896523000</v>
      </c>
      <c r="E25" s="5">
        <v>0</v>
      </c>
      <c r="F25" s="5">
        <v>0</v>
      </c>
      <c r="G25" s="5">
        <v>2</v>
      </c>
      <c r="H25" s="5">
        <v>5048030000000</v>
      </c>
      <c r="I25" s="5">
        <v>4875010000000</v>
      </c>
      <c r="J25" s="5">
        <v>4353070000000</v>
      </c>
      <c r="K25" s="5">
        <v>4531710000000</v>
      </c>
      <c r="L25" s="5">
        <v>3000470000000</v>
      </c>
      <c r="N25" s="15">
        <v>0.0229906</v>
      </c>
      <c r="O25" s="5">
        <v>0.0235109</v>
      </c>
      <c r="P25" s="5">
        <v>22200200000000</v>
      </c>
      <c r="Q25" s="5">
        <v>903630000</v>
      </c>
      <c r="R25" s="5">
        <v>0</v>
      </c>
      <c r="S25" s="5">
        <v>0</v>
      </c>
      <c r="T25" s="5">
        <v>2</v>
      </c>
      <c r="U25" s="5">
        <v>4984330000000</v>
      </c>
      <c r="V25" s="5">
        <v>4456800000000</v>
      </c>
      <c r="W25" s="5">
        <v>4342390000000</v>
      </c>
      <c r="X25" s="5">
        <v>4415920000000</v>
      </c>
      <c r="Y25" s="5">
        <v>4000630000000</v>
      </c>
      <c r="AA25" s="15">
        <v>0.0230111</v>
      </c>
      <c r="AB25" s="5">
        <v>0.0235714</v>
      </c>
      <c r="AC25" s="5">
        <v>22060200000000</v>
      </c>
      <c r="AD25" s="5">
        <v>1002910000</v>
      </c>
      <c r="AE25" s="5">
        <v>0</v>
      </c>
      <c r="AF25" s="5">
        <v>0</v>
      </c>
      <c r="AG25" s="5">
        <v>2</v>
      </c>
      <c r="AH25" s="5">
        <v>4328280000000</v>
      </c>
      <c r="AI25" s="5">
        <v>4797060000000</v>
      </c>
      <c r="AJ25" s="5">
        <v>4571110000000</v>
      </c>
      <c r="AK25" s="5">
        <v>4016360000000</v>
      </c>
      <c r="AL25" s="5">
        <v>4347100000000</v>
      </c>
      <c r="AM25" s="5"/>
      <c r="AN25" s="21">
        <f t="shared" si="0"/>
        <v>0.0229826</v>
      </c>
      <c r="AO25" s="21">
        <f t="shared" si="1"/>
        <v>22022900000000</v>
      </c>
      <c r="AP25" s="5">
        <f t="shared" si="2"/>
        <v>21808300000000</v>
      </c>
      <c r="AQ25" s="5">
        <f t="shared" si="3"/>
        <v>22200200000000</v>
      </c>
      <c r="AR25" s="5">
        <f t="shared" si="4"/>
        <v>3782733333333.33</v>
      </c>
      <c r="AS25" s="5">
        <f t="shared" si="5"/>
        <v>3000470000000</v>
      </c>
      <c r="AT25" s="5">
        <f t="shared" si="6"/>
        <v>4347100000000</v>
      </c>
    </row>
    <row r="26" customHeight="1" spans="1:46">
      <c r="A26" s="15">
        <v>0.0240501</v>
      </c>
      <c r="B26" s="5">
        <v>0.0245701</v>
      </c>
      <c r="C26" s="5">
        <v>21948600000000</v>
      </c>
      <c r="D26" s="5">
        <v>1232580000</v>
      </c>
      <c r="E26" s="5">
        <v>0</v>
      </c>
      <c r="F26" s="5">
        <v>0</v>
      </c>
      <c r="G26" s="5">
        <v>2</v>
      </c>
      <c r="H26" s="5">
        <v>5153840000000</v>
      </c>
      <c r="I26" s="5">
        <v>4639160000000</v>
      </c>
      <c r="J26" s="5">
        <v>4647210000000</v>
      </c>
      <c r="K26" s="5">
        <v>4786940000000</v>
      </c>
      <c r="L26" s="5">
        <v>2721390000000</v>
      </c>
      <c r="N26" s="15">
        <v>0.0239685</v>
      </c>
      <c r="O26" s="5">
        <v>0.0244876</v>
      </c>
      <c r="P26" s="5">
        <v>22590800000000</v>
      </c>
      <c r="Q26" s="5">
        <v>1070840000</v>
      </c>
      <c r="R26" s="5">
        <v>0</v>
      </c>
      <c r="S26" s="5">
        <v>0</v>
      </c>
      <c r="T26" s="5">
        <v>2</v>
      </c>
      <c r="U26" s="5">
        <v>5301010000000</v>
      </c>
      <c r="V26" s="5">
        <v>4428990000000</v>
      </c>
      <c r="W26" s="5">
        <v>4777100000000</v>
      </c>
      <c r="X26" s="5">
        <v>4510520000000</v>
      </c>
      <c r="Y26" s="5">
        <v>3572930000000</v>
      </c>
      <c r="AA26" s="15">
        <v>0.0239929</v>
      </c>
      <c r="AB26" s="5">
        <v>0.0245497</v>
      </c>
      <c r="AC26" s="5">
        <v>21962300000000</v>
      </c>
      <c r="AD26" s="5">
        <v>1555060000</v>
      </c>
      <c r="AE26" s="5">
        <v>0</v>
      </c>
      <c r="AF26" s="5">
        <v>0</v>
      </c>
      <c r="AG26" s="5">
        <v>2</v>
      </c>
      <c r="AH26" s="5">
        <v>4225010000000</v>
      </c>
      <c r="AI26" s="5">
        <v>4285540000000</v>
      </c>
      <c r="AJ26" s="5">
        <v>4921410000000</v>
      </c>
      <c r="AK26" s="5">
        <v>4095950000000</v>
      </c>
      <c r="AL26" s="5">
        <v>4433580000000</v>
      </c>
      <c r="AM26" s="5"/>
      <c r="AN26" s="21">
        <f t="shared" si="0"/>
        <v>0.0240501</v>
      </c>
      <c r="AO26" s="21">
        <f t="shared" si="1"/>
        <v>22167233333333.3</v>
      </c>
      <c r="AP26" s="5">
        <f t="shared" si="2"/>
        <v>21948600000000</v>
      </c>
      <c r="AQ26" s="5">
        <f t="shared" si="3"/>
        <v>22590800000000</v>
      </c>
      <c r="AR26" s="5">
        <f t="shared" si="4"/>
        <v>3575966666666.67</v>
      </c>
      <c r="AS26" s="5">
        <f t="shared" si="5"/>
        <v>2721390000000</v>
      </c>
      <c r="AT26" s="5">
        <f t="shared" si="6"/>
        <v>4433580000000</v>
      </c>
    </row>
    <row r="27" customHeight="1" spans="1:46">
      <c r="A27" s="15">
        <v>0.0249972</v>
      </c>
      <c r="B27" s="5">
        <v>0.0255153</v>
      </c>
      <c r="C27" s="5">
        <v>22352500000000</v>
      </c>
      <c r="D27" s="5">
        <v>1046780000</v>
      </c>
      <c r="E27" s="5">
        <v>0</v>
      </c>
      <c r="F27" s="5">
        <v>0</v>
      </c>
      <c r="G27" s="5">
        <v>2</v>
      </c>
      <c r="H27" s="5">
        <v>5189840000000</v>
      </c>
      <c r="I27" s="5">
        <v>4196620000000</v>
      </c>
      <c r="J27" s="5">
        <v>4759220000000</v>
      </c>
      <c r="K27" s="5">
        <v>4571810000000</v>
      </c>
      <c r="L27" s="5">
        <v>3634970000000</v>
      </c>
      <c r="N27" s="15">
        <v>0.024996</v>
      </c>
      <c r="O27" s="5">
        <v>0.0254859</v>
      </c>
      <c r="P27" s="5">
        <v>21617800000000</v>
      </c>
      <c r="Q27" s="5">
        <v>839313000</v>
      </c>
      <c r="R27" s="5">
        <v>0</v>
      </c>
      <c r="S27" s="5">
        <v>0</v>
      </c>
      <c r="T27" s="5">
        <v>2</v>
      </c>
      <c r="U27" s="5">
        <v>5377090000000</v>
      </c>
      <c r="V27" s="5">
        <v>4067650000000</v>
      </c>
      <c r="W27" s="5">
        <v>4369650000000</v>
      </c>
      <c r="X27" s="5">
        <v>4459010000000</v>
      </c>
      <c r="Y27" s="5">
        <v>3344010000000</v>
      </c>
      <c r="AA27" s="15">
        <v>0.0249534</v>
      </c>
      <c r="AB27" s="5">
        <v>0.0255306</v>
      </c>
      <c r="AC27" s="5">
        <v>21906700000000</v>
      </c>
      <c r="AD27" s="5">
        <v>1727850000</v>
      </c>
      <c r="AE27" s="5">
        <v>0</v>
      </c>
      <c r="AF27" s="5">
        <v>0</v>
      </c>
      <c r="AG27" s="5">
        <v>2</v>
      </c>
      <c r="AH27" s="5">
        <v>4406410000000</v>
      </c>
      <c r="AI27" s="5">
        <v>4438120000000</v>
      </c>
      <c r="AJ27" s="5">
        <v>4390270000000</v>
      </c>
      <c r="AK27" s="5">
        <v>4305980000000</v>
      </c>
      <c r="AL27" s="5">
        <v>4365190000000</v>
      </c>
      <c r="AM27" s="5"/>
      <c r="AN27" s="21">
        <f t="shared" si="0"/>
        <v>0.0249972</v>
      </c>
      <c r="AO27" s="21">
        <f t="shared" si="1"/>
        <v>21959000000000</v>
      </c>
      <c r="AP27" s="5">
        <f t="shared" si="2"/>
        <v>21617800000000</v>
      </c>
      <c r="AQ27" s="5">
        <f t="shared" si="3"/>
        <v>22352500000000</v>
      </c>
      <c r="AR27" s="5">
        <f t="shared" si="4"/>
        <v>3781390000000</v>
      </c>
      <c r="AS27" s="5">
        <f t="shared" si="5"/>
        <v>3344010000000</v>
      </c>
      <c r="AT27" s="5">
        <f t="shared" si="6"/>
        <v>4365190000000</v>
      </c>
    </row>
    <row r="28" customHeight="1" spans="1:46">
      <c r="A28" s="15">
        <v>0.0259852</v>
      </c>
      <c r="B28" s="5">
        <v>0.0265153</v>
      </c>
      <c r="C28" s="5">
        <v>22081700000000</v>
      </c>
      <c r="D28" s="5">
        <v>1165080000</v>
      </c>
      <c r="E28" s="5">
        <v>0</v>
      </c>
      <c r="F28" s="5">
        <v>0</v>
      </c>
      <c r="G28" s="5">
        <v>2</v>
      </c>
      <c r="H28" s="5">
        <v>5720410000000</v>
      </c>
      <c r="I28" s="5">
        <v>4093640000000</v>
      </c>
      <c r="J28" s="5">
        <v>4487900000000</v>
      </c>
      <c r="K28" s="5">
        <v>4090950000000</v>
      </c>
      <c r="L28" s="5">
        <v>3688720000000</v>
      </c>
      <c r="N28" s="15">
        <v>0.026019</v>
      </c>
      <c r="O28" s="5">
        <v>0.0265376</v>
      </c>
      <c r="P28" s="5">
        <v>21852000000000</v>
      </c>
      <c r="Q28" s="5">
        <v>1286070000</v>
      </c>
      <c r="R28" s="5">
        <v>0</v>
      </c>
      <c r="S28" s="5">
        <v>0</v>
      </c>
      <c r="T28" s="5">
        <v>2</v>
      </c>
      <c r="U28" s="5">
        <v>5095170000000</v>
      </c>
      <c r="V28" s="5">
        <v>4519100000000</v>
      </c>
      <c r="W28" s="5">
        <v>4586660000000</v>
      </c>
      <c r="X28" s="5">
        <v>4185900000000</v>
      </c>
      <c r="Y28" s="5">
        <v>3465140000000</v>
      </c>
      <c r="AA28" s="15">
        <v>0.0260011</v>
      </c>
      <c r="AB28" s="5">
        <v>0.0265289</v>
      </c>
      <c r="AC28" s="5">
        <v>21404000000000</v>
      </c>
      <c r="AD28" s="5">
        <v>915807000</v>
      </c>
      <c r="AE28" s="5">
        <v>0</v>
      </c>
      <c r="AF28" s="5">
        <v>0</v>
      </c>
      <c r="AG28" s="5">
        <v>2</v>
      </c>
      <c r="AH28" s="5">
        <v>4357630000000</v>
      </c>
      <c r="AI28" s="5">
        <v>4356630000000</v>
      </c>
      <c r="AJ28" s="5">
        <v>4504560000000</v>
      </c>
      <c r="AK28" s="5">
        <v>4296340000000</v>
      </c>
      <c r="AL28" s="5">
        <v>3888810000000</v>
      </c>
      <c r="AM28" s="5"/>
      <c r="AN28" s="21">
        <f t="shared" si="0"/>
        <v>0.0259852</v>
      </c>
      <c r="AO28" s="21">
        <f t="shared" si="1"/>
        <v>21779233333333.3</v>
      </c>
      <c r="AP28" s="5">
        <f t="shared" si="2"/>
        <v>21404000000000</v>
      </c>
      <c r="AQ28" s="5">
        <f t="shared" si="3"/>
        <v>22081700000000</v>
      </c>
      <c r="AR28" s="5">
        <f t="shared" si="4"/>
        <v>3680890000000</v>
      </c>
      <c r="AS28" s="5">
        <f t="shared" si="5"/>
        <v>3465140000000</v>
      </c>
      <c r="AT28" s="5">
        <f t="shared" si="6"/>
        <v>3888810000000</v>
      </c>
    </row>
    <row r="29" customHeight="1" spans="1:46">
      <c r="A29" s="15">
        <v>0.0270025</v>
      </c>
      <c r="B29" s="5">
        <v>0.0275377</v>
      </c>
      <c r="C29" s="5">
        <v>21858800000000</v>
      </c>
      <c r="D29" s="5">
        <v>1121850000</v>
      </c>
      <c r="E29" s="5">
        <v>0</v>
      </c>
      <c r="F29" s="5">
        <v>0</v>
      </c>
      <c r="G29" s="5">
        <v>2</v>
      </c>
      <c r="H29" s="5">
        <v>5266030000000</v>
      </c>
      <c r="I29" s="5">
        <v>4131280000000</v>
      </c>
      <c r="J29" s="5">
        <v>4637870000000</v>
      </c>
      <c r="K29" s="5">
        <v>3944420000000</v>
      </c>
      <c r="L29" s="5">
        <v>3879160000000</v>
      </c>
      <c r="N29" s="15">
        <v>0.0269998</v>
      </c>
      <c r="O29" s="5">
        <v>0.0275422</v>
      </c>
      <c r="P29" s="5">
        <v>21318000000000</v>
      </c>
      <c r="Q29" s="5">
        <v>1548190000</v>
      </c>
      <c r="R29" s="5">
        <v>0</v>
      </c>
      <c r="S29" s="5">
        <v>0</v>
      </c>
      <c r="T29" s="5">
        <v>2</v>
      </c>
      <c r="U29" s="5">
        <v>4613020000000</v>
      </c>
      <c r="V29" s="5">
        <v>4038550000000</v>
      </c>
      <c r="W29" s="5">
        <v>3808200000000</v>
      </c>
      <c r="X29" s="5">
        <v>4126920000000</v>
      </c>
      <c r="Y29" s="5">
        <v>4729960000000</v>
      </c>
      <c r="AA29" s="15">
        <v>0.0270144</v>
      </c>
      <c r="AB29" s="5">
        <v>0.0275383</v>
      </c>
      <c r="AC29" s="5">
        <v>21769900000000</v>
      </c>
      <c r="AD29" s="5">
        <v>1063310000</v>
      </c>
      <c r="AE29" s="5">
        <v>0</v>
      </c>
      <c r="AF29" s="5">
        <v>0</v>
      </c>
      <c r="AG29" s="5">
        <v>2</v>
      </c>
      <c r="AH29" s="5">
        <v>4509380000000</v>
      </c>
      <c r="AI29" s="5">
        <v>4524180000000</v>
      </c>
      <c r="AJ29" s="5">
        <v>4689070000000</v>
      </c>
      <c r="AK29" s="5">
        <v>4444640000000</v>
      </c>
      <c r="AL29" s="5">
        <v>3602580000000</v>
      </c>
      <c r="AM29" s="5"/>
      <c r="AN29" s="21">
        <f t="shared" si="0"/>
        <v>0.0270025</v>
      </c>
      <c r="AO29" s="21">
        <f t="shared" si="1"/>
        <v>21648900000000</v>
      </c>
      <c r="AP29" s="5">
        <f t="shared" si="2"/>
        <v>21318000000000</v>
      </c>
      <c r="AQ29" s="5">
        <f t="shared" si="3"/>
        <v>21858800000000</v>
      </c>
      <c r="AR29" s="5">
        <f t="shared" si="4"/>
        <v>4070566666666.67</v>
      </c>
      <c r="AS29" s="5">
        <f t="shared" si="5"/>
        <v>3879160000000</v>
      </c>
      <c r="AT29" s="5">
        <f t="shared" si="6"/>
        <v>4729960000000</v>
      </c>
    </row>
    <row r="30" customHeight="1" spans="1:46">
      <c r="A30" s="15">
        <v>0.0280224</v>
      </c>
      <c r="B30" s="5">
        <v>0.028534</v>
      </c>
      <c r="C30" s="5">
        <v>21996500000000</v>
      </c>
      <c r="D30" s="5">
        <v>1080330000</v>
      </c>
      <c r="E30" s="5">
        <v>0</v>
      </c>
      <c r="F30" s="5">
        <v>0</v>
      </c>
      <c r="G30" s="5">
        <v>2</v>
      </c>
      <c r="H30" s="5">
        <v>5024990000000</v>
      </c>
      <c r="I30" s="5">
        <v>4456260000000</v>
      </c>
      <c r="J30" s="5">
        <v>4945810000000</v>
      </c>
      <c r="K30" s="5">
        <v>4372470000000</v>
      </c>
      <c r="L30" s="5">
        <v>3196870000000</v>
      </c>
      <c r="N30" s="15">
        <v>0.0280511</v>
      </c>
      <c r="O30" s="5">
        <v>0.028576</v>
      </c>
      <c r="P30" s="5">
        <v>21899800000000</v>
      </c>
      <c r="Q30" s="5">
        <v>908705000</v>
      </c>
      <c r="R30" s="5">
        <v>0</v>
      </c>
      <c r="S30" s="5">
        <v>0</v>
      </c>
      <c r="T30" s="5">
        <v>2</v>
      </c>
      <c r="U30" s="5">
        <v>5086460000000</v>
      </c>
      <c r="V30" s="5">
        <v>4238330000000</v>
      </c>
      <c r="W30" s="5">
        <v>4273520000000</v>
      </c>
      <c r="X30" s="5">
        <v>4142380000000</v>
      </c>
      <c r="Y30" s="5">
        <v>4158950000000</v>
      </c>
      <c r="AA30" s="15">
        <v>0.028009</v>
      </c>
      <c r="AB30" s="5">
        <v>0.0285388</v>
      </c>
      <c r="AC30" s="5">
        <v>21543200000000</v>
      </c>
      <c r="AD30" s="5">
        <v>1008620000</v>
      </c>
      <c r="AE30" s="5">
        <v>0</v>
      </c>
      <c r="AF30" s="5">
        <v>0</v>
      </c>
      <c r="AG30" s="5">
        <v>2</v>
      </c>
      <c r="AH30" s="5">
        <v>4387420000000</v>
      </c>
      <c r="AI30" s="5">
        <v>4870130000000</v>
      </c>
      <c r="AJ30" s="5">
        <v>4132210000000</v>
      </c>
      <c r="AK30" s="5">
        <v>4453970000000</v>
      </c>
      <c r="AL30" s="5">
        <v>3698520000000</v>
      </c>
      <c r="AM30" s="5"/>
      <c r="AN30" s="21">
        <f t="shared" si="0"/>
        <v>0.0280224</v>
      </c>
      <c r="AO30" s="21">
        <f t="shared" si="1"/>
        <v>21813166666666.7</v>
      </c>
      <c r="AP30" s="5">
        <f t="shared" si="2"/>
        <v>21543200000000</v>
      </c>
      <c r="AQ30" s="5">
        <f t="shared" si="3"/>
        <v>21996500000000</v>
      </c>
      <c r="AR30" s="5">
        <f t="shared" si="4"/>
        <v>3684780000000</v>
      </c>
      <c r="AS30" s="5">
        <f t="shared" si="5"/>
        <v>3196870000000</v>
      </c>
      <c r="AT30" s="5">
        <f t="shared" si="6"/>
        <v>4158950000000</v>
      </c>
    </row>
    <row r="31" customHeight="1" spans="1:46">
      <c r="A31" s="15">
        <v>0.0289825</v>
      </c>
      <c r="B31" s="5">
        <v>0.0295245</v>
      </c>
      <c r="C31" s="5">
        <v>21842200000000</v>
      </c>
      <c r="D31" s="5">
        <v>986365000</v>
      </c>
      <c r="E31" s="5">
        <v>0</v>
      </c>
      <c r="F31" s="5">
        <v>0</v>
      </c>
      <c r="G31" s="5">
        <v>2</v>
      </c>
      <c r="H31" s="5">
        <v>5255950000000</v>
      </c>
      <c r="I31" s="5">
        <v>4361070000000</v>
      </c>
      <c r="J31" s="5">
        <v>4599730000000</v>
      </c>
      <c r="K31" s="5">
        <v>4489950000000</v>
      </c>
      <c r="L31" s="5">
        <v>3135370000000</v>
      </c>
      <c r="N31" s="15">
        <v>0.0289441</v>
      </c>
      <c r="O31" s="5">
        <v>0.0294923</v>
      </c>
      <c r="P31" s="5">
        <v>21600300000000</v>
      </c>
      <c r="Q31" s="5">
        <v>965060000</v>
      </c>
      <c r="R31" s="5">
        <v>0</v>
      </c>
      <c r="S31" s="5">
        <v>0</v>
      </c>
      <c r="T31" s="5">
        <v>2</v>
      </c>
      <c r="U31" s="5">
        <v>5042730000000</v>
      </c>
      <c r="V31" s="5">
        <v>4091140000000</v>
      </c>
      <c r="W31" s="5">
        <v>4341940000000</v>
      </c>
      <c r="X31" s="5">
        <v>4238890000000</v>
      </c>
      <c r="Y31" s="5">
        <v>3885500000000</v>
      </c>
      <c r="AA31" s="15">
        <v>0.0289967</v>
      </c>
      <c r="AB31" s="5">
        <v>0.0295245</v>
      </c>
      <c r="AC31" s="5">
        <v>21768200000000</v>
      </c>
      <c r="AD31" s="5">
        <v>794768000</v>
      </c>
      <c r="AE31" s="5">
        <v>0</v>
      </c>
      <c r="AF31" s="5">
        <v>0</v>
      </c>
      <c r="AG31" s="5">
        <v>2</v>
      </c>
      <c r="AH31" s="5">
        <v>4461440000000</v>
      </c>
      <c r="AI31" s="5">
        <v>5191590000000</v>
      </c>
      <c r="AJ31" s="5">
        <v>4309050000000</v>
      </c>
      <c r="AK31" s="5">
        <v>4359200000000</v>
      </c>
      <c r="AL31" s="5">
        <v>3446690000000</v>
      </c>
      <c r="AM31" s="5"/>
      <c r="AN31" s="21">
        <f t="shared" si="0"/>
        <v>0.0289825</v>
      </c>
      <c r="AO31" s="21">
        <f t="shared" si="1"/>
        <v>21736900000000</v>
      </c>
      <c r="AP31" s="5">
        <f t="shared" si="2"/>
        <v>21600300000000</v>
      </c>
      <c r="AQ31" s="5">
        <f t="shared" si="3"/>
        <v>21842200000000</v>
      </c>
      <c r="AR31" s="5">
        <f t="shared" si="4"/>
        <v>3489186666666.67</v>
      </c>
      <c r="AS31" s="5">
        <f t="shared" si="5"/>
        <v>3135370000000</v>
      </c>
      <c r="AT31" s="5">
        <f t="shared" si="6"/>
        <v>3885500000000</v>
      </c>
    </row>
    <row r="32" customHeight="1" spans="1:46">
      <c r="A32" s="15">
        <v>0.030026</v>
      </c>
      <c r="B32" s="5">
        <v>0.0305253</v>
      </c>
      <c r="C32" s="5">
        <v>21631800000000</v>
      </c>
      <c r="D32" s="5">
        <v>905837000</v>
      </c>
      <c r="E32" s="5">
        <v>0</v>
      </c>
      <c r="F32" s="5">
        <v>0</v>
      </c>
      <c r="G32" s="5">
        <v>2</v>
      </c>
      <c r="H32" s="5">
        <v>5222730000000</v>
      </c>
      <c r="I32" s="5">
        <v>4294120000000</v>
      </c>
      <c r="J32" s="5">
        <v>4145530000000</v>
      </c>
      <c r="K32" s="5">
        <v>4185180000000</v>
      </c>
      <c r="L32" s="5">
        <v>3784240000000</v>
      </c>
      <c r="N32" s="15">
        <v>0.0299154</v>
      </c>
      <c r="O32" s="5">
        <v>0.0304269</v>
      </c>
      <c r="P32" s="5">
        <v>21778200000000</v>
      </c>
      <c r="Q32" s="5">
        <v>1146680000</v>
      </c>
      <c r="R32" s="5">
        <v>0</v>
      </c>
      <c r="S32" s="5">
        <v>0</v>
      </c>
      <c r="T32" s="5">
        <v>2</v>
      </c>
      <c r="U32" s="5">
        <v>5284130000000</v>
      </c>
      <c r="V32" s="5">
        <v>4225080000000</v>
      </c>
      <c r="W32" s="5">
        <v>4284390000000</v>
      </c>
      <c r="X32" s="5">
        <v>4332740000000</v>
      </c>
      <c r="Y32" s="5">
        <v>3651590000000</v>
      </c>
      <c r="AA32" s="15">
        <v>0.0300111</v>
      </c>
      <c r="AB32" s="5">
        <v>0.0305341</v>
      </c>
      <c r="AC32" s="5">
        <v>21657400000000</v>
      </c>
      <c r="AD32" s="5">
        <v>1134640000</v>
      </c>
      <c r="AE32" s="5">
        <v>0</v>
      </c>
      <c r="AF32" s="5">
        <v>0</v>
      </c>
      <c r="AG32" s="5">
        <v>2</v>
      </c>
      <c r="AH32" s="5">
        <v>4236760000000</v>
      </c>
      <c r="AI32" s="5">
        <v>4698450000000</v>
      </c>
      <c r="AJ32" s="5">
        <v>4488130000000</v>
      </c>
      <c r="AK32" s="5">
        <v>4562460000000</v>
      </c>
      <c r="AL32" s="5">
        <v>3671480000000</v>
      </c>
      <c r="AM32" s="5"/>
      <c r="AN32" s="21">
        <f t="shared" si="0"/>
        <v>0.030026</v>
      </c>
      <c r="AO32" s="21">
        <f t="shared" si="1"/>
        <v>21689133333333.3</v>
      </c>
      <c r="AP32" s="5">
        <f t="shared" si="2"/>
        <v>21631800000000</v>
      </c>
      <c r="AQ32" s="5">
        <f t="shared" si="3"/>
        <v>21778200000000</v>
      </c>
      <c r="AR32" s="5">
        <f t="shared" si="4"/>
        <v>3702436666666.67</v>
      </c>
      <c r="AS32" s="5">
        <f t="shared" si="5"/>
        <v>3651590000000</v>
      </c>
      <c r="AT32" s="5">
        <f t="shared" si="6"/>
        <v>3784240000000</v>
      </c>
    </row>
    <row r="33" customHeight="1" spans="1:46">
      <c r="A33" s="15">
        <v>0.0309942</v>
      </c>
      <c r="B33" s="5">
        <v>0.0315233</v>
      </c>
      <c r="C33" s="5">
        <v>22389500000000</v>
      </c>
      <c r="D33" s="5">
        <v>1940200000</v>
      </c>
      <c r="E33" s="5">
        <v>0</v>
      </c>
      <c r="F33" s="5">
        <v>0</v>
      </c>
      <c r="G33" s="5">
        <v>2</v>
      </c>
      <c r="H33" s="5">
        <v>5178180000000</v>
      </c>
      <c r="I33" s="5">
        <v>4802460000000</v>
      </c>
      <c r="J33" s="5">
        <v>4551840000000</v>
      </c>
      <c r="K33" s="5">
        <v>3983890000000</v>
      </c>
      <c r="L33" s="5">
        <v>3872670000000</v>
      </c>
      <c r="N33" s="15">
        <v>0.0310391</v>
      </c>
      <c r="O33" s="5">
        <v>0.0315423</v>
      </c>
      <c r="P33" s="5">
        <v>21918500000000</v>
      </c>
      <c r="Q33" s="5">
        <v>955972000</v>
      </c>
      <c r="R33" s="5">
        <v>0</v>
      </c>
      <c r="S33" s="5">
        <v>0</v>
      </c>
      <c r="T33" s="5">
        <v>2</v>
      </c>
      <c r="U33" s="5">
        <v>5197800000000</v>
      </c>
      <c r="V33" s="5">
        <v>4082990000000</v>
      </c>
      <c r="W33" s="5">
        <v>4431250000000</v>
      </c>
      <c r="X33" s="5">
        <v>4497430000000</v>
      </c>
      <c r="Y33" s="5">
        <v>3708870000000</v>
      </c>
      <c r="AA33" s="15">
        <v>0.0310224</v>
      </c>
      <c r="AB33" s="5">
        <v>0.0315272</v>
      </c>
      <c r="AC33" s="5">
        <v>21774300000000</v>
      </c>
      <c r="AD33" s="5">
        <v>1297880000</v>
      </c>
      <c r="AE33" s="5">
        <v>0</v>
      </c>
      <c r="AF33" s="5">
        <v>0</v>
      </c>
      <c r="AG33" s="5">
        <v>2</v>
      </c>
      <c r="AH33" s="5">
        <v>4659880000000</v>
      </c>
      <c r="AI33" s="5">
        <v>4549140000000</v>
      </c>
      <c r="AJ33" s="5">
        <v>4385260000000</v>
      </c>
      <c r="AK33" s="5">
        <v>4771120000000</v>
      </c>
      <c r="AL33" s="5">
        <v>3408770000000</v>
      </c>
      <c r="AM33" s="5"/>
      <c r="AN33" s="21">
        <f t="shared" si="0"/>
        <v>0.0309942</v>
      </c>
      <c r="AO33" s="21">
        <f t="shared" si="1"/>
        <v>22027433333333.3</v>
      </c>
      <c r="AP33" s="5">
        <f t="shared" si="2"/>
        <v>21774300000000</v>
      </c>
      <c r="AQ33" s="5">
        <f t="shared" si="3"/>
        <v>22389500000000</v>
      </c>
      <c r="AR33" s="5">
        <f t="shared" si="4"/>
        <v>3663436666666.67</v>
      </c>
      <c r="AS33" s="5">
        <f t="shared" si="5"/>
        <v>3708870000000</v>
      </c>
      <c r="AT33" s="5">
        <f t="shared" si="6"/>
        <v>3872670000000</v>
      </c>
    </row>
    <row r="34" customHeight="1" spans="1:46">
      <c r="A34" s="15">
        <v>0.0319944</v>
      </c>
      <c r="B34" s="5">
        <v>0.0325228</v>
      </c>
      <c r="C34" s="5">
        <v>21785100000000</v>
      </c>
      <c r="D34" s="5">
        <v>986866000</v>
      </c>
      <c r="E34" s="5">
        <v>0</v>
      </c>
      <c r="F34" s="5">
        <v>0</v>
      </c>
      <c r="G34" s="5">
        <v>2</v>
      </c>
      <c r="H34" s="5">
        <v>5199710000000</v>
      </c>
      <c r="I34" s="5">
        <v>4464440000000</v>
      </c>
      <c r="J34" s="5">
        <v>4432740000000</v>
      </c>
      <c r="K34" s="5">
        <v>3912610000000</v>
      </c>
      <c r="L34" s="5">
        <v>3775290000000</v>
      </c>
      <c r="N34" s="15">
        <v>0.0319526</v>
      </c>
      <c r="O34" s="5">
        <v>0.032458</v>
      </c>
      <c r="P34" s="5">
        <v>21741700000000</v>
      </c>
      <c r="Q34" s="5">
        <v>1055850000</v>
      </c>
      <c r="R34" s="5">
        <v>0</v>
      </c>
      <c r="S34" s="5">
        <v>0</v>
      </c>
      <c r="T34" s="5">
        <v>2</v>
      </c>
      <c r="U34" s="5">
        <v>5120570000000</v>
      </c>
      <c r="V34" s="5">
        <v>4306940000000</v>
      </c>
      <c r="W34" s="5">
        <v>4440110000000</v>
      </c>
      <c r="X34" s="5">
        <v>3986150000000</v>
      </c>
      <c r="Y34" s="5">
        <v>3887450000000</v>
      </c>
      <c r="AA34" s="15">
        <v>0.0319385</v>
      </c>
      <c r="AB34" s="5">
        <v>0.0324899</v>
      </c>
      <c r="AC34" s="5">
        <v>22116900000000</v>
      </c>
      <c r="AD34" s="5">
        <v>1284390000</v>
      </c>
      <c r="AE34" s="5">
        <v>0</v>
      </c>
      <c r="AF34" s="5">
        <v>0</v>
      </c>
      <c r="AG34" s="5">
        <v>2</v>
      </c>
      <c r="AH34" s="5">
        <v>4895720000000</v>
      </c>
      <c r="AI34" s="5">
        <v>4199980000000</v>
      </c>
      <c r="AJ34" s="5">
        <v>4264480000000</v>
      </c>
      <c r="AK34" s="5">
        <v>4259000000000</v>
      </c>
      <c r="AL34" s="5">
        <v>4497600000000</v>
      </c>
      <c r="AM34" s="5"/>
      <c r="AN34" s="21">
        <f t="shared" si="0"/>
        <v>0.0319944</v>
      </c>
      <c r="AO34" s="21">
        <f t="shared" si="1"/>
        <v>21881233333333.3</v>
      </c>
      <c r="AP34" s="5">
        <f t="shared" si="2"/>
        <v>21741700000000</v>
      </c>
      <c r="AQ34" s="5">
        <f t="shared" si="3"/>
        <v>22116900000000</v>
      </c>
      <c r="AR34" s="5">
        <f t="shared" si="4"/>
        <v>4053446666666.67</v>
      </c>
      <c r="AS34" s="5">
        <f t="shared" si="5"/>
        <v>3775290000000</v>
      </c>
      <c r="AT34" s="5">
        <f t="shared" si="6"/>
        <v>4497600000000</v>
      </c>
    </row>
    <row r="35" customHeight="1" spans="1:46">
      <c r="A35" s="15">
        <v>0.0329684</v>
      </c>
      <c r="B35" s="5">
        <v>0.0334986</v>
      </c>
      <c r="C35" s="5">
        <v>21851400000000</v>
      </c>
      <c r="D35" s="5">
        <v>1146360000</v>
      </c>
      <c r="E35" s="5">
        <v>0</v>
      </c>
      <c r="F35" s="5">
        <v>0</v>
      </c>
      <c r="G35" s="5">
        <v>2</v>
      </c>
      <c r="H35" s="5">
        <v>5839390000000</v>
      </c>
      <c r="I35" s="5">
        <v>3911230000000</v>
      </c>
      <c r="J35" s="5">
        <v>4042430000000</v>
      </c>
      <c r="K35" s="5">
        <v>4001330000000</v>
      </c>
      <c r="L35" s="5">
        <v>4056760000000</v>
      </c>
      <c r="N35" s="15">
        <v>0.0330534</v>
      </c>
      <c r="O35" s="5">
        <v>0.0336019</v>
      </c>
      <c r="P35" s="5">
        <v>21912800000000</v>
      </c>
      <c r="Q35" s="5">
        <v>1298460000</v>
      </c>
      <c r="R35" s="5">
        <v>0</v>
      </c>
      <c r="S35" s="5">
        <v>0</v>
      </c>
      <c r="T35" s="5">
        <v>2</v>
      </c>
      <c r="U35" s="5">
        <v>5135320000000</v>
      </c>
      <c r="V35" s="5">
        <v>3801410000000</v>
      </c>
      <c r="W35" s="5">
        <v>3885810000000</v>
      </c>
      <c r="X35" s="5">
        <v>3923740000000</v>
      </c>
      <c r="Y35" s="5">
        <v>5165680000000</v>
      </c>
      <c r="AA35" s="15">
        <v>0.0329802</v>
      </c>
      <c r="AB35" s="5">
        <v>0.0335183</v>
      </c>
      <c r="AC35" s="5">
        <v>22140000000000</v>
      </c>
      <c r="AD35" s="5">
        <v>1506870000</v>
      </c>
      <c r="AE35" s="5">
        <v>0</v>
      </c>
      <c r="AF35" s="5">
        <v>0</v>
      </c>
      <c r="AG35" s="5">
        <v>2</v>
      </c>
      <c r="AH35" s="5">
        <v>4648110000000</v>
      </c>
      <c r="AI35" s="5">
        <v>4201210000000</v>
      </c>
      <c r="AJ35" s="5">
        <v>4617830000000</v>
      </c>
      <c r="AK35" s="5">
        <v>4559630000000</v>
      </c>
      <c r="AL35" s="5">
        <v>4113190000000</v>
      </c>
      <c r="AM35" s="5"/>
      <c r="AN35" s="21">
        <f t="shared" si="0"/>
        <v>0.0329684</v>
      </c>
      <c r="AO35" s="21">
        <f t="shared" si="1"/>
        <v>21968066666666.7</v>
      </c>
      <c r="AP35" s="5">
        <f t="shared" si="2"/>
        <v>21851400000000</v>
      </c>
      <c r="AQ35" s="5">
        <f t="shared" si="3"/>
        <v>22140000000000</v>
      </c>
      <c r="AR35" s="5">
        <f t="shared" si="4"/>
        <v>4445210000000</v>
      </c>
      <c r="AS35" s="5">
        <f t="shared" si="5"/>
        <v>4056760000000</v>
      </c>
      <c r="AT35" s="5">
        <f t="shared" si="6"/>
        <v>5165680000000</v>
      </c>
    </row>
    <row r="36" customHeight="1" spans="1:46">
      <c r="A36" s="15">
        <v>0.0339924</v>
      </c>
      <c r="B36" s="5">
        <v>0.0345079</v>
      </c>
      <c r="C36" s="5">
        <v>21977500000000</v>
      </c>
      <c r="D36" s="5">
        <v>626498000</v>
      </c>
      <c r="E36" s="5">
        <v>0</v>
      </c>
      <c r="F36" s="5">
        <v>0</v>
      </c>
      <c r="G36" s="5">
        <v>2</v>
      </c>
      <c r="H36" s="5">
        <v>6053080000000</v>
      </c>
      <c r="I36" s="5">
        <v>4170660000000</v>
      </c>
      <c r="J36" s="5">
        <v>4153330000000</v>
      </c>
      <c r="K36" s="5">
        <v>4001510000000</v>
      </c>
      <c r="L36" s="5">
        <v>3598610000000</v>
      </c>
      <c r="N36" s="15">
        <v>0.0340329</v>
      </c>
      <c r="O36" s="5">
        <v>0.0345898</v>
      </c>
      <c r="P36" s="5">
        <v>21921100000000</v>
      </c>
      <c r="Q36" s="5">
        <v>1547440000</v>
      </c>
      <c r="R36" s="5">
        <v>0</v>
      </c>
      <c r="S36" s="5">
        <v>0</v>
      </c>
      <c r="T36" s="5">
        <v>2</v>
      </c>
      <c r="U36" s="5">
        <v>4800400000000</v>
      </c>
      <c r="V36" s="5">
        <v>3837180000000</v>
      </c>
      <c r="W36" s="5">
        <v>4428770000000</v>
      </c>
      <c r="X36" s="5">
        <v>4103410000000</v>
      </c>
      <c r="Y36" s="5">
        <v>4750770000000</v>
      </c>
      <c r="AA36" s="15">
        <v>0.0340239</v>
      </c>
      <c r="AB36" s="5">
        <v>0.034538</v>
      </c>
      <c r="AC36" s="5">
        <v>22218600000000</v>
      </c>
      <c r="AD36" s="5">
        <v>1456590000</v>
      </c>
      <c r="AE36" s="5">
        <v>0</v>
      </c>
      <c r="AF36" s="5">
        <v>0</v>
      </c>
      <c r="AG36" s="5">
        <v>2</v>
      </c>
      <c r="AH36" s="5">
        <v>4228850000000</v>
      </c>
      <c r="AI36" s="5">
        <v>3880610000000</v>
      </c>
      <c r="AJ36" s="5">
        <v>5094860000000</v>
      </c>
      <c r="AK36" s="5">
        <v>4883560000000</v>
      </c>
      <c r="AL36" s="5">
        <v>4130610000000</v>
      </c>
      <c r="AM36" s="5"/>
      <c r="AN36" s="21">
        <f t="shared" si="0"/>
        <v>0.0339924</v>
      </c>
      <c r="AO36" s="21">
        <f t="shared" si="1"/>
        <v>22039066666666.7</v>
      </c>
      <c r="AP36" s="5">
        <f t="shared" si="2"/>
        <v>21921100000000</v>
      </c>
      <c r="AQ36" s="5">
        <f t="shared" si="3"/>
        <v>22218600000000</v>
      </c>
      <c r="AR36" s="5">
        <f t="shared" si="4"/>
        <v>4159996666666.67</v>
      </c>
      <c r="AS36" s="5">
        <f t="shared" si="5"/>
        <v>3598610000000</v>
      </c>
      <c r="AT36" s="5">
        <f t="shared" si="6"/>
        <v>4750770000000</v>
      </c>
    </row>
    <row r="37" customHeight="1" spans="1:46">
      <c r="A37" s="15">
        <v>0.0350067</v>
      </c>
      <c r="B37" s="5">
        <v>0.0355322</v>
      </c>
      <c r="C37" s="5">
        <v>22389300000000</v>
      </c>
      <c r="D37" s="5">
        <v>1413950000</v>
      </c>
      <c r="E37" s="5">
        <v>0</v>
      </c>
      <c r="F37" s="5">
        <v>0</v>
      </c>
      <c r="G37" s="5">
        <v>2</v>
      </c>
      <c r="H37" s="5">
        <v>5427770000000</v>
      </c>
      <c r="I37" s="5">
        <v>4492060000000</v>
      </c>
      <c r="J37" s="5">
        <v>4585180000000</v>
      </c>
      <c r="K37" s="5">
        <v>3948740000000</v>
      </c>
      <c r="L37" s="5">
        <v>3935120000000</v>
      </c>
      <c r="N37" s="15">
        <v>0.0349998</v>
      </c>
      <c r="O37" s="5">
        <v>0.0355045</v>
      </c>
      <c r="P37" s="5">
        <v>21665500000000</v>
      </c>
      <c r="Q37" s="5">
        <v>1378780000</v>
      </c>
      <c r="R37" s="5">
        <v>0</v>
      </c>
      <c r="S37" s="5">
        <v>0</v>
      </c>
      <c r="T37" s="5">
        <v>2</v>
      </c>
      <c r="U37" s="5">
        <v>4998950000000</v>
      </c>
      <c r="V37" s="5">
        <v>3947910000000</v>
      </c>
      <c r="W37" s="5">
        <v>4310170000000</v>
      </c>
      <c r="X37" s="5">
        <v>3936580000000</v>
      </c>
      <c r="Y37" s="5">
        <v>4471320000000</v>
      </c>
      <c r="AA37" s="15">
        <v>0.0350149</v>
      </c>
      <c r="AB37" s="5">
        <v>0.0354907</v>
      </c>
      <c r="AC37" s="5">
        <v>21451200000000</v>
      </c>
      <c r="AD37" s="5">
        <v>1193630000</v>
      </c>
      <c r="AE37" s="5">
        <v>0</v>
      </c>
      <c r="AF37" s="5">
        <v>0</v>
      </c>
      <c r="AG37" s="5">
        <v>2</v>
      </c>
      <c r="AH37" s="5">
        <v>4215110000000</v>
      </c>
      <c r="AI37" s="5">
        <v>3859430000000</v>
      </c>
      <c r="AJ37" s="5">
        <v>4601630000000</v>
      </c>
      <c r="AK37" s="5">
        <v>4789550000000</v>
      </c>
      <c r="AL37" s="5">
        <v>3985380000000</v>
      </c>
      <c r="AM37" s="5"/>
      <c r="AN37" s="21">
        <f t="shared" si="0"/>
        <v>0.0350067</v>
      </c>
      <c r="AO37" s="21">
        <f t="shared" si="1"/>
        <v>21835333333333.3</v>
      </c>
      <c r="AP37" s="5">
        <f t="shared" si="2"/>
        <v>21451200000000</v>
      </c>
      <c r="AQ37" s="5">
        <f t="shared" si="3"/>
        <v>22389300000000</v>
      </c>
      <c r="AR37" s="5">
        <f t="shared" si="4"/>
        <v>4130606666666.67</v>
      </c>
      <c r="AS37" s="5">
        <f t="shared" si="5"/>
        <v>3935120000000</v>
      </c>
      <c r="AT37" s="5">
        <f t="shared" si="6"/>
        <v>4471320000000</v>
      </c>
    </row>
    <row r="38" customHeight="1" spans="1:46">
      <c r="A38" s="15">
        <v>0.036004</v>
      </c>
      <c r="B38" s="5">
        <v>0.0365309</v>
      </c>
      <c r="C38" s="5">
        <v>22319000000000</v>
      </c>
      <c r="D38" s="5">
        <v>1111330000</v>
      </c>
      <c r="E38" s="5">
        <v>0</v>
      </c>
      <c r="F38" s="5">
        <v>0</v>
      </c>
      <c r="G38" s="5">
        <v>2</v>
      </c>
      <c r="H38" s="5">
        <v>4963410000000</v>
      </c>
      <c r="I38" s="5">
        <v>4424150000000</v>
      </c>
      <c r="J38" s="5">
        <v>4722250000000</v>
      </c>
      <c r="K38" s="5">
        <v>4028500000000</v>
      </c>
      <c r="L38" s="5">
        <v>4180050000000</v>
      </c>
      <c r="N38" s="15">
        <v>0.0359996</v>
      </c>
      <c r="O38" s="5">
        <v>0.0365252</v>
      </c>
      <c r="P38" s="5">
        <v>22581200000000</v>
      </c>
      <c r="Q38" s="5">
        <v>871025000</v>
      </c>
      <c r="R38" s="5">
        <v>0</v>
      </c>
      <c r="S38" s="5">
        <v>0</v>
      </c>
      <c r="T38" s="5">
        <v>2</v>
      </c>
      <c r="U38" s="5">
        <v>4845020000000</v>
      </c>
      <c r="V38" s="5">
        <v>3930770000000</v>
      </c>
      <c r="W38" s="5">
        <v>4538470000000</v>
      </c>
      <c r="X38" s="5">
        <v>4050680000000</v>
      </c>
      <c r="Y38" s="5">
        <v>5215380000000</v>
      </c>
      <c r="AA38" s="15">
        <v>0.0358873</v>
      </c>
      <c r="AB38" s="5">
        <v>0.0363952</v>
      </c>
      <c r="AC38" s="5">
        <v>21366600000000</v>
      </c>
      <c r="AD38" s="5">
        <v>680113000</v>
      </c>
      <c r="AE38" s="5">
        <v>0</v>
      </c>
      <c r="AF38" s="5">
        <v>0</v>
      </c>
      <c r="AG38" s="5">
        <v>2</v>
      </c>
      <c r="AH38" s="5">
        <v>4200210000000</v>
      </c>
      <c r="AI38" s="5">
        <v>4380770000000</v>
      </c>
      <c r="AJ38" s="5">
        <v>4559890000000</v>
      </c>
      <c r="AK38" s="5">
        <v>4500010000000</v>
      </c>
      <c r="AL38" s="5">
        <v>3724950000000</v>
      </c>
      <c r="AM38" s="5"/>
      <c r="AN38" s="21">
        <f t="shared" si="0"/>
        <v>0.036004</v>
      </c>
      <c r="AO38" s="21">
        <f t="shared" si="1"/>
        <v>22088933333333.3</v>
      </c>
      <c r="AP38" s="5">
        <f t="shared" si="2"/>
        <v>21366600000000</v>
      </c>
      <c r="AQ38" s="5">
        <f t="shared" si="3"/>
        <v>22581200000000</v>
      </c>
      <c r="AR38" s="5">
        <f t="shared" si="4"/>
        <v>4373460000000</v>
      </c>
      <c r="AS38" s="5">
        <f t="shared" si="5"/>
        <v>4180050000000</v>
      </c>
      <c r="AT38" s="5">
        <f t="shared" si="6"/>
        <v>5215380000000</v>
      </c>
    </row>
    <row r="39" customHeight="1" spans="1:46">
      <c r="A39" s="15">
        <v>0.0370332</v>
      </c>
      <c r="B39" s="5">
        <v>0.0375633</v>
      </c>
      <c r="C39" s="5">
        <v>21901000000000</v>
      </c>
      <c r="D39" s="5">
        <v>1431690000</v>
      </c>
      <c r="E39" s="5">
        <v>0</v>
      </c>
      <c r="F39" s="5">
        <v>0</v>
      </c>
      <c r="G39" s="5">
        <v>2</v>
      </c>
      <c r="H39" s="5">
        <v>4989770000000</v>
      </c>
      <c r="I39" s="5">
        <v>4149670000000</v>
      </c>
      <c r="J39" s="5">
        <v>4816840000000</v>
      </c>
      <c r="K39" s="5">
        <v>3809320000000</v>
      </c>
      <c r="L39" s="5">
        <v>4134720000000</v>
      </c>
      <c r="N39" s="15">
        <v>0.0369998</v>
      </c>
      <c r="O39" s="5">
        <v>0.0375368</v>
      </c>
      <c r="P39" s="5">
        <v>21983500000000</v>
      </c>
      <c r="Q39" s="5">
        <v>974078000</v>
      </c>
      <c r="R39" s="5">
        <v>0</v>
      </c>
      <c r="S39" s="5">
        <v>0</v>
      </c>
      <c r="T39" s="5">
        <v>2</v>
      </c>
      <c r="U39" s="5">
        <v>4548330000000</v>
      </c>
      <c r="V39" s="5">
        <v>4191680000000</v>
      </c>
      <c r="W39" s="5">
        <v>4429880000000</v>
      </c>
      <c r="X39" s="5">
        <v>3782810000000</v>
      </c>
      <c r="Y39" s="5">
        <v>5030410000000</v>
      </c>
      <c r="AA39" s="15">
        <v>0.036997</v>
      </c>
      <c r="AB39" s="5">
        <v>0.0375157</v>
      </c>
      <c r="AC39" s="5">
        <v>21748000000000</v>
      </c>
      <c r="AD39" s="5">
        <v>1342910000</v>
      </c>
      <c r="AE39" s="5">
        <v>0</v>
      </c>
      <c r="AF39" s="5">
        <v>0</v>
      </c>
      <c r="AG39" s="5">
        <v>2</v>
      </c>
      <c r="AH39" s="5">
        <v>4350060000000</v>
      </c>
      <c r="AI39" s="5">
        <v>4430460000000</v>
      </c>
      <c r="AJ39" s="5">
        <v>4431590000000</v>
      </c>
      <c r="AK39" s="5">
        <v>4417460000000</v>
      </c>
      <c r="AL39" s="5">
        <v>4118250000000</v>
      </c>
      <c r="AM39" s="5"/>
      <c r="AN39" s="21">
        <f t="shared" si="0"/>
        <v>0.0370332</v>
      </c>
      <c r="AO39" s="21">
        <f t="shared" si="1"/>
        <v>21877500000000</v>
      </c>
      <c r="AP39" s="5">
        <f t="shared" si="2"/>
        <v>21748000000000</v>
      </c>
      <c r="AQ39" s="5">
        <f t="shared" si="3"/>
        <v>21983500000000</v>
      </c>
      <c r="AR39" s="5">
        <f t="shared" si="4"/>
        <v>4427793333333.33</v>
      </c>
      <c r="AS39" s="5">
        <f t="shared" si="5"/>
        <v>4134720000000</v>
      </c>
      <c r="AT39" s="5">
        <f t="shared" si="6"/>
        <v>5030410000000</v>
      </c>
    </row>
    <row r="40" customHeight="1" spans="1:46">
      <c r="A40" s="15">
        <v>0.0379976</v>
      </c>
      <c r="B40" s="5">
        <v>0.0385338</v>
      </c>
      <c r="C40" s="5">
        <v>21534500000000</v>
      </c>
      <c r="D40" s="5">
        <v>831736000</v>
      </c>
      <c r="E40" s="5">
        <v>0</v>
      </c>
      <c r="F40" s="5">
        <v>0</v>
      </c>
      <c r="G40" s="5">
        <v>2</v>
      </c>
      <c r="H40" s="5">
        <v>4778800000000</v>
      </c>
      <c r="I40" s="5">
        <v>3901230000000</v>
      </c>
      <c r="J40" s="5">
        <v>4635180000000</v>
      </c>
      <c r="K40" s="5">
        <v>4141460000000</v>
      </c>
      <c r="L40" s="5">
        <v>4077760000000</v>
      </c>
      <c r="N40" s="15">
        <v>0.0379896</v>
      </c>
      <c r="O40" s="5">
        <v>0.0385433</v>
      </c>
      <c r="P40" s="5">
        <v>21274800000000</v>
      </c>
      <c r="Q40" s="5">
        <v>1170540000</v>
      </c>
      <c r="R40" s="5">
        <v>0</v>
      </c>
      <c r="S40" s="5">
        <v>0</v>
      </c>
      <c r="T40" s="5">
        <v>2</v>
      </c>
      <c r="U40" s="5">
        <v>4277080000000</v>
      </c>
      <c r="V40" s="5">
        <v>3918300000000</v>
      </c>
      <c r="W40" s="5">
        <v>3608630000000</v>
      </c>
      <c r="X40" s="5">
        <v>3836090000000</v>
      </c>
      <c r="Y40" s="5">
        <v>5634240000000</v>
      </c>
      <c r="AA40" s="15">
        <v>0.0379729</v>
      </c>
      <c r="AB40" s="5">
        <v>0.0385347</v>
      </c>
      <c r="AC40" s="5">
        <v>22206000000000</v>
      </c>
      <c r="AD40" s="5">
        <v>1059620000</v>
      </c>
      <c r="AE40" s="5">
        <v>0</v>
      </c>
      <c r="AF40" s="5">
        <v>0</v>
      </c>
      <c r="AG40" s="5">
        <v>2</v>
      </c>
      <c r="AH40" s="5">
        <v>4330580000000</v>
      </c>
      <c r="AI40" s="5">
        <v>4491500000000</v>
      </c>
      <c r="AJ40" s="5">
        <v>4371810000000</v>
      </c>
      <c r="AK40" s="5">
        <v>4775770000000</v>
      </c>
      <c r="AL40" s="5">
        <v>4236180000000</v>
      </c>
      <c r="AM40" s="5"/>
      <c r="AN40" s="21">
        <f t="shared" si="0"/>
        <v>0.0379976</v>
      </c>
      <c r="AO40" s="21">
        <f t="shared" si="1"/>
        <v>21671766666666.7</v>
      </c>
      <c r="AP40" s="5">
        <f t="shared" si="2"/>
        <v>21274800000000</v>
      </c>
      <c r="AQ40" s="5">
        <f t="shared" si="3"/>
        <v>22206000000000</v>
      </c>
      <c r="AR40" s="5">
        <f t="shared" si="4"/>
        <v>4649393333333.33</v>
      </c>
      <c r="AS40" s="5">
        <f t="shared" si="5"/>
        <v>4077760000000</v>
      </c>
      <c r="AT40" s="5">
        <f t="shared" si="6"/>
        <v>5634240000000</v>
      </c>
    </row>
    <row r="41" customHeight="1" spans="1:46">
      <c r="A41" s="15">
        <v>0.0390332</v>
      </c>
      <c r="B41" s="5">
        <v>0.0395502</v>
      </c>
      <c r="C41" s="5">
        <v>22125100000000</v>
      </c>
      <c r="D41" s="5">
        <v>1389990000</v>
      </c>
      <c r="E41" s="5">
        <v>0</v>
      </c>
      <c r="F41" s="5">
        <v>0</v>
      </c>
      <c r="G41" s="5">
        <v>2</v>
      </c>
      <c r="H41" s="5">
        <v>4928490000000</v>
      </c>
      <c r="I41" s="5">
        <v>4009500000000</v>
      </c>
      <c r="J41" s="5">
        <v>4681870000000</v>
      </c>
      <c r="K41" s="5">
        <v>4545510000000</v>
      </c>
      <c r="L41" s="5">
        <v>3959700000000</v>
      </c>
      <c r="N41" s="15">
        <v>0.0389838</v>
      </c>
      <c r="O41" s="5">
        <v>0.0395287</v>
      </c>
      <c r="P41" s="5">
        <v>21687200000000</v>
      </c>
      <c r="Q41" s="5">
        <v>961090000</v>
      </c>
      <c r="R41" s="5">
        <v>0</v>
      </c>
      <c r="S41" s="5">
        <v>0</v>
      </c>
      <c r="T41" s="5">
        <v>2</v>
      </c>
      <c r="U41" s="5">
        <v>4921650000000</v>
      </c>
      <c r="V41" s="5">
        <v>4145230000000</v>
      </c>
      <c r="W41" s="5">
        <v>3631040000000</v>
      </c>
      <c r="X41" s="5">
        <v>3786240000000</v>
      </c>
      <c r="Y41" s="5">
        <v>5202400000000</v>
      </c>
      <c r="AA41" s="15">
        <v>0.0390414</v>
      </c>
      <c r="AB41" s="5">
        <v>0.039559</v>
      </c>
      <c r="AC41" s="5">
        <v>22141000000000</v>
      </c>
      <c r="AD41" s="5">
        <v>921555000</v>
      </c>
      <c r="AE41" s="5">
        <v>0</v>
      </c>
      <c r="AF41" s="5">
        <v>0</v>
      </c>
      <c r="AG41" s="5">
        <v>2</v>
      </c>
      <c r="AH41" s="5">
        <v>4824450000000</v>
      </c>
      <c r="AI41" s="5">
        <v>4468290000000</v>
      </c>
      <c r="AJ41" s="5">
        <v>4278410000000</v>
      </c>
      <c r="AK41" s="5">
        <v>4463500000000</v>
      </c>
      <c r="AL41" s="5">
        <v>4106210000000</v>
      </c>
      <c r="AM41" s="5"/>
      <c r="AN41" s="21">
        <f t="shared" si="0"/>
        <v>0.0390332</v>
      </c>
      <c r="AO41" s="21">
        <f t="shared" si="1"/>
        <v>21984433333333.3</v>
      </c>
      <c r="AP41" s="5">
        <f t="shared" si="2"/>
        <v>21687200000000</v>
      </c>
      <c r="AQ41" s="5">
        <f t="shared" si="3"/>
        <v>22141000000000</v>
      </c>
      <c r="AR41" s="5">
        <f t="shared" si="4"/>
        <v>4422770000000</v>
      </c>
      <c r="AS41" s="5">
        <f t="shared" si="5"/>
        <v>3959700000000</v>
      </c>
      <c r="AT41" s="5">
        <f t="shared" si="6"/>
        <v>5202400000000</v>
      </c>
    </row>
    <row r="42" customHeight="1" spans="1:46">
      <c r="A42" s="15">
        <v>0.0400331</v>
      </c>
      <c r="B42" s="5">
        <v>0.040558</v>
      </c>
      <c r="C42" s="5">
        <v>21779200000000</v>
      </c>
      <c r="D42" s="5">
        <v>917252000</v>
      </c>
      <c r="E42" s="5">
        <v>0</v>
      </c>
      <c r="F42" s="5">
        <v>0</v>
      </c>
      <c r="G42" s="5">
        <v>2</v>
      </c>
      <c r="H42" s="5">
        <v>4889370000000</v>
      </c>
      <c r="I42" s="5">
        <v>4067970000000</v>
      </c>
      <c r="J42" s="5">
        <v>4567380000000</v>
      </c>
      <c r="K42" s="5">
        <v>4500150000000</v>
      </c>
      <c r="L42" s="5">
        <v>3754220000000</v>
      </c>
      <c r="N42" s="15">
        <v>0.0399947</v>
      </c>
      <c r="O42" s="5">
        <v>0.0405381</v>
      </c>
      <c r="P42" s="5">
        <v>21543900000000</v>
      </c>
      <c r="Q42" s="5">
        <v>749945000</v>
      </c>
      <c r="R42" s="5">
        <v>0</v>
      </c>
      <c r="S42" s="5">
        <v>0</v>
      </c>
      <c r="T42" s="5">
        <v>2</v>
      </c>
      <c r="U42" s="5">
        <v>4888310000000</v>
      </c>
      <c r="V42" s="5">
        <v>4245640000000</v>
      </c>
      <c r="W42" s="5">
        <v>3686810000000</v>
      </c>
      <c r="X42" s="5">
        <v>3975920000000</v>
      </c>
      <c r="Y42" s="5">
        <v>4746970000000</v>
      </c>
      <c r="AA42" s="15">
        <v>0.0400132</v>
      </c>
      <c r="AB42" s="5">
        <v>0.0405207</v>
      </c>
      <c r="AC42" s="5">
        <v>21731300000000</v>
      </c>
      <c r="AD42" s="5">
        <v>1521930000</v>
      </c>
      <c r="AE42" s="5">
        <v>0</v>
      </c>
      <c r="AF42" s="5">
        <v>0</v>
      </c>
      <c r="AG42" s="5">
        <v>2</v>
      </c>
      <c r="AH42" s="5">
        <v>4421450000000</v>
      </c>
      <c r="AI42" s="5">
        <v>4719970000000</v>
      </c>
      <c r="AJ42" s="5">
        <v>4103130000000</v>
      </c>
      <c r="AK42" s="5">
        <v>4673280000000</v>
      </c>
      <c r="AL42" s="5">
        <v>3813120000000</v>
      </c>
      <c r="AM42" s="5"/>
      <c r="AN42" s="21">
        <f t="shared" si="0"/>
        <v>0.0400331</v>
      </c>
      <c r="AO42" s="21">
        <f t="shared" si="1"/>
        <v>21684800000000</v>
      </c>
      <c r="AP42" s="5">
        <f t="shared" si="2"/>
        <v>21543900000000</v>
      </c>
      <c r="AQ42" s="5">
        <f t="shared" si="3"/>
        <v>21779200000000</v>
      </c>
      <c r="AR42" s="5">
        <f t="shared" si="4"/>
        <v>4104770000000</v>
      </c>
      <c r="AS42" s="5">
        <f t="shared" si="5"/>
        <v>3754220000000</v>
      </c>
      <c r="AT42" s="5">
        <f t="shared" si="6"/>
        <v>4746970000000</v>
      </c>
    </row>
    <row r="43" customHeight="1" spans="1:46">
      <c r="A43" s="15">
        <v>0.0410245</v>
      </c>
      <c r="B43" s="5">
        <v>0.0415785</v>
      </c>
      <c r="C43" s="5">
        <v>21795900000000</v>
      </c>
      <c r="D43" s="5">
        <v>1036630000</v>
      </c>
      <c r="E43" s="5">
        <v>0</v>
      </c>
      <c r="F43" s="5">
        <v>0</v>
      </c>
      <c r="G43" s="5">
        <v>2</v>
      </c>
      <c r="H43" s="5">
        <v>4978680000000</v>
      </c>
      <c r="I43" s="5">
        <v>4451940000000</v>
      </c>
      <c r="J43" s="5">
        <v>4121450000000</v>
      </c>
      <c r="K43" s="5">
        <v>4690980000000</v>
      </c>
      <c r="L43" s="5">
        <v>3551050000000</v>
      </c>
      <c r="N43" s="15">
        <v>0.0410329</v>
      </c>
      <c r="O43" s="5">
        <v>0.041549</v>
      </c>
      <c r="P43" s="5">
        <v>21696300000000</v>
      </c>
      <c r="Q43" s="5">
        <v>913719000</v>
      </c>
      <c r="R43" s="5">
        <v>0</v>
      </c>
      <c r="S43" s="5">
        <v>0</v>
      </c>
      <c r="T43" s="5">
        <v>2</v>
      </c>
      <c r="U43" s="5">
        <v>4849110000000</v>
      </c>
      <c r="V43" s="5">
        <v>4319020000000</v>
      </c>
      <c r="W43" s="5">
        <v>4176690000000</v>
      </c>
      <c r="X43" s="5">
        <v>4021720000000</v>
      </c>
      <c r="Y43" s="5">
        <v>4329740000000</v>
      </c>
      <c r="AA43" s="15">
        <v>0.0409977</v>
      </c>
      <c r="AB43" s="5">
        <v>0.0415324</v>
      </c>
      <c r="AC43" s="5">
        <v>21155800000000</v>
      </c>
      <c r="AD43" s="5">
        <v>1360690000</v>
      </c>
      <c r="AE43" s="5">
        <v>0</v>
      </c>
      <c r="AF43" s="5">
        <v>0</v>
      </c>
      <c r="AG43" s="5">
        <v>2</v>
      </c>
      <c r="AH43" s="5">
        <v>4139960000000</v>
      </c>
      <c r="AI43" s="5">
        <v>4387790000000</v>
      </c>
      <c r="AJ43" s="5">
        <v>4234430000000</v>
      </c>
      <c r="AK43" s="5">
        <v>4316130000000</v>
      </c>
      <c r="AL43" s="5">
        <v>4077460000000</v>
      </c>
      <c r="AM43" s="5"/>
      <c r="AN43" s="21">
        <f t="shared" si="0"/>
        <v>0.0410245</v>
      </c>
      <c r="AO43" s="21">
        <f t="shared" si="1"/>
        <v>21549333333333.3</v>
      </c>
      <c r="AP43" s="5">
        <f t="shared" si="2"/>
        <v>21155800000000</v>
      </c>
      <c r="AQ43" s="5">
        <f t="shared" si="3"/>
        <v>21795900000000</v>
      </c>
      <c r="AR43" s="5">
        <f t="shared" si="4"/>
        <v>3986083333333.33</v>
      </c>
      <c r="AS43" s="5">
        <f t="shared" si="5"/>
        <v>3551050000000</v>
      </c>
      <c r="AT43" s="5">
        <f t="shared" si="6"/>
        <v>4329740000000</v>
      </c>
    </row>
    <row r="44" customHeight="1" spans="1:46">
      <c r="A44" s="15">
        <v>0.042007</v>
      </c>
      <c r="B44" s="5">
        <v>0.042524</v>
      </c>
      <c r="C44" s="5">
        <v>21897400000000</v>
      </c>
      <c r="D44" s="5">
        <v>984908000</v>
      </c>
      <c r="E44" s="5">
        <v>0</v>
      </c>
      <c r="F44" s="5">
        <v>0</v>
      </c>
      <c r="G44" s="5">
        <v>2</v>
      </c>
      <c r="H44" s="5">
        <v>5160590000000</v>
      </c>
      <c r="I44" s="5">
        <v>4712820000000</v>
      </c>
      <c r="J44" s="5">
        <v>4041630000000</v>
      </c>
      <c r="K44" s="5">
        <v>4289800000000</v>
      </c>
      <c r="L44" s="5">
        <v>3692540000000</v>
      </c>
      <c r="N44" s="15">
        <v>0.0420217</v>
      </c>
      <c r="O44" s="5">
        <v>0.0425465</v>
      </c>
      <c r="P44" s="5">
        <v>21834100000000</v>
      </c>
      <c r="Q44" s="5">
        <v>929579000</v>
      </c>
      <c r="R44" s="5">
        <v>0</v>
      </c>
      <c r="S44" s="5">
        <v>0</v>
      </c>
      <c r="T44" s="5">
        <v>2</v>
      </c>
      <c r="U44" s="5">
        <v>4672830000000</v>
      </c>
      <c r="V44" s="5">
        <v>4428800000000</v>
      </c>
      <c r="W44" s="5">
        <v>4469740000000</v>
      </c>
      <c r="X44" s="5">
        <v>3934590000000</v>
      </c>
      <c r="Y44" s="5">
        <v>4327870000000</v>
      </c>
      <c r="AA44" s="15">
        <v>0.0420223</v>
      </c>
      <c r="AB44" s="5">
        <v>0.0425252</v>
      </c>
      <c r="AC44" s="5">
        <v>21179900000000</v>
      </c>
      <c r="AD44" s="5">
        <v>1327600000</v>
      </c>
      <c r="AE44" s="5">
        <v>0</v>
      </c>
      <c r="AF44" s="5">
        <v>0</v>
      </c>
      <c r="AG44" s="5">
        <v>2</v>
      </c>
      <c r="AH44" s="5">
        <v>4238940000000</v>
      </c>
      <c r="AI44" s="5">
        <v>4573030000000</v>
      </c>
      <c r="AJ44" s="5">
        <v>4113020000000</v>
      </c>
      <c r="AK44" s="5">
        <v>4801520000000</v>
      </c>
      <c r="AL44" s="5">
        <v>3453350000000</v>
      </c>
      <c r="AM44" s="5"/>
      <c r="AN44" s="21">
        <f t="shared" si="0"/>
        <v>0.042007</v>
      </c>
      <c r="AO44" s="21">
        <f t="shared" si="1"/>
        <v>21637133333333.3</v>
      </c>
      <c r="AP44" s="5">
        <f t="shared" si="2"/>
        <v>21179900000000</v>
      </c>
      <c r="AQ44" s="5">
        <f t="shared" si="3"/>
        <v>21897400000000</v>
      </c>
      <c r="AR44" s="5">
        <f t="shared" si="4"/>
        <v>3824586666666.67</v>
      </c>
      <c r="AS44" s="5">
        <f t="shared" si="5"/>
        <v>3692540000000</v>
      </c>
      <c r="AT44" s="5">
        <f t="shared" si="6"/>
        <v>4327870000000</v>
      </c>
    </row>
    <row r="45" customHeight="1" spans="1:46">
      <c r="A45" s="15">
        <v>0.0430207</v>
      </c>
      <c r="B45" s="5">
        <v>0.0435673</v>
      </c>
      <c r="C45" s="5">
        <v>21840100000000</v>
      </c>
      <c r="D45" s="5">
        <v>934158000</v>
      </c>
      <c r="E45" s="5">
        <v>0</v>
      </c>
      <c r="F45" s="5">
        <v>0</v>
      </c>
      <c r="G45" s="5">
        <v>2</v>
      </c>
      <c r="H45" s="5">
        <v>5056600000000</v>
      </c>
      <c r="I45" s="5">
        <v>4405280000000</v>
      </c>
      <c r="J45" s="5">
        <v>4327800000000</v>
      </c>
      <c r="K45" s="5">
        <v>4308220000000</v>
      </c>
      <c r="L45" s="5">
        <v>3742180000000</v>
      </c>
      <c r="N45" s="15">
        <v>0.0429891</v>
      </c>
      <c r="O45" s="5">
        <v>0.043522</v>
      </c>
      <c r="P45" s="5">
        <v>21779500000000</v>
      </c>
      <c r="Q45" s="5">
        <v>1567340000</v>
      </c>
      <c r="R45" s="5">
        <v>0</v>
      </c>
      <c r="S45" s="5">
        <v>0</v>
      </c>
      <c r="T45" s="5">
        <v>2</v>
      </c>
      <c r="U45" s="5">
        <v>5363050000000</v>
      </c>
      <c r="V45" s="5">
        <v>3740170000000</v>
      </c>
      <c r="W45" s="5">
        <v>3842140000000</v>
      </c>
      <c r="X45" s="5">
        <v>4283620000000</v>
      </c>
      <c r="Y45" s="5">
        <v>4550320000000</v>
      </c>
      <c r="AA45" s="15">
        <v>0.0429859</v>
      </c>
      <c r="AB45" s="5">
        <v>0.0435179</v>
      </c>
      <c r="AC45" s="5">
        <v>21432800000000</v>
      </c>
      <c r="AD45" s="5">
        <v>1103970000</v>
      </c>
      <c r="AE45" s="5">
        <v>0</v>
      </c>
      <c r="AF45" s="5">
        <v>0</v>
      </c>
      <c r="AG45" s="5">
        <v>2</v>
      </c>
      <c r="AH45" s="5">
        <v>4380350000000</v>
      </c>
      <c r="AI45" s="5">
        <v>4513630000000</v>
      </c>
      <c r="AJ45" s="5">
        <v>4081000000000</v>
      </c>
      <c r="AK45" s="5">
        <v>4351530000000</v>
      </c>
      <c r="AL45" s="5">
        <v>4105990000000</v>
      </c>
      <c r="AM45" s="5"/>
      <c r="AN45" s="21">
        <f t="shared" si="0"/>
        <v>0.0430207</v>
      </c>
      <c r="AO45" s="21">
        <f t="shared" si="1"/>
        <v>21684133333333.3</v>
      </c>
      <c r="AP45" s="5">
        <f t="shared" si="2"/>
        <v>21432800000000</v>
      </c>
      <c r="AQ45" s="5">
        <f t="shared" si="3"/>
        <v>21840100000000</v>
      </c>
      <c r="AR45" s="5">
        <f t="shared" si="4"/>
        <v>4132830000000</v>
      </c>
      <c r="AS45" s="5">
        <f t="shared" si="5"/>
        <v>3742180000000</v>
      </c>
      <c r="AT45" s="5">
        <f t="shared" si="6"/>
        <v>4550320000000</v>
      </c>
    </row>
    <row r="46" customHeight="1" spans="1:46">
      <c r="A46" s="15">
        <v>0.0440121</v>
      </c>
      <c r="B46" s="5">
        <v>0.0445434</v>
      </c>
      <c r="C46" s="5">
        <v>22143700000000</v>
      </c>
      <c r="D46" s="5">
        <v>829489000</v>
      </c>
      <c r="E46" s="5">
        <v>0</v>
      </c>
      <c r="F46" s="5">
        <v>0</v>
      </c>
      <c r="G46" s="5">
        <v>2</v>
      </c>
      <c r="H46" s="5">
        <v>5099090000000</v>
      </c>
      <c r="I46" s="5">
        <v>4350460000000</v>
      </c>
      <c r="J46" s="5">
        <v>4972380000000</v>
      </c>
      <c r="K46" s="5">
        <v>4028160000000</v>
      </c>
      <c r="L46" s="5">
        <v>3693510000000</v>
      </c>
      <c r="N46" s="15">
        <v>0.0440278</v>
      </c>
      <c r="O46" s="5">
        <v>0.0445275</v>
      </c>
      <c r="P46" s="5">
        <v>21781400000000</v>
      </c>
      <c r="Q46" s="5">
        <v>1049000000</v>
      </c>
      <c r="R46" s="5">
        <v>0</v>
      </c>
      <c r="S46" s="5">
        <v>0</v>
      </c>
      <c r="T46" s="5">
        <v>2</v>
      </c>
      <c r="U46" s="5">
        <v>5211740000000</v>
      </c>
      <c r="V46" s="5">
        <v>3563830000000</v>
      </c>
      <c r="W46" s="5">
        <v>4017810000000</v>
      </c>
      <c r="X46" s="5">
        <v>4409480000000</v>
      </c>
      <c r="Y46" s="5">
        <v>4578270000000</v>
      </c>
      <c r="AA46" s="15">
        <v>0.0440246</v>
      </c>
      <c r="AB46" s="5">
        <v>0.0446138</v>
      </c>
      <c r="AC46" s="5">
        <v>22107700000000</v>
      </c>
      <c r="AD46" s="5">
        <v>2291160000</v>
      </c>
      <c r="AE46" s="5">
        <v>0</v>
      </c>
      <c r="AF46" s="5">
        <v>0</v>
      </c>
      <c r="AG46" s="5">
        <v>2</v>
      </c>
      <c r="AH46" s="5">
        <v>4301220000000</v>
      </c>
      <c r="AI46" s="5">
        <v>4422170000000</v>
      </c>
      <c r="AJ46" s="5">
        <v>4395650000000</v>
      </c>
      <c r="AK46" s="5">
        <v>4333840000000</v>
      </c>
      <c r="AL46" s="5">
        <v>4652050000000</v>
      </c>
      <c r="AM46" s="5"/>
      <c r="AN46" s="21">
        <f t="shared" si="0"/>
        <v>0.0440121</v>
      </c>
      <c r="AO46" s="21">
        <f t="shared" si="1"/>
        <v>22010933333333.3</v>
      </c>
      <c r="AP46" s="5">
        <f t="shared" si="2"/>
        <v>21781400000000</v>
      </c>
      <c r="AQ46" s="5">
        <f t="shared" si="3"/>
        <v>22143700000000</v>
      </c>
      <c r="AR46" s="5">
        <f t="shared" si="4"/>
        <v>4307943333333.33</v>
      </c>
      <c r="AS46" s="5">
        <f t="shared" si="5"/>
        <v>3693510000000</v>
      </c>
      <c r="AT46" s="5">
        <f t="shared" si="6"/>
        <v>4652050000000</v>
      </c>
    </row>
    <row r="47" customHeight="1" spans="1:46">
      <c r="A47" s="15">
        <v>0.0449447</v>
      </c>
      <c r="B47" s="5">
        <v>0.0454799</v>
      </c>
      <c r="C47" s="5">
        <v>21947600000000</v>
      </c>
      <c r="D47" s="5">
        <v>1066980000</v>
      </c>
      <c r="E47" s="5">
        <v>0</v>
      </c>
      <c r="F47" s="5">
        <v>0</v>
      </c>
      <c r="G47" s="5">
        <v>2</v>
      </c>
      <c r="H47" s="5">
        <v>4757230000000</v>
      </c>
      <c r="I47" s="5">
        <v>4412850000000</v>
      </c>
      <c r="J47" s="5">
        <v>4661330000000</v>
      </c>
      <c r="K47" s="5">
        <v>4204100000000</v>
      </c>
      <c r="L47" s="5">
        <v>3911860000000</v>
      </c>
      <c r="N47" s="15">
        <v>0.0449825</v>
      </c>
      <c r="O47" s="5">
        <v>0.0455082</v>
      </c>
      <c r="P47" s="5">
        <v>21721600000000</v>
      </c>
      <c r="Q47" s="5">
        <v>1352560000</v>
      </c>
      <c r="R47" s="5">
        <v>0</v>
      </c>
      <c r="S47" s="5">
        <v>0</v>
      </c>
      <c r="T47" s="5">
        <v>2</v>
      </c>
      <c r="U47" s="5">
        <v>5390840000000</v>
      </c>
      <c r="V47" s="5">
        <v>3949220000000</v>
      </c>
      <c r="W47" s="5">
        <v>3765150000000</v>
      </c>
      <c r="X47" s="5">
        <v>3886890000000</v>
      </c>
      <c r="Y47" s="5">
        <v>4729390000000</v>
      </c>
      <c r="AA47" s="15">
        <v>0.0449692</v>
      </c>
      <c r="AB47" s="5">
        <v>0.0455164</v>
      </c>
      <c r="AC47" s="5">
        <v>21692100000000</v>
      </c>
      <c r="AD47" s="5">
        <v>1225580000</v>
      </c>
      <c r="AE47" s="5">
        <v>0</v>
      </c>
      <c r="AF47" s="5">
        <v>0</v>
      </c>
      <c r="AG47" s="5">
        <v>2</v>
      </c>
      <c r="AH47" s="5">
        <v>4583880000000</v>
      </c>
      <c r="AI47" s="5">
        <v>4386440000000</v>
      </c>
      <c r="AJ47" s="5">
        <v>4425660000000</v>
      </c>
      <c r="AK47" s="5">
        <v>4380610000000</v>
      </c>
      <c r="AL47" s="5">
        <v>3915290000000</v>
      </c>
      <c r="AM47" s="5"/>
      <c r="AN47" s="21">
        <f t="shared" si="0"/>
        <v>0.0449447</v>
      </c>
      <c r="AO47" s="21">
        <f t="shared" si="1"/>
        <v>21787100000000</v>
      </c>
      <c r="AP47" s="5">
        <f t="shared" si="2"/>
        <v>21692100000000</v>
      </c>
      <c r="AQ47" s="5">
        <f t="shared" si="3"/>
        <v>21947600000000</v>
      </c>
      <c r="AR47" s="5">
        <f t="shared" si="4"/>
        <v>4185513333333.33</v>
      </c>
      <c r="AS47" s="5">
        <f t="shared" si="5"/>
        <v>3911860000000</v>
      </c>
      <c r="AT47" s="5">
        <f t="shared" si="6"/>
        <v>4729390000000</v>
      </c>
    </row>
    <row r="48" customHeight="1" spans="1:46">
      <c r="A48" s="15">
        <v>0.0460476</v>
      </c>
      <c r="B48" s="5">
        <v>0.0465856</v>
      </c>
      <c r="C48" s="5">
        <v>21618200000000</v>
      </c>
      <c r="D48" s="5">
        <v>1459430000</v>
      </c>
      <c r="E48" s="5">
        <v>0</v>
      </c>
      <c r="F48" s="5">
        <v>0</v>
      </c>
      <c r="G48" s="5">
        <v>2</v>
      </c>
      <c r="H48" s="5">
        <v>5169320000000</v>
      </c>
      <c r="I48" s="5">
        <v>4038420000000</v>
      </c>
      <c r="J48" s="5">
        <v>4128060000000</v>
      </c>
      <c r="K48" s="5">
        <v>4082650000000</v>
      </c>
      <c r="L48" s="5">
        <v>4199760000000</v>
      </c>
      <c r="N48" s="15">
        <v>0.0459696</v>
      </c>
      <c r="O48" s="5">
        <v>0.0465273</v>
      </c>
      <c r="P48" s="5">
        <v>21992200000000</v>
      </c>
      <c r="Q48" s="5">
        <v>1330570000</v>
      </c>
      <c r="R48" s="5">
        <v>0</v>
      </c>
      <c r="S48" s="5">
        <v>0</v>
      </c>
      <c r="T48" s="5">
        <v>2</v>
      </c>
      <c r="U48" s="5">
        <v>5229600000000</v>
      </c>
      <c r="V48" s="5">
        <v>4375360000000</v>
      </c>
      <c r="W48" s="5">
        <v>3798850000000</v>
      </c>
      <c r="X48" s="5">
        <v>3981840000000</v>
      </c>
      <c r="Y48" s="5">
        <v>4606230000000</v>
      </c>
      <c r="AA48" s="15">
        <v>0.045983</v>
      </c>
      <c r="AB48" s="5">
        <v>0.0465018</v>
      </c>
      <c r="AC48" s="5">
        <v>21273300000000</v>
      </c>
      <c r="AD48" s="5">
        <v>775735000</v>
      </c>
      <c r="AE48" s="5">
        <v>0</v>
      </c>
      <c r="AF48" s="5">
        <v>0</v>
      </c>
      <c r="AG48" s="5">
        <v>2</v>
      </c>
      <c r="AH48" s="5">
        <v>4186710000000</v>
      </c>
      <c r="AI48" s="5">
        <v>4391520000000</v>
      </c>
      <c r="AJ48" s="5">
        <v>4309250000000</v>
      </c>
      <c r="AK48" s="5">
        <v>4491860000000</v>
      </c>
      <c r="AL48" s="5">
        <v>3893950000000</v>
      </c>
      <c r="AM48" s="5"/>
      <c r="AN48" s="21">
        <f t="shared" si="0"/>
        <v>0.0460476</v>
      </c>
      <c r="AO48" s="21">
        <f t="shared" si="1"/>
        <v>21627900000000</v>
      </c>
      <c r="AP48" s="5">
        <f t="shared" si="2"/>
        <v>21273300000000</v>
      </c>
      <c r="AQ48" s="5">
        <f t="shared" si="3"/>
        <v>21992200000000</v>
      </c>
      <c r="AR48" s="5">
        <f t="shared" si="4"/>
        <v>4233313333333.33</v>
      </c>
      <c r="AS48" s="5">
        <f t="shared" si="5"/>
        <v>4199760000000</v>
      </c>
      <c r="AT48" s="5">
        <f t="shared" si="6"/>
        <v>4606230000000</v>
      </c>
    </row>
    <row r="49" customHeight="1" spans="1:46">
      <c r="A49" s="15">
        <v>0.0470154</v>
      </c>
      <c r="B49" s="5">
        <v>0.047538</v>
      </c>
      <c r="C49" s="5">
        <v>21608300000000</v>
      </c>
      <c r="D49" s="5">
        <v>1255430000</v>
      </c>
      <c r="E49" s="5">
        <v>0</v>
      </c>
      <c r="F49" s="5">
        <v>0</v>
      </c>
      <c r="G49" s="5">
        <v>2</v>
      </c>
      <c r="H49" s="5">
        <v>4765740000000</v>
      </c>
      <c r="I49" s="5">
        <v>4231990000000</v>
      </c>
      <c r="J49" s="5">
        <v>4184130000000</v>
      </c>
      <c r="K49" s="5">
        <v>4261730000000</v>
      </c>
      <c r="L49" s="5">
        <v>4164680000000</v>
      </c>
      <c r="N49" s="15">
        <v>0.0469955</v>
      </c>
      <c r="O49" s="5">
        <v>0.0475503</v>
      </c>
      <c r="P49" s="5">
        <v>22288100000000</v>
      </c>
      <c r="Q49" s="5">
        <v>1234140000</v>
      </c>
      <c r="R49" s="5">
        <v>0</v>
      </c>
      <c r="S49" s="5">
        <v>0</v>
      </c>
      <c r="T49" s="5">
        <v>2</v>
      </c>
      <c r="U49" s="5">
        <v>4995030000000</v>
      </c>
      <c r="V49" s="5">
        <v>4268200000000</v>
      </c>
      <c r="W49" s="5">
        <v>4430740000000</v>
      </c>
      <c r="X49" s="5">
        <v>4131500000000</v>
      </c>
      <c r="Y49" s="5">
        <v>4462470000000</v>
      </c>
      <c r="AA49" s="15">
        <v>0.0469683</v>
      </c>
      <c r="AB49" s="5">
        <v>0.0475033</v>
      </c>
      <c r="AC49" s="5">
        <v>21687600000000</v>
      </c>
      <c r="AD49" s="5">
        <v>2741780000</v>
      </c>
      <c r="AE49" s="5">
        <v>0</v>
      </c>
      <c r="AF49" s="5">
        <v>0</v>
      </c>
      <c r="AG49" s="5">
        <v>2</v>
      </c>
      <c r="AH49" s="5">
        <v>4263170000000</v>
      </c>
      <c r="AI49" s="5">
        <v>4921610000000</v>
      </c>
      <c r="AJ49" s="5">
        <v>4061450000000</v>
      </c>
      <c r="AK49" s="5">
        <v>4360290000000</v>
      </c>
      <c r="AL49" s="5">
        <v>4080950000000</v>
      </c>
      <c r="AN49" s="21">
        <f t="shared" si="0"/>
        <v>0.0470154</v>
      </c>
      <c r="AO49" s="21">
        <f t="shared" si="1"/>
        <v>21861333333333.3</v>
      </c>
      <c r="AP49" s="5">
        <f t="shared" si="2"/>
        <v>21608300000000</v>
      </c>
      <c r="AQ49" s="5">
        <f t="shared" si="3"/>
        <v>22288100000000</v>
      </c>
      <c r="AR49" s="5">
        <f t="shared" si="4"/>
        <v>4236033333333.33</v>
      </c>
      <c r="AS49" s="5">
        <f t="shared" si="5"/>
        <v>4164680000000</v>
      </c>
      <c r="AT49" s="5">
        <f t="shared" si="6"/>
        <v>4462470000000</v>
      </c>
    </row>
    <row r="50" customHeight="1" spans="1:46">
      <c r="A50" s="15">
        <v>0.0480152</v>
      </c>
      <c r="B50" s="5">
        <v>0.0485466</v>
      </c>
      <c r="C50" s="5">
        <v>21115500000000</v>
      </c>
      <c r="D50" s="5">
        <v>920660000</v>
      </c>
      <c r="E50" s="5">
        <v>0</v>
      </c>
      <c r="F50" s="5">
        <v>0</v>
      </c>
      <c r="G50" s="5">
        <v>2</v>
      </c>
      <c r="H50" s="5">
        <v>4617340000000</v>
      </c>
      <c r="I50" s="5">
        <v>4211090000000</v>
      </c>
      <c r="J50" s="5">
        <v>4136070000000</v>
      </c>
      <c r="K50" s="5">
        <v>4015470000000</v>
      </c>
      <c r="L50" s="5">
        <v>4135340000000</v>
      </c>
      <c r="N50" s="15">
        <v>0.0479973</v>
      </c>
      <c r="O50" s="5">
        <v>0.0485558</v>
      </c>
      <c r="P50" s="5">
        <v>22149000000000</v>
      </c>
      <c r="Q50" s="5">
        <v>1422830000</v>
      </c>
      <c r="R50" s="5">
        <v>0</v>
      </c>
      <c r="S50" s="5">
        <v>0</v>
      </c>
      <c r="T50" s="5">
        <v>2</v>
      </c>
      <c r="U50" s="5">
        <v>5054840000000</v>
      </c>
      <c r="V50" s="5">
        <v>4683200000000</v>
      </c>
      <c r="W50" s="5">
        <v>4092930000000</v>
      </c>
      <c r="X50" s="5">
        <v>3950210000000</v>
      </c>
      <c r="Y50" s="5">
        <v>4366230000000</v>
      </c>
      <c r="AA50" s="15">
        <v>0.0479916</v>
      </c>
      <c r="AB50" s="5">
        <v>0.0485093</v>
      </c>
      <c r="AC50" s="5">
        <v>21740800000000</v>
      </c>
      <c r="AD50" s="5">
        <v>1253490000</v>
      </c>
      <c r="AE50" s="5">
        <v>0</v>
      </c>
      <c r="AF50" s="5">
        <v>0</v>
      </c>
      <c r="AG50" s="5">
        <v>2</v>
      </c>
      <c r="AH50" s="5">
        <v>4032200000000</v>
      </c>
      <c r="AI50" s="5">
        <v>4528670000000</v>
      </c>
      <c r="AJ50" s="5">
        <v>4787350000000</v>
      </c>
      <c r="AK50" s="5">
        <v>4546460000000</v>
      </c>
      <c r="AL50" s="5">
        <v>3846030000000</v>
      </c>
      <c r="AN50" s="21">
        <f t="shared" si="0"/>
        <v>0.0480152</v>
      </c>
      <c r="AO50" s="21">
        <f t="shared" si="1"/>
        <v>21668433333333.3</v>
      </c>
      <c r="AP50" s="5">
        <f t="shared" si="2"/>
        <v>21115500000000</v>
      </c>
      <c r="AQ50" s="5">
        <f t="shared" si="3"/>
        <v>22149000000000</v>
      </c>
      <c r="AR50" s="5">
        <f t="shared" si="4"/>
        <v>4115866666666.67</v>
      </c>
      <c r="AS50" s="5">
        <f t="shared" si="5"/>
        <v>4135340000000</v>
      </c>
      <c r="AT50" s="5">
        <f t="shared" si="6"/>
        <v>4366230000000</v>
      </c>
    </row>
    <row r="51" customHeight="1" spans="1:46">
      <c r="A51" s="15">
        <v>0.0490317</v>
      </c>
      <c r="B51" s="5">
        <v>0.0495486</v>
      </c>
      <c r="C51" s="5">
        <v>21979900000000</v>
      </c>
      <c r="D51" s="5">
        <v>900504000</v>
      </c>
      <c r="E51" s="5">
        <v>0</v>
      </c>
      <c r="F51" s="5">
        <v>0</v>
      </c>
      <c r="G51" s="5">
        <v>2</v>
      </c>
      <c r="H51" s="5">
        <v>4628860000000</v>
      </c>
      <c r="I51" s="5">
        <v>4338480000000</v>
      </c>
      <c r="J51" s="5">
        <v>4356040000000</v>
      </c>
      <c r="K51" s="5">
        <v>4208240000000</v>
      </c>
      <c r="L51" s="5">
        <v>4448170000000</v>
      </c>
      <c r="N51" s="15">
        <v>0.0489558</v>
      </c>
      <c r="O51" s="5">
        <v>0.049487</v>
      </c>
      <c r="P51" s="5">
        <v>22432200000000</v>
      </c>
      <c r="Q51" s="5">
        <v>817370000</v>
      </c>
      <c r="R51" s="5">
        <v>0</v>
      </c>
      <c r="S51" s="5">
        <v>0</v>
      </c>
      <c r="T51" s="5">
        <v>2</v>
      </c>
      <c r="U51" s="5">
        <v>5196220000000</v>
      </c>
      <c r="V51" s="5">
        <v>4463620000000</v>
      </c>
      <c r="W51" s="5">
        <v>4436610000000</v>
      </c>
      <c r="X51" s="5">
        <v>3809160000000</v>
      </c>
      <c r="Y51" s="5">
        <v>4526390000000</v>
      </c>
      <c r="AA51" s="15">
        <v>0.0489937</v>
      </c>
      <c r="AB51" s="5">
        <v>0.0495114</v>
      </c>
      <c r="AC51" s="5">
        <v>21388000000000</v>
      </c>
      <c r="AD51" s="5">
        <v>968937000</v>
      </c>
      <c r="AE51" s="5">
        <v>0</v>
      </c>
      <c r="AF51" s="5">
        <v>0</v>
      </c>
      <c r="AG51" s="5">
        <v>2</v>
      </c>
      <c r="AH51" s="5">
        <v>4196000000000</v>
      </c>
      <c r="AI51" s="5">
        <v>4475800000000</v>
      </c>
      <c r="AJ51" s="5">
        <v>4374860000000</v>
      </c>
      <c r="AK51" s="5">
        <v>4404050000000</v>
      </c>
      <c r="AL51" s="5">
        <v>3937130000000</v>
      </c>
      <c r="AN51" s="21">
        <f t="shared" si="0"/>
        <v>0.0490317</v>
      </c>
      <c r="AO51" s="21">
        <f t="shared" si="1"/>
        <v>21933366666666.7</v>
      </c>
      <c r="AP51" s="5">
        <f t="shared" si="2"/>
        <v>21388000000000</v>
      </c>
      <c r="AQ51" s="5">
        <f t="shared" si="3"/>
        <v>22432200000000</v>
      </c>
      <c r="AR51" s="5">
        <f t="shared" si="4"/>
        <v>4303896666666.67</v>
      </c>
      <c r="AS51" s="5">
        <f t="shared" si="5"/>
        <v>4404050000000</v>
      </c>
      <c r="AT51" s="5">
        <f t="shared" si="6"/>
        <v>4526390000000</v>
      </c>
    </row>
    <row r="52" customHeight="1" spans="1:46">
      <c r="A52" s="15">
        <v>0.050023</v>
      </c>
      <c r="B52" s="5">
        <v>0.0505353</v>
      </c>
      <c r="C52" s="5">
        <v>21626000000000</v>
      </c>
      <c r="D52" s="5">
        <v>3982790000</v>
      </c>
      <c r="E52" s="5">
        <v>0</v>
      </c>
      <c r="F52" s="5">
        <v>0</v>
      </c>
      <c r="G52" s="5">
        <v>2</v>
      </c>
      <c r="H52" s="5">
        <v>4784800000000</v>
      </c>
      <c r="I52" s="5">
        <v>4240540000000</v>
      </c>
      <c r="J52" s="5">
        <v>3998080000000</v>
      </c>
      <c r="K52" s="5">
        <v>4039190000000</v>
      </c>
      <c r="L52" s="5">
        <v>4561020000000</v>
      </c>
      <c r="N52" s="15">
        <v>0.0499969</v>
      </c>
      <c r="O52" s="5">
        <v>0.0505512</v>
      </c>
      <c r="P52" s="5">
        <v>21674600000000</v>
      </c>
      <c r="Q52" s="5">
        <v>1119630000</v>
      </c>
      <c r="R52" s="5">
        <v>0</v>
      </c>
      <c r="S52" s="5">
        <v>0</v>
      </c>
      <c r="T52" s="5">
        <v>2</v>
      </c>
      <c r="U52" s="5">
        <v>4957810000000</v>
      </c>
      <c r="V52" s="5">
        <v>3954740000000</v>
      </c>
      <c r="W52" s="5">
        <v>4134970000000</v>
      </c>
      <c r="X52" s="5">
        <v>3779570000000</v>
      </c>
      <c r="Y52" s="5">
        <v>4847420000000</v>
      </c>
      <c r="AA52" s="15">
        <v>0.049996</v>
      </c>
      <c r="AB52" s="5">
        <v>0.0505242</v>
      </c>
      <c r="AC52" s="5">
        <v>21617200000000</v>
      </c>
      <c r="AD52" s="5">
        <v>1244460000</v>
      </c>
      <c r="AE52" s="5">
        <v>0</v>
      </c>
      <c r="AF52" s="5">
        <v>0</v>
      </c>
      <c r="AG52" s="5">
        <v>2</v>
      </c>
      <c r="AH52" s="5">
        <v>4200850000000</v>
      </c>
      <c r="AI52" s="5">
        <v>4619840000000</v>
      </c>
      <c r="AJ52" s="5">
        <v>4187950000000</v>
      </c>
      <c r="AK52" s="5">
        <v>4380370000000</v>
      </c>
      <c r="AL52" s="5">
        <v>4227910000000</v>
      </c>
      <c r="AN52" s="21">
        <f t="shared" si="0"/>
        <v>0.050023</v>
      </c>
      <c r="AO52" s="21">
        <f t="shared" si="1"/>
        <v>21639266666666.7</v>
      </c>
      <c r="AP52" s="5">
        <f t="shared" si="2"/>
        <v>21617200000000</v>
      </c>
      <c r="AQ52" s="5">
        <f t="shared" si="3"/>
        <v>21674600000000</v>
      </c>
      <c r="AR52" s="5">
        <f t="shared" si="4"/>
        <v>4545450000000</v>
      </c>
      <c r="AS52" s="5">
        <f t="shared" si="5"/>
        <v>4380370000000</v>
      </c>
      <c r="AT52" s="5">
        <f t="shared" si="6"/>
        <v>4847420000000</v>
      </c>
    </row>
    <row r="53" customHeight="1" spans="1:46">
      <c r="A53" s="15">
        <v>0.0509594</v>
      </c>
      <c r="B53" s="5">
        <v>0.0514973</v>
      </c>
      <c r="C53" s="5">
        <v>21801400000000</v>
      </c>
      <c r="D53" s="5">
        <v>869461000</v>
      </c>
      <c r="E53" s="5">
        <v>0</v>
      </c>
      <c r="F53" s="5">
        <v>0</v>
      </c>
      <c r="G53" s="5">
        <v>2</v>
      </c>
      <c r="H53" s="5">
        <v>4983640000000</v>
      </c>
      <c r="I53" s="5">
        <v>4282490000000</v>
      </c>
      <c r="J53" s="5">
        <v>4349750000000</v>
      </c>
      <c r="K53" s="5">
        <v>4014690000000</v>
      </c>
      <c r="L53" s="5">
        <v>4170720000000</v>
      </c>
      <c r="N53" s="15">
        <v>0.0510062</v>
      </c>
      <c r="O53" s="5">
        <v>0.0515489</v>
      </c>
      <c r="P53" s="5">
        <v>22733700000000</v>
      </c>
      <c r="Q53" s="5">
        <v>1331900000</v>
      </c>
      <c r="R53" s="5">
        <v>0</v>
      </c>
      <c r="S53" s="5">
        <v>0</v>
      </c>
      <c r="T53" s="5">
        <v>2</v>
      </c>
      <c r="U53" s="5">
        <v>5242850000000</v>
      </c>
      <c r="V53" s="5">
        <v>4626500000000</v>
      </c>
      <c r="W53" s="5">
        <v>3822170000000</v>
      </c>
      <c r="X53" s="5">
        <v>4192820000000</v>
      </c>
      <c r="Y53" s="5">
        <v>4848380000000</v>
      </c>
      <c r="AA53" s="15">
        <v>0.0510305</v>
      </c>
      <c r="AB53" s="5">
        <v>0.0515201</v>
      </c>
      <c r="AC53" s="5">
        <v>21492900000000</v>
      </c>
      <c r="AD53" s="5">
        <v>647570000</v>
      </c>
      <c r="AE53" s="5">
        <v>0</v>
      </c>
      <c r="AF53" s="5">
        <v>0</v>
      </c>
      <c r="AG53" s="5">
        <v>2</v>
      </c>
      <c r="AH53" s="5">
        <v>4490720000000</v>
      </c>
      <c r="AI53" s="5">
        <v>4778630000000</v>
      </c>
      <c r="AJ53" s="5">
        <v>4575710000000</v>
      </c>
      <c r="AK53" s="5">
        <v>4521580000000</v>
      </c>
      <c r="AL53" s="5">
        <v>3126190000000</v>
      </c>
      <c r="AN53" s="21"/>
      <c r="AO53" s="21"/>
      <c r="AP53" s="5"/>
      <c r="AQ53" s="5"/>
      <c r="AR53" s="5"/>
      <c r="AS53" s="5"/>
      <c r="AT53" s="5"/>
    </row>
    <row r="54" customHeight="1" spans="1:38">
      <c r="A54" s="5"/>
      <c r="B54" s="5"/>
      <c r="N54" s="15">
        <v>0.0519854</v>
      </c>
      <c r="O54" s="5">
        <v>0.0525364</v>
      </c>
      <c r="P54" s="5">
        <v>22274300000000</v>
      </c>
      <c r="Q54" s="5">
        <v>2082310000</v>
      </c>
      <c r="R54" s="5">
        <v>0</v>
      </c>
      <c r="S54" s="5">
        <v>0</v>
      </c>
      <c r="T54" s="5">
        <v>2</v>
      </c>
      <c r="U54" s="5">
        <v>4885910000000</v>
      </c>
      <c r="V54" s="5">
        <v>3994690000000</v>
      </c>
      <c r="W54" s="5">
        <v>4378280000000</v>
      </c>
      <c r="X54" s="5">
        <v>4379820000000</v>
      </c>
      <c r="Y54" s="5">
        <v>4635240000000</v>
      </c>
      <c r="AA54" s="15">
        <v>0.0520006</v>
      </c>
      <c r="AB54" s="5">
        <v>0.0524705</v>
      </c>
      <c r="AC54" s="5">
        <v>21478300000000</v>
      </c>
      <c r="AD54" s="5">
        <v>1259810000</v>
      </c>
      <c r="AE54" s="5">
        <v>0</v>
      </c>
      <c r="AF54" s="5">
        <v>0</v>
      </c>
      <c r="AG54" s="5">
        <v>2</v>
      </c>
      <c r="AH54" s="5">
        <v>4554460000000</v>
      </c>
      <c r="AI54" s="5">
        <v>4730560000000</v>
      </c>
      <c r="AJ54" s="5">
        <v>4483520000000</v>
      </c>
      <c r="AK54" s="5">
        <v>4581830000000</v>
      </c>
      <c r="AL54" s="5">
        <v>3127910000000</v>
      </c>
    </row>
    <row r="55" customHeight="1" spans="1:38">
      <c r="A55" s="5"/>
      <c r="B55" s="5"/>
      <c r="N55" s="15">
        <v>0.0529953</v>
      </c>
      <c r="O55" s="5">
        <v>0.053511</v>
      </c>
      <c r="P55" s="5">
        <v>22229500000000</v>
      </c>
      <c r="Q55" s="5">
        <v>2130220000</v>
      </c>
      <c r="R55" s="5">
        <v>0</v>
      </c>
      <c r="S55" s="5">
        <v>0</v>
      </c>
      <c r="T55" s="5">
        <v>2</v>
      </c>
      <c r="U55" s="5">
        <v>5044830000000</v>
      </c>
      <c r="V55" s="5">
        <v>3934380000000</v>
      </c>
      <c r="W55" s="5">
        <v>4345270000000</v>
      </c>
      <c r="X55" s="5">
        <v>4541380000000</v>
      </c>
      <c r="Y55" s="5">
        <v>4363640000000</v>
      </c>
      <c r="AA55" s="15">
        <v>0.0529762</v>
      </c>
      <c r="AB55" s="5">
        <v>0.0534715</v>
      </c>
      <c r="AC55" s="5">
        <v>21709800000000</v>
      </c>
      <c r="AD55" s="5">
        <v>1496670000</v>
      </c>
      <c r="AE55" s="5">
        <v>0</v>
      </c>
      <c r="AF55" s="5">
        <v>0</v>
      </c>
      <c r="AG55" s="5">
        <v>2</v>
      </c>
      <c r="AH55" s="5">
        <v>4499960000000</v>
      </c>
      <c r="AI55" s="5">
        <v>4676160000000</v>
      </c>
      <c r="AJ55" s="5">
        <v>4437840000000</v>
      </c>
      <c r="AK55" s="5">
        <v>4594340000000</v>
      </c>
      <c r="AL55" s="5">
        <v>3501280000000</v>
      </c>
    </row>
    <row r="56" customHeight="1" spans="1:38">
      <c r="A56" s="5"/>
      <c r="B56" s="5"/>
      <c r="N56" s="15">
        <v>0.0540649</v>
      </c>
      <c r="O56" s="5">
        <v>0.0545529</v>
      </c>
      <c r="P56" s="5">
        <v>21875100000000</v>
      </c>
      <c r="Q56" s="5">
        <v>681027000</v>
      </c>
      <c r="R56" s="5">
        <v>0</v>
      </c>
      <c r="S56" s="5">
        <v>0</v>
      </c>
      <c r="T56" s="5">
        <v>2</v>
      </c>
      <c r="U56" s="5">
        <v>5426830000000</v>
      </c>
      <c r="V56" s="5">
        <v>4137810000000</v>
      </c>
      <c r="W56" s="5">
        <v>4009680000000</v>
      </c>
      <c r="X56" s="5">
        <v>3845200000000</v>
      </c>
      <c r="Y56" s="5">
        <v>4455360000000</v>
      </c>
      <c r="AA56" s="15">
        <v>0.0540117</v>
      </c>
      <c r="AB56" s="5">
        <v>0.0545099</v>
      </c>
      <c r="AC56" s="5">
        <v>22221000000000</v>
      </c>
      <c r="AD56" s="5">
        <v>2328690000</v>
      </c>
      <c r="AE56" s="5">
        <v>0</v>
      </c>
      <c r="AF56" s="5">
        <v>0</v>
      </c>
      <c r="AG56" s="5">
        <v>2</v>
      </c>
      <c r="AH56" s="5">
        <v>4615880000000</v>
      </c>
      <c r="AI56" s="5">
        <v>4348530000000</v>
      </c>
      <c r="AJ56" s="5">
        <v>4223380000000</v>
      </c>
      <c r="AK56" s="5">
        <v>4849300000000</v>
      </c>
      <c r="AL56" s="5">
        <v>4183240000000</v>
      </c>
    </row>
    <row r="57" customHeight="1" spans="1:38">
      <c r="A57" s="5"/>
      <c r="B57" s="5"/>
      <c r="N57" s="15">
        <v>0.0549954</v>
      </c>
      <c r="O57" s="5">
        <v>0.0555544</v>
      </c>
      <c r="P57" s="5">
        <v>22541300000000</v>
      </c>
      <c r="Q57" s="5">
        <v>829673000</v>
      </c>
      <c r="R57" s="5">
        <v>0</v>
      </c>
      <c r="S57" s="5">
        <v>0</v>
      </c>
      <c r="T57" s="5">
        <v>2</v>
      </c>
      <c r="U57" s="5">
        <v>5353300000000</v>
      </c>
      <c r="V57" s="5">
        <v>4338680000000</v>
      </c>
      <c r="W57" s="5">
        <v>4273910000000</v>
      </c>
      <c r="X57" s="5">
        <v>3972290000000</v>
      </c>
      <c r="Y57" s="5">
        <v>4603000000000</v>
      </c>
      <c r="AA57" s="15">
        <v>0.05498</v>
      </c>
      <c r="AB57" s="5">
        <v>0.0555046</v>
      </c>
      <c r="AC57" s="5">
        <v>21417800000000</v>
      </c>
      <c r="AD57" s="5">
        <v>2153540000</v>
      </c>
      <c r="AE57" s="5">
        <v>0</v>
      </c>
      <c r="AF57" s="5">
        <v>0</v>
      </c>
      <c r="AG57" s="5">
        <v>2</v>
      </c>
      <c r="AH57" s="5">
        <v>4274790000000</v>
      </c>
      <c r="AI57" s="5">
        <v>4182760000000</v>
      </c>
      <c r="AJ57" s="5">
        <v>4283360000000</v>
      </c>
      <c r="AK57" s="5">
        <v>4578510000000</v>
      </c>
      <c r="AL57" s="5">
        <v>4097860000000</v>
      </c>
    </row>
    <row r="58" customHeight="1" spans="1:38">
      <c r="A58" s="5"/>
      <c r="B58" s="5"/>
      <c r="N58" s="15">
        <v>0.0560102</v>
      </c>
      <c r="O58" s="5">
        <v>0.0565396</v>
      </c>
      <c r="P58" s="5">
        <v>22715100000000</v>
      </c>
      <c r="Q58" s="5">
        <v>1575290000</v>
      </c>
      <c r="R58" s="5">
        <v>0</v>
      </c>
      <c r="S58" s="5">
        <v>0</v>
      </c>
      <c r="T58" s="5">
        <v>2</v>
      </c>
      <c r="U58" s="5">
        <v>5580390000000</v>
      </c>
      <c r="V58" s="5">
        <v>4395590000000</v>
      </c>
      <c r="W58" s="5">
        <v>4432030000000</v>
      </c>
      <c r="X58" s="5">
        <v>3891340000000</v>
      </c>
      <c r="Y58" s="5">
        <v>4415690000000</v>
      </c>
      <c r="AA58" s="15">
        <v>0.0559271</v>
      </c>
      <c r="AB58" s="5">
        <v>0.0564474</v>
      </c>
      <c r="AC58" s="5">
        <v>21917400000000</v>
      </c>
      <c r="AD58" s="5">
        <v>1133770000</v>
      </c>
      <c r="AE58" s="5">
        <v>0</v>
      </c>
      <c r="AF58" s="5">
        <v>0</v>
      </c>
      <c r="AG58" s="5">
        <v>2</v>
      </c>
      <c r="AH58" s="5">
        <v>4506650000000</v>
      </c>
      <c r="AI58" s="5">
        <v>4416370000000</v>
      </c>
      <c r="AJ58" s="5">
        <v>4081720000000</v>
      </c>
      <c r="AK58" s="5">
        <v>4890350000000</v>
      </c>
      <c r="AL58" s="5">
        <v>4022040000000</v>
      </c>
    </row>
    <row r="59" customHeight="1" spans="1:25">
      <c r="A59" s="5"/>
      <c r="B59" s="5"/>
      <c r="N59" s="15">
        <v>0.0570144</v>
      </c>
      <c r="O59" s="5">
        <v>0.0575244</v>
      </c>
      <c r="P59" s="5">
        <v>23280400000000</v>
      </c>
      <c r="Q59" s="5">
        <v>1560060000</v>
      </c>
      <c r="R59" s="5">
        <v>0</v>
      </c>
      <c r="S59" s="5">
        <v>0</v>
      </c>
      <c r="T59" s="5">
        <v>2</v>
      </c>
      <c r="U59" s="5">
        <v>5442950000000</v>
      </c>
      <c r="V59" s="5">
        <v>4812290000000</v>
      </c>
      <c r="W59" s="5">
        <v>4534540000000</v>
      </c>
      <c r="X59" s="5">
        <v>4220450000000</v>
      </c>
      <c r="Y59" s="5">
        <v>4269660000000</v>
      </c>
    </row>
    <row r="60" customHeight="1" spans="1:2">
      <c r="A60" s="5"/>
      <c r="B60" s="5"/>
    </row>
    <row r="61" customHeight="1" spans="1:2">
      <c r="A61" s="5"/>
      <c r="B61" s="5"/>
    </row>
    <row r="62" customHeight="1" spans="1:2">
      <c r="A62" s="5"/>
      <c r="B62" s="5"/>
    </row>
    <row r="63" customHeight="1" spans="1:2">
      <c r="A63" s="5"/>
      <c r="B63" s="5"/>
    </row>
    <row r="64" customHeight="1" spans="1:2">
      <c r="A64" s="5"/>
      <c r="B64" s="5"/>
    </row>
    <row r="65" customHeight="1" spans="1:2">
      <c r="A65" s="5"/>
      <c r="B65" s="5"/>
    </row>
    <row r="66" customHeight="1" spans="1:2">
      <c r="A66" s="5"/>
      <c r="B66" s="5"/>
    </row>
    <row r="67" customHeight="1" spans="1:2">
      <c r="A67" s="5"/>
      <c r="B67" s="5"/>
    </row>
    <row r="68" customHeight="1" spans="1:2">
      <c r="A68" s="5"/>
      <c r="B68" s="5"/>
    </row>
    <row r="69" customHeight="1" spans="1:2">
      <c r="A69" s="5"/>
      <c r="B69" s="5"/>
    </row>
    <row r="70" customHeight="1" spans="1:2">
      <c r="A70" s="5"/>
      <c r="B70" s="5"/>
    </row>
    <row r="71" customHeight="1" spans="1:2">
      <c r="A71" s="5"/>
      <c r="B71" s="5"/>
    </row>
    <row r="72" customHeight="1" spans="1:2">
      <c r="A72" s="5"/>
      <c r="B72" s="5"/>
    </row>
    <row r="73" customHeight="1" spans="1:2">
      <c r="A73" s="5"/>
      <c r="B73" s="5"/>
    </row>
    <row r="74" customHeight="1" spans="1:2">
      <c r="A74" s="5"/>
      <c r="B74" s="5"/>
    </row>
    <row r="75" customHeight="1" spans="1:2">
      <c r="A75" s="5"/>
      <c r="B75" s="5"/>
    </row>
    <row r="76" customHeight="1" spans="1:2">
      <c r="A76" s="5"/>
      <c r="B76" s="5"/>
    </row>
    <row r="77" customHeight="1" spans="1:2">
      <c r="A77" s="5"/>
      <c r="B77" s="5"/>
    </row>
    <row r="78" customHeight="1" spans="1:2">
      <c r="A78" s="5"/>
      <c r="B78" s="5"/>
    </row>
    <row r="79" customHeight="1" spans="1:2">
      <c r="A79" s="5"/>
      <c r="B79" s="5"/>
    </row>
    <row r="80" customHeight="1" spans="1:2">
      <c r="A80" s="5"/>
      <c r="B80" s="5"/>
    </row>
    <row r="81" customHeight="1" spans="1:2">
      <c r="A81" s="5"/>
      <c r="B81" s="5"/>
    </row>
    <row r="82" customHeight="1" spans="1:2">
      <c r="A82" s="5"/>
      <c r="B82" s="5"/>
    </row>
    <row r="83" customHeight="1" spans="1:2">
      <c r="A83" s="5"/>
      <c r="B83" s="5"/>
    </row>
  </sheetData>
  <mergeCells count="3">
    <mergeCell ref="A1:L1"/>
    <mergeCell ref="N1:Y1"/>
    <mergeCell ref="AA1:A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zoomScale="180" zoomScaleNormal="180" workbookViewId="0">
      <selection activeCell="M12" sqref="M12"/>
    </sheetView>
  </sheetViews>
  <sheetFormatPr defaultColWidth="9.01481481481481" defaultRowHeight="15" customHeight="1"/>
  <cols>
    <col min="11" max="11" width="9.20740740740741" style="2" customWidth="1"/>
    <col min="16" max="16" width="12.437037037037" style="2" customWidth="1"/>
    <col min="18" max="18" width="12.437037037037" style="2" customWidth="1"/>
  </cols>
  <sheetData>
    <row r="1" customHeight="1" spans="1:19">
      <c r="A1" s="19" t="s">
        <v>12</v>
      </c>
      <c r="B1" s="19"/>
      <c r="D1" s="19" t="s">
        <v>13</v>
      </c>
      <c r="E1" s="19"/>
      <c r="G1" s="19" t="s">
        <v>4</v>
      </c>
      <c r="H1" s="19"/>
      <c r="J1" s="19" t="s">
        <v>25</v>
      </c>
      <c r="K1" s="19"/>
      <c r="N1" s="7"/>
      <c r="O1" s="7"/>
      <c r="S1" s="7"/>
    </row>
    <row r="2" customHeight="1" spans="1:19">
      <c r="A2" s="4">
        <v>0.000155883</v>
      </c>
      <c r="B2" s="4">
        <v>69729500</v>
      </c>
      <c r="C2" s="4"/>
      <c r="D2" s="4">
        <v>0.000196169</v>
      </c>
      <c r="E2" s="4">
        <v>73268700</v>
      </c>
      <c r="F2" s="4"/>
      <c r="G2" s="4">
        <v>0.000179591</v>
      </c>
      <c r="H2" s="4">
        <v>71795600</v>
      </c>
      <c r="K2" s="3" t="s">
        <v>16</v>
      </c>
      <c r="L2" s="3" t="s">
        <v>17</v>
      </c>
      <c r="M2" s="3" t="s">
        <v>18</v>
      </c>
      <c r="N2" s="7" t="s">
        <v>19</v>
      </c>
      <c r="O2" s="7" t="s">
        <v>20</v>
      </c>
      <c r="P2" s="3" t="s">
        <v>21</v>
      </c>
      <c r="Q2" s="3" t="s">
        <v>22</v>
      </c>
      <c r="R2" s="3" t="s">
        <v>23</v>
      </c>
      <c r="S2" s="7" t="s">
        <v>24</v>
      </c>
    </row>
    <row r="3" customHeight="1" spans="1:19">
      <c r="A3" s="4">
        <v>0.00102797</v>
      </c>
      <c r="B3" s="4">
        <v>94937300</v>
      </c>
      <c r="C3" s="4"/>
      <c r="D3" s="4">
        <v>0.0010481</v>
      </c>
      <c r="E3" s="4">
        <v>105376000</v>
      </c>
      <c r="F3" s="4"/>
      <c r="G3" s="4">
        <v>0.00102515</v>
      </c>
      <c r="H3" s="4">
        <v>93099300</v>
      </c>
      <c r="J3" s="3" t="s">
        <v>2</v>
      </c>
      <c r="K3" s="3">
        <f>AVERAGE(B28:B32)/1000000</f>
        <v>123.277</v>
      </c>
      <c r="L3" s="5">
        <f>AVERAGE('400K_SR100'!L28:L32)</f>
        <v>3903980000000</v>
      </c>
      <c r="M3" s="5">
        <f>AVERAGE('400K_SR100'!C28:C32)</f>
        <v>23728400000000</v>
      </c>
      <c r="N3" s="7">
        <f>Graphs!$B$1*80.9*0.248*SQRT(L3)/1000000</f>
        <v>19.8209286795112</v>
      </c>
      <c r="O3" s="7">
        <f>Graphs!$B$2*80.9*0.248*SQRT(M3)/1000000</f>
        <v>4.88657348561454</v>
      </c>
      <c r="P3" s="3">
        <f>SQRT(N3^2+O3^2)</f>
        <v>20.4144021256705</v>
      </c>
      <c r="Q3" s="3">
        <f>K3*0.4707</f>
        <v>58.0264839</v>
      </c>
      <c r="R3" s="3">
        <f>Q3/P3</f>
        <v>2.84242876880697</v>
      </c>
      <c r="S3" s="7">
        <f>L3/M3</f>
        <v>0.164527738912021</v>
      </c>
    </row>
    <row r="4" customHeight="1" spans="1:19">
      <c r="A4" s="4">
        <v>0.00197426</v>
      </c>
      <c r="B4" s="4">
        <v>106634000</v>
      </c>
      <c r="C4" s="4"/>
      <c r="D4" s="4">
        <v>0.00200316</v>
      </c>
      <c r="E4" s="4">
        <v>107447000</v>
      </c>
      <c r="F4" s="4"/>
      <c r="G4" s="4">
        <v>0.00196625</v>
      </c>
      <c r="H4" s="4">
        <v>104645000</v>
      </c>
      <c r="J4" s="3" t="s">
        <v>3</v>
      </c>
      <c r="K4" s="3">
        <f>AVERAGE(E28:E32)/1000000</f>
        <v>119.2764</v>
      </c>
      <c r="L4" s="5">
        <f>AVERAGE('400K_SR100'!Y28:Y32)</f>
        <v>4314250000000</v>
      </c>
      <c r="M4" s="5">
        <f>AVERAGE('400K_SR100'!P28:P32)</f>
        <v>23243440000000</v>
      </c>
      <c r="N4" s="7">
        <f>Graphs!$B$1*80.9*0.248*SQRT(L4)/1000000</f>
        <v>20.8364083766248</v>
      </c>
      <c r="O4" s="7">
        <f>Graphs!$B$2*80.9*0.248*SQRT(M4)/1000000</f>
        <v>4.83637991068676</v>
      </c>
      <c r="P4" s="3">
        <f>SQRT(N4^2+O4^2)</f>
        <v>21.3903362450891</v>
      </c>
      <c r="Q4" s="3">
        <f>K4*0.4707</f>
        <v>56.14340148</v>
      </c>
      <c r="R4" s="3">
        <f>Q4/P4</f>
        <v>2.62470869259428</v>
      </c>
      <c r="S4" s="7">
        <f>L4/M4</f>
        <v>0.185611510172332</v>
      </c>
    </row>
    <row r="5" customHeight="1" spans="1:19">
      <c r="A5" s="4">
        <v>0.00291712</v>
      </c>
      <c r="B5" s="4">
        <v>112220000</v>
      </c>
      <c r="C5" s="4"/>
      <c r="D5" s="4">
        <v>0.00298964</v>
      </c>
      <c r="E5" s="4">
        <v>103506000</v>
      </c>
      <c r="F5" s="4"/>
      <c r="G5" s="4">
        <v>0.0029996</v>
      </c>
      <c r="H5" s="4">
        <v>106207000</v>
      </c>
      <c r="J5" s="3" t="s">
        <v>4</v>
      </c>
      <c r="K5" s="3">
        <f>AVERAGE(H28:H32)/1000000</f>
        <v>119.9114</v>
      </c>
      <c r="L5" s="5">
        <f>AVERAGE('400K_SR100'!AL28:AL32)</f>
        <v>3379700000000</v>
      </c>
      <c r="M5" s="5">
        <f>AVERAGE('400K_SR100'!AC28:AC32)</f>
        <v>23917760000000</v>
      </c>
      <c r="N5" s="7">
        <f>Graphs!$B$1*80.9*0.248*SQRT(L5)/1000000</f>
        <v>18.4420537151704</v>
      </c>
      <c r="O5" s="7">
        <f>Graphs!$B$2*80.9*0.248*SQRT(M5)/1000000</f>
        <v>4.90603292654913</v>
      </c>
      <c r="P5" s="3">
        <f>SQRT(N5^2+O5^2)</f>
        <v>19.0834615389771</v>
      </c>
      <c r="Q5" s="3">
        <f>K5*0.4707</f>
        <v>56.44229598</v>
      </c>
      <c r="R5" s="3">
        <f>Q5/P5</f>
        <v>2.95765502839825</v>
      </c>
      <c r="S5" s="7">
        <f>L5/M5</f>
        <v>0.141305038598932</v>
      </c>
    </row>
    <row r="6" customHeight="1" spans="1:8">
      <c r="A6" s="4">
        <v>0.00400789</v>
      </c>
      <c r="B6" s="4">
        <v>109887000</v>
      </c>
      <c r="C6" s="4"/>
      <c r="D6" s="4">
        <v>0.00394761</v>
      </c>
      <c r="E6" s="4">
        <v>112239000</v>
      </c>
      <c r="F6" s="4"/>
      <c r="G6" s="4">
        <v>0.00399149</v>
      </c>
      <c r="H6" s="4">
        <v>118746000</v>
      </c>
    </row>
    <row r="7" customHeight="1" spans="1:8">
      <c r="A7" s="4">
        <v>0.0050092</v>
      </c>
      <c r="B7" s="4">
        <v>108215000</v>
      </c>
      <c r="C7" s="4"/>
      <c r="D7" s="4">
        <v>0.0050094</v>
      </c>
      <c r="E7" s="4">
        <v>110580000</v>
      </c>
      <c r="F7" s="4"/>
      <c r="G7" s="4">
        <v>0.00509917</v>
      </c>
      <c r="H7" s="4">
        <v>116590000</v>
      </c>
    </row>
    <row r="8" customHeight="1" spans="1:8">
      <c r="A8" s="4">
        <v>0.00596973</v>
      </c>
      <c r="B8" s="4">
        <v>122856000</v>
      </c>
      <c r="C8" s="4"/>
      <c r="D8" s="4">
        <v>0.00586578</v>
      </c>
      <c r="E8" s="4">
        <v>112700000</v>
      </c>
      <c r="F8" s="4"/>
      <c r="G8" s="4">
        <v>0.00603026</v>
      </c>
      <c r="H8" s="4">
        <v>120793000</v>
      </c>
    </row>
    <row r="9" customHeight="1" spans="1:19">
      <c r="A9" s="4">
        <v>0.0070193</v>
      </c>
      <c r="B9" s="4">
        <v>121351000</v>
      </c>
      <c r="C9" s="4"/>
      <c r="D9" s="4">
        <v>0.00700285</v>
      </c>
      <c r="E9" s="4">
        <v>116188000</v>
      </c>
      <c r="F9" s="4"/>
      <c r="G9" s="4">
        <v>0.0070409</v>
      </c>
      <c r="H9" s="4">
        <v>123563000</v>
      </c>
      <c r="J9" s="3" t="s">
        <v>2</v>
      </c>
      <c r="K9" s="3">
        <f>AVERAGE(B12:B16)/1000000</f>
        <v>119.5942</v>
      </c>
      <c r="L9" s="5">
        <f>AVERAGE('400K_SR100'!L12:L16)</f>
        <v>3779372000000</v>
      </c>
      <c r="M9" s="5">
        <f>AVERAGE('400K_SR100'!C12:C16)</f>
        <v>24103540000000</v>
      </c>
      <c r="N9" s="7">
        <f>Graphs!$B$1*80.9*0.248*SQRT(L9)/1000000</f>
        <v>19.5020393044857</v>
      </c>
      <c r="O9" s="7">
        <f>Graphs!$B$2*80.9*0.248*SQRT(M9)/1000000</f>
        <v>4.92504975214556</v>
      </c>
      <c r="P9" s="3">
        <f>SQRT(N9^2+O9^2)</f>
        <v>20.1143146066381</v>
      </c>
      <c r="Q9" s="3">
        <f>K9*0.4707</f>
        <v>56.29298994</v>
      </c>
      <c r="R9" s="3">
        <f>Q9/P9</f>
        <v>2.79865315030035</v>
      </c>
      <c r="S9" s="7">
        <f>L9/M9</f>
        <v>0.156797383288928</v>
      </c>
    </row>
    <row r="10" customHeight="1" spans="1:19">
      <c r="A10" s="4">
        <v>0.00805623</v>
      </c>
      <c r="B10" s="4">
        <v>118217000</v>
      </c>
      <c r="C10" s="4"/>
      <c r="D10" s="4">
        <v>0.00797551</v>
      </c>
      <c r="E10" s="4">
        <v>119959000</v>
      </c>
      <c r="F10" s="4"/>
      <c r="G10" s="4">
        <v>0.00799033</v>
      </c>
      <c r="H10" s="4">
        <v>122113000</v>
      </c>
      <c r="J10" s="3" t="s">
        <v>3</v>
      </c>
      <c r="K10" s="3">
        <f>AVERAGE(E12:E16)/1000000</f>
        <v>122.8908</v>
      </c>
      <c r="L10" s="5">
        <f>AVERAGE('400K_SR100'!Y12:Y16)</f>
        <v>3751540000000</v>
      </c>
      <c r="M10" s="5">
        <f>AVERAGE('400K_SR100'!P12:P16)</f>
        <v>23849300000000</v>
      </c>
      <c r="N10" s="7">
        <f>Graphs!$B$1*80.9*0.248*SQRT(L10)/1000000</f>
        <v>19.4300982863644</v>
      </c>
      <c r="O10" s="7">
        <f>Graphs!$B$2*80.9*0.248*SQRT(M10)/1000000</f>
        <v>4.89900660599372</v>
      </c>
      <c r="P10" s="3">
        <f>SQRT(N10^2+O10^2)</f>
        <v>20.0381881701753</v>
      </c>
      <c r="Q10" s="3">
        <f>K10*0.4707</f>
        <v>57.84469956</v>
      </c>
      <c r="R10" s="3">
        <f>Q10/P10</f>
        <v>2.88672304445647</v>
      </c>
      <c r="S10" s="7">
        <f>L10/M10</f>
        <v>0.157301891460127</v>
      </c>
    </row>
    <row r="11" customHeight="1" spans="1:19">
      <c r="A11" s="4">
        <v>0.00902182</v>
      </c>
      <c r="B11" s="4">
        <v>122011000</v>
      </c>
      <c r="C11" s="4"/>
      <c r="D11" s="4">
        <v>0.00901181</v>
      </c>
      <c r="E11" s="4">
        <v>120250000</v>
      </c>
      <c r="F11" s="4"/>
      <c r="G11" s="4">
        <v>0.00900718</v>
      </c>
      <c r="H11" s="4">
        <v>123556000</v>
      </c>
      <c r="J11" s="3" t="s">
        <v>4</v>
      </c>
      <c r="K11" s="3">
        <f>AVERAGE(H12:H16)/1000000</f>
        <v>123.1772</v>
      </c>
      <c r="L11" s="5">
        <f>AVERAGE('400K_SR100'!AL12:AL16)</f>
        <v>3814084000000</v>
      </c>
      <c r="M11" s="5">
        <f>AVERAGE('400K_SR100'!AC12:AC16)</f>
        <v>24857600000000</v>
      </c>
      <c r="N11" s="7">
        <f>Graphs!$B$1*80.9*0.248*SQRT(L11)/1000000</f>
        <v>19.5913937656237</v>
      </c>
      <c r="O11" s="7">
        <f>Graphs!$B$2*80.9*0.248*SQRT(M11)/1000000</f>
        <v>5.00149460162166</v>
      </c>
      <c r="P11" s="3">
        <f>SQRT(N11^2+O11^2)</f>
        <v>20.2197343684275</v>
      </c>
      <c r="Q11" s="3">
        <f>K11*0.4707</f>
        <v>57.97950804</v>
      </c>
      <c r="R11" s="3">
        <f>Q11/P11</f>
        <v>2.86747130222112</v>
      </c>
      <c r="S11" s="7">
        <f>L11/M11</f>
        <v>0.153437339083419</v>
      </c>
    </row>
    <row r="12" customHeight="1" spans="1:8">
      <c r="A12" s="4">
        <v>0.0100101</v>
      </c>
      <c r="B12" s="4">
        <v>119808000</v>
      </c>
      <c r="C12" s="4"/>
      <c r="D12" s="4">
        <v>0.0100437</v>
      </c>
      <c r="E12" s="4">
        <v>122036000</v>
      </c>
      <c r="F12" s="4"/>
      <c r="G12" s="4">
        <v>0.0100333</v>
      </c>
      <c r="H12" s="4">
        <v>124372000</v>
      </c>
    </row>
    <row r="13" customHeight="1" spans="1:8">
      <c r="A13" s="4">
        <v>0.0109733</v>
      </c>
      <c r="B13" s="4">
        <v>121082000</v>
      </c>
      <c r="C13" s="4"/>
      <c r="D13" s="4">
        <v>0.0109049</v>
      </c>
      <c r="E13" s="4">
        <v>123833000</v>
      </c>
      <c r="F13" s="4"/>
      <c r="G13" s="4">
        <v>0.0109615</v>
      </c>
      <c r="H13" s="4">
        <v>125435000</v>
      </c>
    </row>
    <row r="14" customHeight="1" spans="1:8">
      <c r="A14" s="4">
        <v>0.0120833</v>
      </c>
      <c r="B14" s="4">
        <v>121770000</v>
      </c>
      <c r="C14" s="4"/>
      <c r="D14" s="4">
        <v>0.0119735</v>
      </c>
      <c r="E14" s="4">
        <v>121055000</v>
      </c>
      <c r="F14" s="4"/>
      <c r="G14" s="4">
        <v>0.0119779</v>
      </c>
      <c r="H14" s="4">
        <v>126182000</v>
      </c>
    </row>
    <row r="15" customHeight="1" spans="1:8">
      <c r="A15" s="4">
        <v>0.0130319</v>
      </c>
      <c r="B15" s="4">
        <v>118959000</v>
      </c>
      <c r="C15" s="4"/>
      <c r="D15" s="4">
        <v>0.0129866</v>
      </c>
      <c r="E15" s="4">
        <v>124607000</v>
      </c>
      <c r="F15" s="4"/>
      <c r="G15" s="4">
        <v>0.0130332</v>
      </c>
      <c r="H15" s="4">
        <v>122258000</v>
      </c>
    </row>
    <row r="16" customHeight="1" spans="1:8">
      <c r="A16" s="4">
        <v>0.0140281</v>
      </c>
      <c r="B16" s="4">
        <v>116352000</v>
      </c>
      <c r="C16" s="4"/>
      <c r="D16" s="4">
        <v>0.0140029</v>
      </c>
      <c r="E16" s="4">
        <v>122923000</v>
      </c>
      <c r="F16" s="4"/>
      <c r="G16" s="4">
        <v>0.0139579</v>
      </c>
      <c r="H16" s="4">
        <v>117639000</v>
      </c>
    </row>
    <row r="17" customHeight="1" spans="1:8">
      <c r="A17" s="4">
        <v>0.0151244</v>
      </c>
      <c r="B17" s="4">
        <v>121602000</v>
      </c>
      <c r="C17" s="4"/>
      <c r="D17" s="4">
        <v>0.0150812</v>
      </c>
      <c r="E17" s="4">
        <v>118062000</v>
      </c>
      <c r="F17" s="4"/>
      <c r="G17" s="4">
        <v>0.0150075</v>
      </c>
      <c r="H17" s="4">
        <v>121369000</v>
      </c>
    </row>
    <row r="18" customHeight="1" spans="1:8">
      <c r="A18" s="4">
        <v>0.016009</v>
      </c>
      <c r="B18" s="4">
        <v>117290000</v>
      </c>
      <c r="C18" s="4"/>
      <c r="D18" s="4">
        <v>0.0160005</v>
      </c>
      <c r="E18" s="4">
        <v>123667000</v>
      </c>
      <c r="F18" s="4"/>
      <c r="G18" s="4">
        <v>0.0160345</v>
      </c>
      <c r="H18" s="4">
        <v>117916000</v>
      </c>
    </row>
    <row r="19" customHeight="1" spans="1:8">
      <c r="A19" s="4">
        <v>0.0169626</v>
      </c>
      <c r="B19" s="4">
        <v>118016000</v>
      </c>
      <c r="C19" s="4"/>
      <c r="D19" s="4">
        <v>0.0169836</v>
      </c>
      <c r="E19" s="4">
        <v>115736000</v>
      </c>
      <c r="F19" s="4"/>
      <c r="G19" s="4">
        <v>0.016968</v>
      </c>
      <c r="H19" s="4">
        <v>115897000</v>
      </c>
    </row>
    <row r="20" customHeight="1" spans="1:8">
      <c r="A20" s="4">
        <v>0.0179285</v>
      </c>
      <c r="B20" s="4">
        <v>113937000</v>
      </c>
      <c r="C20" s="4"/>
      <c r="D20" s="4">
        <v>0.0179907</v>
      </c>
      <c r="E20" s="4">
        <v>121439000</v>
      </c>
      <c r="F20" s="4"/>
      <c r="G20" s="4">
        <v>0.0180418</v>
      </c>
      <c r="H20" s="4">
        <v>124706000</v>
      </c>
    </row>
    <row r="21" customHeight="1" spans="1:8">
      <c r="A21" s="4">
        <v>0.0190287</v>
      </c>
      <c r="B21" s="4">
        <v>118259000</v>
      </c>
      <c r="C21" s="4"/>
      <c r="D21" s="4">
        <v>0.0189817</v>
      </c>
      <c r="E21" s="4">
        <v>123129000</v>
      </c>
      <c r="F21" s="4"/>
      <c r="G21" s="4">
        <v>0.0189963</v>
      </c>
      <c r="H21" s="4">
        <v>117985000</v>
      </c>
    </row>
    <row r="22" customHeight="1" spans="1:8">
      <c r="A22" s="4">
        <v>0.0198989</v>
      </c>
      <c r="B22" s="4">
        <v>122442000</v>
      </c>
      <c r="C22" s="4"/>
      <c r="D22" s="4">
        <v>0.0200237</v>
      </c>
      <c r="E22" s="4">
        <v>123856000</v>
      </c>
      <c r="F22" s="4"/>
      <c r="G22" s="4">
        <v>0.0199882</v>
      </c>
      <c r="H22" s="4">
        <v>124681000</v>
      </c>
    </row>
    <row r="23" customHeight="1" spans="1:8">
      <c r="A23" s="4">
        <v>0.0210385</v>
      </c>
      <c r="B23" s="4">
        <v>124081000</v>
      </c>
      <c r="C23" s="4"/>
      <c r="D23" s="4">
        <v>0.0208729</v>
      </c>
      <c r="E23" s="4">
        <v>121273000</v>
      </c>
      <c r="F23" s="4"/>
      <c r="G23" s="4">
        <v>0.0209022</v>
      </c>
      <c r="H23" s="4">
        <v>125118000</v>
      </c>
    </row>
    <row r="24" customHeight="1" spans="1:8">
      <c r="A24" s="4">
        <v>0.0221032</v>
      </c>
      <c r="B24" s="4">
        <v>121437000</v>
      </c>
      <c r="C24" s="4"/>
      <c r="D24" s="4">
        <v>0.021981</v>
      </c>
      <c r="E24" s="4">
        <v>120716000</v>
      </c>
      <c r="F24" s="4"/>
      <c r="G24" s="4">
        <v>0.022056</v>
      </c>
      <c r="H24" s="4">
        <v>117525000</v>
      </c>
    </row>
    <row r="25" customHeight="1" spans="1:8">
      <c r="A25" s="4">
        <v>0.0229592</v>
      </c>
      <c r="B25" s="4">
        <v>117149000</v>
      </c>
      <c r="C25" s="4"/>
      <c r="D25" s="4">
        <v>0.0230706</v>
      </c>
      <c r="E25" s="4">
        <v>112328000</v>
      </c>
      <c r="F25" s="4"/>
      <c r="G25" s="4">
        <v>0.0230039</v>
      </c>
      <c r="H25" s="4">
        <v>123095000</v>
      </c>
    </row>
    <row r="26" customHeight="1" spans="1:8">
      <c r="A26" s="4">
        <v>0.0240362</v>
      </c>
      <c r="B26" s="4">
        <v>110699000</v>
      </c>
      <c r="C26" s="4"/>
      <c r="D26" s="4">
        <v>0.0238412</v>
      </c>
      <c r="E26" s="4">
        <v>120873000</v>
      </c>
      <c r="F26" s="4"/>
      <c r="G26" s="4">
        <v>0.0240155</v>
      </c>
      <c r="H26" s="4">
        <v>120892000</v>
      </c>
    </row>
    <row r="27" customHeight="1" spans="1:8">
      <c r="A27" s="4">
        <v>0.0250467</v>
      </c>
      <c r="B27" s="4">
        <v>120523000</v>
      </c>
      <c r="C27" s="4"/>
      <c r="D27" s="4">
        <v>0.0250225</v>
      </c>
      <c r="E27" s="4">
        <v>117389000</v>
      </c>
      <c r="F27" s="4"/>
      <c r="G27" s="4">
        <v>0.0250447</v>
      </c>
      <c r="H27" s="4">
        <v>112025000</v>
      </c>
    </row>
    <row r="28" customHeight="1" spans="1:8">
      <c r="A28" s="4">
        <v>0.0260998</v>
      </c>
      <c r="B28" s="4">
        <v>117798000</v>
      </c>
      <c r="C28" s="4"/>
      <c r="D28" s="4">
        <v>0.0259835</v>
      </c>
      <c r="E28" s="4">
        <v>126518000</v>
      </c>
      <c r="F28" s="4"/>
      <c r="G28" s="4">
        <v>0.0260239</v>
      </c>
      <c r="H28" s="4">
        <v>114900000</v>
      </c>
    </row>
    <row r="29" customHeight="1" spans="1:8">
      <c r="A29" s="4">
        <v>0.0270445</v>
      </c>
      <c r="B29" s="4">
        <v>123352000</v>
      </c>
      <c r="C29" s="4"/>
      <c r="D29" s="4">
        <v>0.02702</v>
      </c>
      <c r="E29" s="4">
        <v>118194000</v>
      </c>
      <c r="F29" s="4"/>
      <c r="G29" s="4">
        <v>0.0270529</v>
      </c>
      <c r="H29" s="4">
        <v>117944000</v>
      </c>
    </row>
    <row r="30" customHeight="1" spans="1:8">
      <c r="A30" s="4">
        <v>0.0280269</v>
      </c>
      <c r="B30" s="4">
        <v>127298000</v>
      </c>
      <c r="C30" s="4"/>
      <c r="D30" s="4">
        <v>0.0280154</v>
      </c>
      <c r="E30" s="4">
        <v>115089000</v>
      </c>
      <c r="F30" s="4"/>
      <c r="G30" s="4">
        <v>0.0280327</v>
      </c>
      <c r="H30" s="4">
        <v>123145000</v>
      </c>
    </row>
    <row r="31" customHeight="1" spans="1:8">
      <c r="A31" s="4">
        <v>0.0289498</v>
      </c>
      <c r="B31" s="4">
        <v>123798000</v>
      </c>
      <c r="C31" s="4"/>
      <c r="D31" s="4">
        <v>0.0289538</v>
      </c>
      <c r="E31" s="4">
        <v>112192000</v>
      </c>
      <c r="F31" s="4"/>
      <c r="G31" s="4">
        <v>0.0289326</v>
      </c>
      <c r="H31" s="4">
        <v>122698000</v>
      </c>
    </row>
    <row r="32" customHeight="1" spans="1:8">
      <c r="A32" s="4">
        <v>0.0300827</v>
      </c>
      <c r="B32" s="4">
        <v>124139000</v>
      </c>
      <c r="C32" s="4"/>
      <c r="D32" s="4">
        <v>0.0299696</v>
      </c>
      <c r="E32" s="4">
        <v>124389000</v>
      </c>
      <c r="F32" s="4"/>
      <c r="G32" s="4">
        <v>0.0300359</v>
      </c>
      <c r="H32" s="4">
        <v>120870000</v>
      </c>
    </row>
    <row r="33" customHeight="1" spans="1:8">
      <c r="A33" s="4">
        <v>0.0309325</v>
      </c>
      <c r="B33" s="4">
        <v>120896000</v>
      </c>
      <c r="C33" s="4"/>
      <c r="D33" s="4">
        <v>0.0310482</v>
      </c>
      <c r="E33" s="4">
        <v>121547000</v>
      </c>
      <c r="F33" s="4"/>
      <c r="G33" s="4">
        <v>0.030972</v>
      </c>
      <c r="H33" s="4">
        <v>120296000</v>
      </c>
    </row>
    <row r="34" customHeight="1" spans="1:8">
      <c r="A34" s="4">
        <v>0.0320318</v>
      </c>
      <c r="B34" s="4">
        <v>124066000</v>
      </c>
      <c r="C34" s="4"/>
      <c r="D34" s="4">
        <v>0.0319835</v>
      </c>
      <c r="E34" s="4">
        <v>119707000</v>
      </c>
      <c r="F34" s="4"/>
      <c r="G34" s="4">
        <v>0.0319551</v>
      </c>
      <c r="H34" s="4">
        <v>120669000</v>
      </c>
    </row>
    <row r="35" customHeight="1" spans="1:8">
      <c r="A35" s="4">
        <v>0.0329451</v>
      </c>
      <c r="B35" s="4">
        <v>116300000</v>
      </c>
      <c r="C35" s="4"/>
      <c r="D35" s="4">
        <v>0.0330646</v>
      </c>
      <c r="E35" s="4">
        <v>117722000</v>
      </c>
      <c r="F35" s="4"/>
      <c r="G35" s="4">
        <v>0.0329801</v>
      </c>
      <c r="H35" s="4">
        <v>112467000</v>
      </c>
    </row>
    <row r="36" customHeight="1" spans="1:8">
      <c r="A36" s="4">
        <v>0.0339712</v>
      </c>
      <c r="B36" s="4">
        <v>114457000</v>
      </c>
      <c r="C36" s="4"/>
      <c r="D36" s="4">
        <v>0.0339851</v>
      </c>
      <c r="E36" s="4">
        <v>120604000</v>
      </c>
      <c r="F36" s="4"/>
      <c r="G36" s="4">
        <v>0.0339806</v>
      </c>
      <c r="H36" s="4">
        <v>124853000</v>
      </c>
    </row>
    <row r="37" customHeight="1" spans="1:8">
      <c r="A37" s="4">
        <v>0.0350383</v>
      </c>
      <c r="B37" s="4">
        <v>114790000</v>
      </c>
      <c r="C37" s="4"/>
      <c r="D37" s="4">
        <v>0.0350307</v>
      </c>
      <c r="E37" s="4">
        <v>124926000</v>
      </c>
      <c r="F37" s="4"/>
      <c r="G37" s="4">
        <v>0.034983</v>
      </c>
      <c r="H37" s="4">
        <v>129452000</v>
      </c>
    </row>
    <row r="38" customHeight="1" spans="1:8">
      <c r="A38" s="4">
        <v>0.0360196</v>
      </c>
      <c r="B38" s="4">
        <v>111990000</v>
      </c>
      <c r="C38" s="4"/>
      <c r="D38" s="4">
        <v>0.0359621</v>
      </c>
      <c r="E38" s="4">
        <v>122102000</v>
      </c>
      <c r="F38" s="4"/>
      <c r="G38" s="4">
        <v>0.0359867</v>
      </c>
      <c r="H38" s="4">
        <v>127865000</v>
      </c>
    </row>
    <row r="39" customHeight="1" spans="1:8">
      <c r="A39" s="4">
        <v>0.0371228</v>
      </c>
      <c r="B39" s="4">
        <v>122369000</v>
      </c>
      <c r="C39" s="4"/>
      <c r="D39" s="4">
        <v>0.0370595</v>
      </c>
      <c r="E39" s="4">
        <v>118429000</v>
      </c>
      <c r="F39" s="4"/>
      <c r="G39" s="4">
        <v>0.0369748</v>
      </c>
      <c r="H39" s="4">
        <v>121966000</v>
      </c>
    </row>
    <row r="40" customHeight="1" spans="1:8">
      <c r="A40" s="4">
        <v>0.0379787</v>
      </c>
      <c r="B40" s="4">
        <v>125668000</v>
      </c>
      <c r="C40" s="4"/>
      <c r="D40" s="4">
        <v>0.0379408</v>
      </c>
      <c r="E40" s="4">
        <v>122416000</v>
      </c>
      <c r="F40" s="4"/>
      <c r="G40" s="4">
        <v>0.0379923</v>
      </c>
      <c r="H40" s="4">
        <v>121111000</v>
      </c>
    </row>
    <row r="41" customHeight="1" spans="1:8">
      <c r="A41" s="4">
        <v>0.0389886</v>
      </c>
      <c r="B41" s="4">
        <v>118576000</v>
      </c>
      <c r="C41" s="4"/>
      <c r="D41" s="4">
        <v>0.0390522</v>
      </c>
      <c r="E41" s="4">
        <v>120349000</v>
      </c>
      <c r="F41" s="4"/>
      <c r="G41" s="4">
        <v>0.0390124</v>
      </c>
      <c r="H41" s="4">
        <v>115942000</v>
      </c>
    </row>
    <row r="42" customHeight="1" spans="1:8">
      <c r="A42" s="4">
        <v>0.0400185</v>
      </c>
      <c r="B42" s="4">
        <v>125682000</v>
      </c>
      <c r="C42" s="4"/>
      <c r="D42" s="4">
        <v>0.0399196</v>
      </c>
      <c r="E42" s="4">
        <v>126524000</v>
      </c>
      <c r="F42" s="4"/>
      <c r="G42" s="4">
        <v>0.0400536</v>
      </c>
      <c r="H42" s="4">
        <v>122737000</v>
      </c>
    </row>
    <row r="43" customHeight="1" spans="1:8">
      <c r="A43" s="4">
        <v>0.0409855</v>
      </c>
      <c r="B43" s="4">
        <v>117254000</v>
      </c>
      <c r="C43" s="4"/>
      <c r="D43" s="4">
        <v>0.0410346</v>
      </c>
      <c r="E43" s="4">
        <v>121530000</v>
      </c>
      <c r="F43" s="4"/>
      <c r="G43" s="4">
        <v>0.0409708</v>
      </c>
      <c r="H43" s="4">
        <v>125823000</v>
      </c>
    </row>
    <row r="44" customHeight="1" spans="1:8">
      <c r="A44" s="4">
        <v>0.0419538</v>
      </c>
      <c r="B44" s="4">
        <v>115637000</v>
      </c>
      <c r="C44" s="4"/>
      <c r="D44" s="4">
        <v>0.041958</v>
      </c>
      <c r="E44" s="4">
        <v>114020000</v>
      </c>
      <c r="F44" s="4"/>
      <c r="G44" s="4">
        <v>0.0419958</v>
      </c>
      <c r="H44" s="4">
        <v>123360000</v>
      </c>
    </row>
    <row r="45" customHeight="1" spans="1:8">
      <c r="A45" s="4">
        <v>0.0429997</v>
      </c>
      <c r="B45" s="4">
        <v>115641000</v>
      </c>
      <c r="C45" s="4"/>
      <c r="D45" s="4">
        <v>0.0429389</v>
      </c>
      <c r="E45" s="4">
        <v>120558000</v>
      </c>
      <c r="F45" s="4"/>
      <c r="G45" s="4">
        <v>0.0431048</v>
      </c>
      <c r="H45" s="4">
        <v>122444000</v>
      </c>
    </row>
    <row r="46" customHeight="1" spans="1:8">
      <c r="A46" s="4">
        <v>0.0440177</v>
      </c>
      <c r="B46" s="4">
        <v>123852000</v>
      </c>
      <c r="C46" s="4"/>
      <c r="D46" s="4">
        <v>0.0439894</v>
      </c>
      <c r="E46" s="4">
        <v>116966000</v>
      </c>
      <c r="F46" s="4"/>
      <c r="G46" s="4">
        <v>0.0439895</v>
      </c>
      <c r="H46" s="4">
        <v>116477000</v>
      </c>
    </row>
    <row r="47" customHeight="1" spans="1:8">
      <c r="A47" s="4">
        <v>0.0449508</v>
      </c>
      <c r="B47" s="4">
        <v>116336000</v>
      </c>
      <c r="C47" s="4"/>
      <c r="D47" s="4">
        <v>0.0449846</v>
      </c>
      <c r="E47" s="4">
        <v>121988000</v>
      </c>
      <c r="F47" s="4"/>
      <c r="G47" s="4">
        <v>0.0449584</v>
      </c>
      <c r="H47" s="4">
        <v>126140000</v>
      </c>
    </row>
    <row r="48" customHeight="1" spans="1:8">
      <c r="A48" s="4">
        <v>0.0460266</v>
      </c>
      <c r="B48" s="4">
        <v>117295000</v>
      </c>
      <c r="C48" s="4"/>
      <c r="D48" s="4">
        <v>0.0460217</v>
      </c>
      <c r="E48" s="4">
        <v>119670000</v>
      </c>
      <c r="F48" s="4"/>
      <c r="G48" s="4">
        <v>0.0459841</v>
      </c>
      <c r="H48" s="4">
        <v>122832000</v>
      </c>
    </row>
    <row r="49" customHeight="1" spans="1:8">
      <c r="A49" s="4">
        <v>0.0469963</v>
      </c>
      <c r="B49" s="4">
        <v>114052000</v>
      </c>
      <c r="C49" s="4"/>
      <c r="D49" s="4">
        <v>0.0470457</v>
      </c>
      <c r="E49" s="4">
        <v>120310000</v>
      </c>
      <c r="F49" s="4"/>
      <c r="G49" s="4">
        <v>0.0469392</v>
      </c>
      <c r="H49" s="4">
        <v>119011000</v>
      </c>
    </row>
    <row r="50" customHeight="1" spans="1:8">
      <c r="A50" s="4">
        <v>0.0479984</v>
      </c>
      <c r="B50" s="4">
        <v>114218000</v>
      </c>
      <c r="C50" s="4"/>
      <c r="D50" s="4">
        <v>0.0480034</v>
      </c>
      <c r="E50" s="4">
        <v>123090000</v>
      </c>
      <c r="F50" s="4"/>
      <c r="G50" s="4">
        <v>0.0480727</v>
      </c>
      <c r="H50" s="4">
        <v>123473000</v>
      </c>
    </row>
    <row r="51" customHeight="1" spans="1:8">
      <c r="A51" s="4">
        <v>0.0490461</v>
      </c>
      <c r="B51" s="4">
        <v>115895000</v>
      </c>
      <c r="C51" s="4"/>
      <c r="D51" s="4">
        <v>0.0490202</v>
      </c>
      <c r="E51" s="4">
        <v>124896000</v>
      </c>
      <c r="F51" s="4"/>
      <c r="G51" s="4">
        <v>0.0490328</v>
      </c>
      <c r="H51" s="4">
        <v>122590000</v>
      </c>
    </row>
    <row r="52" customHeight="1" spans="1:8">
      <c r="A52" s="4">
        <v>0.0497869</v>
      </c>
      <c r="B52" s="4">
        <v>119643000</v>
      </c>
      <c r="C52" s="4"/>
      <c r="D52" s="4">
        <v>0.0498944</v>
      </c>
      <c r="E52" s="4">
        <v>123743000</v>
      </c>
      <c r="F52" s="4"/>
      <c r="G52" s="4">
        <v>0.0500437</v>
      </c>
      <c r="H52" s="4">
        <v>123616000</v>
      </c>
    </row>
    <row r="53" customHeight="1" spans="1:8">
      <c r="A53" s="4"/>
      <c r="B53" s="4"/>
      <c r="C53" s="4"/>
      <c r="D53" s="4"/>
      <c r="E53" s="4"/>
      <c r="F53" s="4"/>
      <c r="G53" s="4">
        <v>0.0510282</v>
      </c>
      <c r="H53" s="4">
        <v>122038000</v>
      </c>
    </row>
  </sheetData>
  <mergeCells count="4">
    <mergeCell ref="A1:B1"/>
    <mergeCell ref="D1:E1"/>
    <mergeCell ref="G1:H1"/>
    <mergeCell ref="J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53"/>
  <sheetViews>
    <sheetView zoomScale="180" zoomScaleNormal="180" topLeftCell="R1" workbookViewId="0">
      <selection activeCell="AN2" sqref="AN2"/>
    </sheetView>
  </sheetViews>
  <sheetFormatPr defaultColWidth="9.01481481481481" defaultRowHeight="15" customHeight="1"/>
  <sheetData>
    <row r="1" customHeight="1" spans="1:46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N1" s="19" t="s">
        <v>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AA1" s="19" t="s">
        <v>4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N1" s="20" t="s">
        <v>5</v>
      </c>
      <c r="AO1" s="20" t="s">
        <v>6</v>
      </c>
      <c r="AP1" s="20" t="s">
        <v>7</v>
      </c>
      <c r="AQ1" s="20" t="s">
        <v>8</v>
      </c>
      <c r="AR1" s="3" t="s">
        <v>9</v>
      </c>
      <c r="AS1" s="3" t="s">
        <v>10</v>
      </c>
      <c r="AT1" s="3" t="s">
        <v>11</v>
      </c>
    </row>
    <row r="2" customHeight="1" spans="1:46">
      <c r="A2" s="15">
        <v>0.000196169</v>
      </c>
      <c r="B2" s="5">
        <v>0.000545317</v>
      </c>
      <c r="C2" s="5">
        <v>19976400000000</v>
      </c>
      <c r="D2" s="5">
        <v>2155210000</v>
      </c>
      <c r="E2" s="5">
        <v>0</v>
      </c>
      <c r="F2" s="5">
        <v>0</v>
      </c>
      <c r="G2" s="5">
        <v>2</v>
      </c>
      <c r="H2" s="5">
        <v>5438550000000</v>
      </c>
      <c r="I2" s="5">
        <v>4633250000000</v>
      </c>
      <c r="J2" s="5">
        <v>4601030000000</v>
      </c>
      <c r="K2" s="5">
        <v>4668390000000</v>
      </c>
      <c r="L2" s="5">
        <v>635143000000</v>
      </c>
      <c r="N2" s="15">
        <v>0.000155883</v>
      </c>
      <c r="O2" s="5">
        <v>0.000488164</v>
      </c>
      <c r="P2" s="5">
        <v>19947900000000</v>
      </c>
      <c r="Q2" s="5">
        <v>4257350000</v>
      </c>
      <c r="R2" s="5">
        <v>0</v>
      </c>
      <c r="S2" s="5">
        <v>0</v>
      </c>
      <c r="T2" s="5">
        <v>2</v>
      </c>
      <c r="U2" s="5">
        <v>5480820000000</v>
      </c>
      <c r="V2" s="5">
        <v>4665970000000</v>
      </c>
      <c r="W2" s="5">
        <v>4681020000000</v>
      </c>
      <c r="X2" s="5">
        <v>4699770000000</v>
      </c>
      <c r="Y2" s="5">
        <v>420275000000</v>
      </c>
      <c r="AA2" s="15">
        <v>0.000179591</v>
      </c>
      <c r="AB2" s="5">
        <v>0.000521718</v>
      </c>
      <c r="AC2" s="5">
        <v>19784600000000</v>
      </c>
      <c r="AD2" s="5">
        <v>2325900000</v>
      </c>
      <c r="AE2" s="5">
        <v>0</v>
      </c>
      <c r="AF2" s="5">
        <v>0</v>
      </c>
      <c r="AG2" s="5">
        <v>2</v>
      </c>
      <c r="AH2" s="5">
        <v>4853630000000</v>
      </c>
      <c r="AI2" s="5">
        <v>4838600000000</v>
      </c>
      <c r="AJ2" s="5">
        <v>4836740000000</v>
      </c>
      <c r="AK2" s="5">
        <v>4862650000000</v>
      </c>
      <c r="AL2" s="5">
        <v>392979000000</v>
      </c>
      <c r="AN2" s="5">
        <f t="shared" ref="AN2:AN52" si="0">A2</f>
        <v>0.000196169</v>
      </c>
      <c r="AO2" s="5">
        <f t="shared" ref="AO2:AO52" si="1">(C2+P2+AC2)/3</f>
        <v>19902966666666.7</v>
      </c>
      <c r="AP2" s="5">
        <f t="shared" ref="AP2:AP52" si="2">MIN(C2,P2,AC2)</f>
        <v>19784600000000</v>
      </c>
      <c r="AQ2" s="5">
        <f t="shared" ref="AQ2:AQ52" si="3">MAX(C2,P2,AC2)</f>
        <v>19976400000000</v>
      </c>
      <c r="AR2" s="5">
        <f t="shared" ref="AR2:AR52" si="4">(L2+Y2+AL2)/3</f>
        <v>482799000000</v>
      </c>
      <c r="AS2" s="5">
        <f t="shared" ref="AS2:AS52" si="5">MIN(L2,Y2,AL2)</f>
        <v>392979000000</v>
      </c>
      <c r="AT2" s="5">
        <f t="shared" ref="AT2:AT52" si="6">MAX(L2,Y2,AL2)</f>
        <v>635143000000</v>
      </c>
    </row>
    <row r="3" customHeight="1" spans="1:46">
      <c r="A3" s="15">
        <v>0.0010481</v>
      </c>
      <c r="B3" s="5">
        <v>0.00155024</v>
      </c>
      <c r="C3" s="5">
        <v>21094500000000</v>
      </c>
      <c r="D3" s="5">
        <v>402326000</v>
      </c>
      <c r="E3" s="5">
        <v>0</v>
      </c>
      <c r="F3" s="5">
        <v>0</v>
      </c>
      <c r="G3" s="5">
        <v>2</v>
      </c>
      <c r="H3" s="5">
        <v>5491670000000</v>
      </c>
      <c r="I3" s="5">
        <v>4952960000000</v>
      </c>
      <c r="J3" s="5">
        <v>4627690000000</v>
      </c>
      <c r="K3" s="5">
        <v>4942720000000</v>
      </c>
      <c r="L3" s="5">
        <v>1079500000000</v>
      </c>
      <c r="N3" s="15">
        <v>0.00102797</v>
      </c>
      <c r="O3" s="5">
        <v>0.00148036</v>
      </c>
      <c r="P3" s="5">
        <v>20593900000000</v>
      </c>
      <c r="Q3" s="5">
        <v>1239070000</v>
      </c>
      <c r="R3" s="5">
        <v>0</v>
      </c>
      <c r="S3" s="5">
        <v>0</v>
      </c>
      <c r="T3" s="5">
        <v>2</v>
      </c>
      <c r="U3" s="5">
        <v>5544470000000</v>
      </c>
      <c r="V3" s="5">
        <v>4718340000000</v>
      </c>
      <c r="W3" s="5">
        <v>4740000000000</v>
      </c>
      <c r="X3" s="5">
        <v>4726220000000</v>
      </c>
      <c r="Y3" s="5">
        <v>864838000000</v>
      </c>
      <c r="AA3" s="15">
        <v>0.00102515</v>
      </c>
      <c r="AB3" s="5">
        <v>0.00146879</v>
      </c>
      <c r="AC3" s="5">
        <v>20329300000000</v>
      </c>
      <c r="AD3" s="5">
        <v>1896930000</v>
      </c>
      <c r="AE3" s="5">
        <v>0</v>
      </c>
      <c r="AF3" s="5">
        <v>0</v>
      </c>
      <c r="AG3" s="5">
        <v>2</v>
      </c>
      <c r="AH3" s="5">
        <v>4977490000000</v>
      </c>
      <c r="AI3" s="5">
        <v>4896810000000</v>
      </c>
      <c r="AJ3" s="5">
        <v>4896380000000</v>
      </c>
      <c r="AK3" s="5">
        <v>4955380000000</v>
      </c>
      <c r="AL3" s="5">
        <v>603212000000</v>
      </c>
      <c r="AN3" s="5">
        <f t="shared" si="0"/>
        <v>0.0010481</v>
      </c>
      <c r="AO3" s="5">
        <f t="shared" si="1"/>
        <v>20672566666666.7</v>
      </c>
      <c r="AP3" s="5">
        <f t="shared" si="2"/>
        <v>20329300000000</v>
      </c>
      <c r="AQ3" s="5">
        <f t="shared" si="3"/>
        <v>21094500000000</v>
      </c>
      <c r="AR3" s="5">
        <f t="shared" si="4"/>
        <v>849183333333.333</v>
      </c>
      <c r="AS3" s="5">
        <f t="shared" si="5"/>
        <v>603212000000</v>
      </c>
      <c r="AT3" s="5">
        <f t="shared" si="6"/>
        <v>1079500000000</v>
      </c>
    </row>
    <row r="4" customHeight="1" spans="1:46">
      <c r="A4" s="15">
        <v>0.00200316</v>
      </c>
      <c r="B4" s="5">
        <v>0.00251517</v>
      </c>
      <c r="C4" s="5">
        <v>21940900000000</v>
      </c>
      <c r="D4" s="5">
        <v>1430210000</v>
      </c>
      <c r="E4" s="5">
        <v>0</v>
      </c>
      <c r="F4" s="5">
        <v>0</v>
      </c>
      <c r="G4" s="5">
        <v>2</v>
      </c>
      <c r="H4" s="5">
        <v>5544780000000</v>
      </c>
      <c r="I4" s="5">
        <v>5248390000000</v>
      </c>
      <c r="J4" s="5">
        <v>4587280000000</v>
      </c>
      <c r="K4" s="5">
        <v>5097490000000</v>
      </c>
      <c r="L4" s="5">
        <v>1462900000000</v>
      </c>
      <c r="N4" s="15">
        <v>0.00197426</v>
      </c>
      <c r="O4" s="5">
        <v>0.0024824</v>
      </c>
      <c r="P4" s="5">
        <v>21626300000000</v>
      </c>
      <c r="Q4" s="5">
        <v>1615600000</v>
      </c>
      <c r="R4" s="5">
        <v>0</v>
      </c>
      <c r="S4" s="5">
        <v>0</v>
      </c>
      <c r="T4" s="5">
        <v>2</v>
      </c>
      <c r="U4" s="5">
        <v>5668590000000</v>
      </c>
      <c r="V4" s="5">
        <v>4975820000000</v>
      </c>
      <c r="W4" s="5">
        <v>4843810000000</v>
      </c>
      <c r="X4" s="5">
        <v>4714610000000</v>
      </c>
      <c r="Y4" s="5">
        <v>1423450000000</v>
      </c>
      <c r="AA4" s="15">
        <v>0.00196625</v>
      </c>
      <c r="AB4" s="5">
        <v>0.0024649</v>
      </c>
      <c r="AC4" s="5">
        <v>21010700000000</v>
      </c>
      <c r="AD4" s="5">
        <v>1117640000</v>
      </c>
      <c r="AE4" s="5">
        <v>0</v>
      </c>
      <c r="AF4" s="5">
        <v>0</v>
      </c>
      <c r="AG4" s="5">
        <v>2</v>
      </c>
      <c r="AH4" s="5">
        <v>4960490000000</v>
      </c>
      <c r="AI4" s="5">
        <v>5030460000000</v>
      </c>
      <c r="AJ4" s="5">
        <v>4860050000000</v>
      </c>
      <c r="AK4" s="5">
        <v>4838680000000</v>
      </c>
      <c r="AL4" s="5">
        <v>1320800000000</v>
      </c>
      <c r="AN4" s="5">
        <f t="shared" si="0"/>
        <v>0.00200316</v>
      </c>
      <c r="AO4" s="5">
        <f t="shared" si="1"/>
        <v>21525966666666.7</v>
      </c>
      <c r="AP4" s="5">
        <f t="shared" si="2"/>
        <v>21010700000000</v>
      </c>
      <c r="AQ4" s="5">
        <f t="shared" si="3"/>
        <v>21940900000000</v>
      </c>
      <c r="AR4" s="5">
        <f t="shared" si="4"/>
        <v>1402383333333.33</v>
      </c>
      <c r="AS4" s="5">
        <f t="shared" si="5"/>
        <v>1320800000000</v>
      </c>
      <c r="AT4" s="5">
        <f t="shared" si="6"/>
        <v>1462900000000</v>
      </c>
    </row>
    <row r="5" customHeight="1" spans="1:46">
      <c r="A5" s="15">
        <v>0.00298964</v>
      </c>
      <c r="B5" s="5">
        <v>0.00348287</v>
      </c>
      <c r="C5" s="5">
        <v>21755400000000</v>
      </c>
      <c r="D5" s="5">
        <v>1270050000</v>
      </c>
      <c r="E5" s="5">
        <v>0</v>
      </c>
      <c r="F5" s="5">
        <v>0</v>
      </c>
      <c r="G5" s="5">
        <v>2</v>
      </c>
      <c r="H5" s="5">
        <v>5520680000000</v>
      </c>
      <c r="I5" s="5">
        <v>5244440000000</v>
      </c>
      <c r="J5" s="5">
        <v>4380520000000</v>
      </c>
      <c r="K5" s="5">
        <v>4825830000000</v>
      </c>
      <c r="L5" s="5">
        <v>1783910000000</v>
      </c>
      <c r="N5" s="15">
        <v>0.00291712</v>
      </c>
      <c r="O5" s="5">
        <v>0.00345187</v>
      </c>
      <c r="P5" s="5">
        <v>22308900000000</v>
      </c>
      <c r="Q5" s="5">
        <v>1598800000</v>
      </c>
      <c r="R5" s="5">
        <v>0</v>
      </c>
      <c r="S5" s="5">
        <v>0</v>
      </c>
      <c r="T5" s="5">
        <v>2</v>
      </c>
      <c r="U5" s="5">
        <v>5908190000000</v>
      </c>
      <c r="V5" s="5">
        <v>4838150000000</v>
      </c>
      <c r="W5" s="5">
        <v>4760470000000</v>
      </c>
      <c r="X5" s="5">
        <v>4767020000000</v>
      </c>
      <c r="Y5" s="5">
        <v>2035060000000</v>
      </c>
      <c r="AA5" s="15">
        <v>0.0029996</v>
      </c>
      <c r="AB5" s="5">
        <v>0.0035057</v>
      </c>
      <c r="AC5" s="5">
        <v>21349000000000</v>
      </c>
      <c r="AD5" s="5">
        <v>1106510000</v>
      </c>
      <c r="AE5" s="5">
        <v>0</v>
      </c>
      <c r="AF5" s="5">
        <v>0</v>
      </c>
      <c r="AG5" s="5">
        <v>2</v>
      </c>
      <c r="AH5" s="5">
        <v>4690620000000</v>
      </c>
      <c r="AI5" s="5">
        <v>4959260000000</v>
      </c>
      <c r="AJ5" s="5">
        <v>5184640000000</v>
      </c>
      <c r="AK5" s="5">
        <v>4946260000000</v>
      </c>
      <c r="AL5" s="5">
        <v>1568140000000</v>
      </c>
      <c r="AN5" s="5">
        <f t="shared" si="0"/>
        <v>0.00298964</v>
      </c>
      <c r="AO5" s="5">
        <f t="shared" si="1"/>
        <v>21804433333333.3</v>
      </c>
      <c r="AP5" s="5">
        <f t="shared" si="2"/>
        <v>21349000000000</v>
      </c>
      <c r="AQ5" s="5">
        <f t="shared" si="3"/>
        <v>22308900000000</v>
      </c>
      <c r="AR5" s="5">
        <f t="shared" si="4"/>
        <v>1795703333333.33</v>
      </c>
      <c r="AS5" s="5">
        <f t="shared" si="5"/>
        <v>1568140000000</v>
      </c>
      <c r="AT5" s="5">
        <f t="shared" si="6"/>
        <v>2035060000000</v>
      </c>
    </row>
    <row r="6" customHeight="1" spans="1:46">
      <c r="A6" s="15">
        <v>0.00394761</v>
      </c>
      <c r="B6" s="5">
        <v>0.00448244</v>
      </c>
      <c r="C6" s="5">
        <v>22263600000000</v>
      </c>
      <c r="D6" s="5">
        <v>3255640000</v>
      </c>
      <c r="E6" s="5">
        <v>0</v>
      </c>
      <c r="F6" s="5">
        <v>0</v>
      </c>
      <c r="G6" s="5">
        <v>2</v>
      </c>
      <c r="H6" s="5">
        <v>5716720000000</v>
      </c>
      <c r="I6" s="5">
        <v>4764760000000</v>
      </c>
      <c r="J6" s="5">
        <v>4301250000000</v>
      </c>
      <c r="K6" s="5">
        <v>4878950000000</v>
      </c>
      <c r="L6" s="5">
        <v>2601860000000</v>
      </c>
      <c r="N6" s="15">
        <v>0.00400789</v>
      </c>
      <c r="O6" s="5">
        <v>0.00453152</v>
      </c>
      <c r="P6" s="5">
        <v>22854900000000</v>
      </c>
      <c r="Q6" s="5">
        <v>1262070000</v>
      </c>
      <c r="R6" s="5">
        <v>0</v>
      </c>
      <c r="S6" s="5">
        <v>0</v>
      </c>
      <c r="T6" s="5">
        <v>2</v>
      </c>
      <c r="U6" s="5">
        <v>6355300000000</v>
      </c>
      <c r="V6" s="5">
        <v>4487220000000</v>
      </c>
      <c r="W6" s="5">
        <v>4875450000000</v>
      </c>
      <c r="X6" s="5">
        <v>4488400000000</v>
      </c>
      <c r="Y6" s="5">
        <v>2648210000000</v>
      </c>
      <c r="AA6" s="15">
        <v>0.00399149</v>
      </c>
      <c r="AB6" s="5">
        <v>0.00455735</v>
      </c>
      <c r="AC6" s="5">
        <v>22266800000000</v>
      </c>
      <c r="AD6" s="5">
        <v>1493640000</v>
      </c>
      <c r="AE6" s="5">
        <v>0</v>
      </c>
      <c r="AF6" s="5">
        <v>0</v>
      </c>
      <c r="AG6" s="5">
        <v>2</v>
      </c>
      <c r="AH6" s="5">
        <v>4774400000000</v>
      </c>
      <c r="AI6" s="5">
        <v>4918850000000</v>
      </c>
      <c r="AJ6" s="5">
        <v>5207840000000</v>
      </c>
      <c r="AK6" s="5">
        <v>4912800000000</v>
      </c>
      <c r="AL6" s="5">
        <v>2452940000000</v>
      </c>
      <c r="AN6" s="5">
        <f t="shared" si="0"/>
        <v>0.00394761</v>
      </c>
      <c r="AO6" s="5">
        <f t="shared" si="1"/>
        <v>22461766666666.7</v>
      </c>
      <c r="AP6" s="5">
        <f t="shared" si="2"/>
        <v>22263600000000</v>
      </c>
      <c r="AQ6" s="5">
        <f t="shared" si="3"/>
        <v>22854900000000</v>
      </c>
      <c r="AR6" s="5">
        <f t="shared" si="4"/>
        <v>2567670000000</v>
      </c>
      <c r="AS6" s="5">
        <f t="shared" si="5"/>
        <v>2452940000000</v>
      </c>
      <c r="AT6" s="5">
        <f t="shared" si="6"/>
        <v>2648210000000</v>
      </c>
    </row>
    <row r="7" customHeight="1" spans="1:46">
      <c r="A7" s="15">
        <v>0.0050094</v>
      </c>
      <c r="B7" s="5">
        <v>0.00553633</v>
      </c>
      <c r="C7" s="5">
        <v>22695500000000</v>
      </c>
      <c r="D7" s="5">
        <v>1854750000</v>
      </c>
      <c r="E7" s="5">
        <v>0</v>
      </c>
      <c r="F7" s="5">
        <v>0</v>
      </c>
      <c r="G7" s="5">
        <v>2</v>
      </c>
      <c r="H7" s="5">
        <v>6087130000000</v>
      </c>
      <c r="I7" s="5">
        <v>4725330000000</v>
      </c>
      <c r="J7" s="5">
        <v>4533240000000</v>
      </c>
      <c r="K7" s="5">
        <v>4812570000000</v>
      </c>
      <c r="L7" s="5">
        <v>2535630000000</v>
      </c>
      <c r="N7" s="15">
        <v>0.0050092</v>
      </c>
      <c r="O7" s="5">
        <v>0.00552486</v>
      </c>
      <c r="P7" s="5">
        <v>24112700000000</v>
      </c>
      <c r="Q7" s="5">
        <v>1703090000</v>
      </c>
      <c r="R7" s="5">
        <v>0</v>
      </c>
      <c r="S7" s="5">
        <v>0</v>
      </c>
      <c r="T7" s="5">
        <v>2</v>
      </c>
      <c r="U7" s="5">
        <v>6025120000000</v>
      </c>
      <c r="V7" s="5">
        <v>4712900000000</v>
      </c>
      <c r="W7" s="5">
        <v>5227920000000</v>
      </c>
      <c r="X7" s="5">
        <v>4890750000000</v>
      </c>
      <c r="Y7" s="5">
        <v>3255990000000</v>
      </c>
      <c r="AA7" s="15">
        <v>0.00509917</v>
      </c>
      <c r="AB7" s="5">
        <v>0.00565475</v>
      </c>
      <c r="AC7" s="5">
        <v>23990200000000</v>
      </c>
      <c r="AD7" s="5">
        <v>2545850000</v>
      </c>
      <c r="AE7" s="5">
        <v>0</v>
      </c>
      <c r="AF7" s="5">
        <v>0</v>
      </c>
      <c r="AG7" s="5">
        <v>2</v>
      </c>
      <c r="AH7" s="5">
        <v>4602800000000</v>
      </c>
      <c r="AI7" s="5">
        <v>5427360000000</v>
      </c>
      <c r="AJ7" s="5">
        <v>5365010000000</v>
      </c>
      <c r="AK7" s="5">
        <v>4978490000000</v>
      </c>
      <c r="AL7" s="5">
        <v>3616090000000</v>
      </c>
      <c r="AN7" s="5">
        <f t="shared" si="0"/>
        <v>0.0050094</v>
      </c>
      <c r="AO7" s="5">
        <f t="shared" si="1"/>
        <v>23599466666666.7</v>
      </c>
      <c r="AP7" s="5">
        <f t="shared" si="2"/>
        <v>22695500000000</v>
      </c>
      <c r="AQ7" s="5">
        <f t="shared" si="3"/>
        <v>24112700000000</v>
      </c>
      <c r="AR7" s="5">
        <f t="shared" si="4"/>
        <v>3135903333333.33</v>
      </c>
      <c r="AS7" s="5">
        <f t="shared" si="5"/>
        <v>2535630000000</v>
      </c>
      <c r="AT7" s="5">
        <f t="shared" si="6"/>
        <v>3616090000000</v>
      </c>
    </row>
    <row r="8" customHeight="1" spans="1:46">
      <c r="A8" s="15">
        <v>0.00586578</v>
      </c>
      <c r="B8" s="5">
        <v>0.00640281</v>
      </c>
      <c r="C8" s="5">
        <v>22974300000000</v>
      </c>
      <c r="D8" s="5">
        <v>1554050000</v>
      </c>
      <c r="E8" s="5">
        <v>0</v>
      </c>
      <c r="F8" s="5">
        <v>0</v>
      </c>
      <c r="G8" s="5">
        <v>2</v>
      </c>
      <c r="H8" s="5">
        <v>6310740000000</v>
      </c>
      <c r="I8" s="5">
        <v>4364380000000</v>
      </c>
      <c r="J8" s="5">
        <v>4494190000000</v>
      </c>
      <c r="K8" s="5">
        <v>4883630000000</v>
      </c>
      <c r="L8" s="5">
        <v>2921120000000</v>
      </c>
      <c r="N8" s="15">
        <v>0.00596973</v>
      </c>
      <c r="O8" s="5">
        <v>0.00655516</v>
      </c>
      <c r="P8" s="5">
        <v>22980500000000</v>
      </c>
      <c r="Q8" s="5">
        <v>2101100000</v>
      </c>
      <c r="R8" s="5">
        <v>0</v>
      </c>
      <c r="S8" s="5">
        <v>0</v>
      </c>
      <c r="T8" s="5">
        <v>2</v>
      </c>
      <c r="U8" s="5">
        <v>5761330000000</v>
      </c>
      <c r="V8" s="5">
        <v>4431750000000</v>
      </c>
      <c r="W8" s="5">
        <v>5044300000000</v>
      </c>
      <c r="X8" s="5">
        <v>4195150000000</v>
      </c>
      <c r="Y8" s="5">
        <v>3547840000000</v>
      </c>
      <c r="AA8" s="15">
        <v>0.00603026</v>
      </c>
      <c r="AB8" s="5">
        <v>0.00660587</v>
      </c>
      <c r="AC8" s="5">
        <v>24379900000000</v>
      </c>
      <c r="AD8" s="5">
        <v>1899270000</v>
      </c>
      <c r="AE8" s="5">
        <v>0</v>
      </c>
      <c r="AF8" s="5">
        <v>0</v>
      </c>
      <c r="AG8" s="5">
        <v>2</v>
      </c>
      <c r="AH8" s="5">
        <v>4722790000000</v>
      </c>
      <c r="AI8" s="5">
        <v>5218150000000</v>
      </c>
      <c r="AJ8" s="5">
        <v>5904090000000</v>
      </c>
      <c r="AK8" s="5">
        <v>5224810000000</v>
      </c>
      <c r="AL8" s="5">
        <v>3309880000000</v>
      </c>
      <c r="AN8" s="5">
        <f t="shared" si="0"/>
        <v>0.00586578</v>
      </c>
      <c r="AO8" s="5">
        <f t="shared" si="1"/>
        <v>23444900000000</v>
      </c>
      <c r="AP8" s="5">
        <f t="shared" si="2"/>
        <v>22974300000000</v>
      </c>
      <c r="AQ8" s="5">
        <f t="shared" si="3"/>
        <v>24379900000000</v>
      </c>
      <c r="AR8" s="5">
        <f t="shared" si="4"/>
        <v>3259613333333.33</v>
      </c>
      <c r="AS8" s="5">
        <f t="shared" si="5"/>
        <v>2921120000000</v>
      </c>
      <c r="AT8" s="5">
        <f t="shared" si="6"/>
        <v>3547840000000</v>
      </c>
    </row>
    <row r="9" customHeight="1" spans="1:46">
      <c r="A9" s="15">
        <v>0.00700285</v>
      </c>
      <c r="B9" s="5">
        <v>0.0075565</v>
      </c>
      <c r="C9" s="5">
        <v>23568800000000</v>
      </c>
      <c r="D9" s="5">
        <v>1401270000</v>
      </c>
      <c r="E9" s="5">
        <v>0</v>
      </c>
      <c r="F9" s="5">
        <v>0</v>
      </c>
      <c r="G9" s="5">
        <v>2</v>
      </c>
      <c r="H9" s="5">
        <v>6430560000000</v>
      </c>
      <c r="I9" s="5">
        <v>4320190000000</v>
      </c>
      <c r="J9" s="5">
        <v>4673900000000</v>
      </c>
      <c r="K9" s="5">
        <v>5152780000000</v>
      </c>
      <c r="L9" s="5">
        <v>2990980000000</v>
      </c>
      <c r="N9" s="15">
        <v>0.0070193</v>
      </c>
      <c r="O9" s="5">
        <v>0.00759756</v>
      </c>
      <c r="P9" s="5">
        <v>23216000000000</v>
      </c>
      <c r="Q9" s="5">
        <v>3421920000</v>
      </c>
      <c r="R9" s="5">
        <v>0</v>
      </c>
      <c r="S9" s="5">
        <v>0</v>
      </c>
      <c r="T9" s="5">
        <v>2</v>
      </c>
      <c r="U9" s="5">
        <v>6210050000000</v>
      </c>
      <c r="V9" s="5">
        <v>4273490000000</v>
      </c>
      <c r="W9" s="5">
        <v>4420300000000</v>
      </c>
      <c r="X9" s="5">
        <v>4273340000000</v>
      </c>
      <c r="Y9" s="5">
        <v>4038780000000</v>
      </c>
      <c r="AA9" s="15">
        <v>0.0070409</v>
      </c>
      <c r="AB9" s="5">
        <v>0.00762971</v>
      </c>
      <c r="AC9" s="5">
        <v>23980900000000</v>
      </c>
      <c r="AD9" s="5">
        <v>2337000000</v>
      </c>
      <c r="AE9" s="5">
        <v>0</v>
      </c>
      <c r="AF9" s="5">
        <v>0</v>
      </c>
      <c r="AG9" s="5">
        <v>2</v>
      </c>
      <c r="AH9" s="5">
        <v>4928690000000</v>
      </c>
      <c r="AI9" s="5">
        <v>5742750000000</v>
      </c>
      <c r="AJ9" s="5">
        <v>5039960000000</v>
      </c>
      <c r="AK9" s="5">
        <v>5015230000000</v>
      </c>
      <c r="AL9" s="5">
        <v>3254260000000</v>
      </c>
      <c r="AN9" s="5">
        <f t="shared" si="0"/>
        <v>0.00700285</v>
      </c>
      <c r="AO9" s="5">
        <f t="shared" si="1"/>
        <v>23588566666666.7</v>
      </c>
      <c r="AP9" s="5">
        <f t="shared" si="2"/>
        <v>23216000000000</v>
      </c>
      <c r="AQ9" s="5">
        <f t="shared" si="3"/>
        <v>23980900000000</v>
      </c>
      <c r="AR9" s="5">
        <f t="shared" si="4"/>
        <v>3428006666666.67</v>
      </c>
      <c r="AS9" s="5">
        <f t="shared" si="5"/>
        <v>2990980000000</v>
      </c>
      <c r="AT9" s="5">
        <f t="shared" si="6"/>
        <v>4038780000000</v>
      </c>
    </row>
    <row r="10" customHeight="1" spans="1:46">
      <c r="A10" s="15">
        <v>0.00797551</v>
      </c>
      <c r="B10" s="5">
        <v>0.00854714</v>
      </c>
      <c r="C10" s="5">
        <v>23048600000000</v>
      </c>
      <c r="D10" s="5">
        <v>2710900000</v>
      </c>
      <c r="E10" s="5">
        <v>0</v>
      </c>
      <c r="F10" s="5">
        <v>0</v>
      </c>
      <c r="G10" s="5">
        <v>2</v>
      </c>
      <c r="H10" s="5">
        <v>6238720000000</v>
      </c>
      <c r="I10" s="5">
        <v>4330620000000</v>
      </c>
      <c r="J10" s="5">
        <v>4433890000000</v>
      </c>
      <c r="K10" s="5">
        <v>4882760000000</v>
      </c>
      <c r="L10" s="5">
        <v>3162520000000</v>
      </c>
      <c r="N10" s="15">
        <v>0.00805623</v>
      </c>
      <c r="O10" s="5">
        <v>0.00861955</v>
      </c>
      <c r="P10" s="5">
        <v>22582800000000</v>
      </c>
      <c r="Q10" s="5">
        <v>1323590000</v>
      </c>
      <c r="R10" s="5">
        <v>0</v>
      </c>
      <c r="S10" s="5">
        <v>0</v>
      </c>
      <c r="T10" s="5">
        <v>2</v>
      </c>
      <c r="U10" s="5">
        <v>5640200000000</v>
      </c>
      <c r="V10" s="5">
        <v>4435440000000</v>
      </c>
      <c r="W10" s="5">
        <v>4565200000000</v>
      </c>
      <c r="X10" s="5">
        <v>4353070000000</v>
      </c>
      <c r="Y10" s="5">
        <v>3588830000000</v>
      </c>
      <c r="AA10" s="15">
        <v>0.00799033</v>
      </c>
      <c r="AB10" s="5">
        <v>0.00857223</v>
      </c>
      <c r="AC10" s="5">
        <v>23593700000000</v>
      </c>
      <c r="AD10" s="5">
        <v>4411730000</v>
      </c>
      <c r="AE10" s="5">
        <v>0</v>
      </c>
      <c r="AF10" s="5">
        <v>0</v>
      </c>
      <c r="AG10" s="5">
        <v>2</v>
      </c>
      <c r="AH10" s="5">
        <v>4976240000000</v>
      </c>
      <c r="AI10" s="5">
        <v>5308630000000</v>
      </c>
      <c r="AJ10" s="5">
        <v>5421080000000</v>
      </c>
      <c r="AK10" s="5">
        <v>4648820000000</v>
      </c>
      <c r="AL10" s="5">
        <v>3237940000000</v>
      </c>
      <c r="AN10" s="5">
        <f t="shared" si="0"/>
        <v>0.00797551</v>
      </c>
      <c r="AO10" s="5">
        <f t="shared" si="1"/>
        <v>23075033333333.3</v>
      </c>
      <c r="AP10" s="5">
        <f t="shared" si="2"/>
        <v>22582800000000</v>
      </c>
      <c r="AQ10" s="5">
        <f t="shared" si="3"/>
        <v>23593700000000</v>
      </c>
      <c r="AR10" s="5">
        <f t="shared" si="4"/>
        <v>3329763333333.33</v>
      </c>
      <c r="AS10" s="5">
        <f t="shared" si="5"/>
        <v>3162520000000</v>
      </c>
      <c r="AT10" s="5">
        <f t="shared" si="6"/>
        <v>3588830000000</v>
      </c>
    </row>
    <row r="11" customHeight="1" spans="1:46">
      <c r="A11" s="15">
        <v>0.00901181</v>
      </c>
      <c r="B11" s="5">
        <v>0.00958482</v>
      </c>
      <c r="C11" s="5">
        <v>23440800000000</v>
      </c>
      <c r="D11" s="5">
        <v>1399710000</v>
      </c>
      <c r="E11" s="5">
        <v>0</v>
      </c>
      <c r="F11" s="5">
        <v>0</v>
      </c>
      <c r="G11" s="5">
        <v>2</v>
      </c>
      <c r="H11" s="5">
        <v>6182910000000</v>
      </c>
      <c r="I11" s="5">
        <v>4285440000000</v>
      </c>
      <c r="J11" s="5">
        <v>4539160000000</v>
      </c>
      <c r="K11" s="5">
        <v>4681780000000</v>
      </c>
      <c r="L11" s="5">
        <v>3751360000000</v>
      </c>
      <c r="N11" s="15">
        <v>0.00902182</v>
      </c>
      <c r="O11" s="5">
        <v>0.00960323</v>
      </c>
      <c r="P11" s="5">
        <v>23048600000000</v>
      </c>
      <c r="Q11" s="5">
        <v>2068280000</v>
      </c>
      <c r="R11" s="5">
        <v>0</v>
      </c>
      <c r="S11" s="5">
        <v>0</v>
      </c>
      <c r="T11" s="5">
        <v>2</v>
      </c>
      <c r="U11" s="5">
        <v>5692060000000</v>
      </c>
      <c r="V11" s="5">
        <v>4749970000000</v>
      </c>
      <c r="W11" s="5">
        <v>4502840000000</v>
      </c>
      <c r="X11" s="5">
        <v>4656830000000</v>
      </c>
      <c r="Y11" s="5">
        <v>3446080000000</v>
      </c>
      <c r="AA11" s="15">
        <v>0.00900718</v>
      </c>
      <c r="AB11" s="5">
        <v>0.00959596</v>
      </c>
      <c r="AC11" s="5">
        <v>23713800000000</v>
      </c>
      <c r="AD11" s="5">
        <v>2747420000</v>
      </c>
      <c r="AE11" s="5">
        <v>0</v>
      </c>
      <c r="AF11" s="5">
        <v>0</v>
      </c>
      <c r="AG11" s="5">
        <v>2</v>
      </c>
      <c r="AH11" s="5">
        <v>4719920000000</v>
      </c>
      <c r="AI11" s="5">
        <v>5150050000000</v>
      </c>
      <c r="AJ11" s="5">
        <v>5475450000000</v>
      </c>
      <c r="AK11" s="5">
        <v>4723830000000</v>
      </c>
      <c r="AL11" s="5">
        <v>3637480000000</v>
      </c>
      <c r="AN11" s="5">
        <f t="shared" si="0"/>
        <v>0.00901181</v>
      </c>
      <c r="AO11" s="5">
        <f t="shared" si="1"/>
        <v>23401066666666.7</v>
      </c>
      <c r="AP11" s="5">
        <f t="shared" si="2"/>
        <v>23048600000000</v>
      </c>
      <c r="AQ11" s="5">
        <f t="shared" si="3"/>
        <v>23713800000000</v>
      </c>
      <c r="AR11" s="5">
        <f t="shared" si="4"/>
        <v>3611640000000</v>
      </c>
      <c r="AS11" s="5">
        <f t="shared" si="5"/>
        <v>3446080000000</v>
      </c>
      <c r="AT11" s="5">
        <f t="shared" si="6"/>
        <v>3751360000000</v>
      </c>
    </row>
    <row r="12" customHeight="1" spans="1:46">
      <c r="A12" s="15">
        <v>0.0100437</v>
      </c>
      <c r="B12" s="5">
        <v>0.0106252</v>
      </c>
      <c r="C12" s="5">
        <v>23857600000000</v>
      </c>
      <c r="D12" s="5">
        <v>1907800000</v>
      </c>
      <c r="E12" s="5">
        <v>0</v>
      </c>
      <c r="F12" s="5">
        <v>0</v>
      </c>
      <c r="G12" s="5">
        <v>2</v>
      </c>
      <c r="H12" s="5">
        <v>5931140000000</v>
      </c>
      <c r="I12" s="5">
        <v>4388310000000</v>
      </c>
      <c r="J12" s="5">
        <v>4633710000000</v>
      </c>
      <c r="K12" s="5">
        <v>5069520000000</v>
      </c>
      <c r="L12" s="5">
        <v>3834800000000</v>
      </c>
      <c r="N12" s="15">
        <v>0.0100101</v>
      </c>
      <c r="O12" s="5">
        <v>0.010581</v>
      </c>
      <c r="P12" s="5">
        <v>23561700000000</v>
      </c>
      <c r="Q12" s="5">
        <v>2014550000</v>
      </c>
      <c r="R12" s="5">
        <v>0</v>
      </c>
      <c r="S12" s="5">
        <v>0</v>
      </c>
      <c r="T12" s="5">
        <v>2</v>
      </c>
      <c r="U12" s="5">
        <v>5847520000000</v>
      </c>
      <c r="V12" s="5">
        <v>5113890000000</v>
      </c>
      <c r="W12" s="5">
        <v>4365080000000</v>
      </c>
      <c r="X12" s="5">
        <v>5132890000000</v>
      </c>
      <c r="Y12" s="5">
        <v>3102290000000</v>
      </c>
      <c r="AA12" s="15">
        <v>0.0100333</v>
      </c>
      <c r="AB12" s="5">
        <v>0.010626</v>
      </c>
      <c r="AC12" s="5">
        <v>24559200000000</v>
      </c>
      <c r="AD12" s="5">
        <v>3812500000</v>
      </c>
      <c r="AE12" s="5">
        <v>0</v>
      </c>
      <c r="AF12" s="5">
        <v>0</v>
      </c>
      <c r="AG12" s="5">
        <v>2</v>
      </c>
      <c r="AH12" s="5">
        <v>5441440000000</v>
      </c>
      <c r="AI12" s="5">
        <v>5669390000000</v>
      </c>
      <c r="AJ12" s="5">
        <v>5057620000000</v>
      </c>
      <c r="AK12" s="5">
        <v>5005640000000</v>
      </c>
      <c r="AL12" s="5">
        <v>3385120000000</v>
      </c>
      <c r="AN12" s="5">
        <f t="shared" si="0"/>
        <v>0.0100437</v>
      </c>
      <c r="AO12" s="5">
        <f t="shared" si="1"/>
        <v>23992833333333.3</v>
      </c>
      <c r="AP12" s="5">
        <f t="shared" si="2"/>
        <v>23561700000000</v>
      </c>
      <c r="AQ12" s="5">
        <f t="shared" si="3"/>
        <v>24559200000000</v>
      </c>
      <c r="AR12" s="5">
        <f t="shared" si="4"/>
        <v>3440736666666.67</v>
      </c>
      <c r="AS12" s="5">
        <f t="shared" si="5"/>
        <v>3102290000000</v>
      </c>
      <c r="AT12" s="5">
        <f t="shared" si="6"/>
        <v>3834800000000</v>
      </c>
    </row>
    <row r="13" customHeight="1" spans="1:46">
      <c r="A13" s="15">
        <v>0.0109049</v>
      </c>
      <c r="B13" s="5">
        <v>0.0114949</v>
      </c>
      <c r="C13" s="5">
        <v>24305900000000</v>
      </c>
      <c r="D13" s="5">
        <v>1350710000</v>
      </c>
      <c r="E13" s="5">
        <v>0</v>
      </c>
      <c r="F13" s="5">
        <v>0</v>
      </c>
      <c r="G13" s="5">
        <v>2</v>
      </c>
      <c r="H13" s="5">
        <v>6180930000000</v>
      </c>
      <c r="I13" s="5">
        <v>4681930000000</v>
      </c>
      <c r="J13" s="5">
        <v>4876280000000</v>
      </c>
      <c r="K13" s="5">
        <v>4875950000000</v>
      </c>
      <c r="L13" s="5">
        <v>3690590000000</v>
      </c>
      <c r="N13" s="15">
        <v>0.0109733</v>
      </c>
      <c r="O13" s="5">
        <v>0.0115502</v>
      </c>
      <c r="P13" s="5">
        <v>23835900000000</v>
      </c>
      <c r="Q13" s="5">
        <v>2010300000</v>
      </c>
      <c r="R13" s="5">
        <v>0</v>
      </c>
      <c r="S13" s="5">
        <v>0</v>
      </c>
      <c r="T13" s="5">
        <v>2</v>
      </c>
      <c r="U13" s="5">
        <v>6098210000000</v>
      </c>
      <c r="V13" s="5">
        <v>5273010000000</v>
      </c>
      <c r="W13" s="5">
        <v>4448590000000</v>
      </c>
      <c r="X13" s="5">
        <v>4465030000000</v>
      </c>
      <c r="Y13" s="5">
        <v>3551000000000</v>
      </c>
      <c r="AA13" s="15">
        <v>0.0109615</v>
      </c>
      <c r="AB13" s="5">
        <v>0.0115592</v>
      </c>
      <c r="AC13" s="5">
        <v>24365000000000</v>
      </c>
      <c r="AD13" s="5">
        <v>2289850000</v>
      </c>
      <c r="AE13" s="5">
        <v>0</v>
      </c>
      <c r="AF13" s="5">
        <v>0</v>
      </c>
      <c r="AG13" s="5">
        <v>2</v>
      </c>
      <c r="AH13" s="5">
        <v>5315160000000</v>
      </c>
      <c r="AI13" s="5">
        <v>5318000000000</v>
      </c>
      <c r="AJ13" s="5">
        <v>5236560000000</v>
      </c>
      <c r="AK13" s="5">
        <v>4758480000000</v>
      </c>
      <c r="AL13" s="5">
        <v>3736780000000</v>
      </c>
      <c r="AN13" s="5">
        <f t="shared" si="0"/>
        <v>0.0109049</v>
      </c>
      <c r="AO13" s="5">
        <f t="shared" si="1"/>
        <v>24168933333333.3</v>
      </c>
      <c r="AP13" s="5">
        <f t="shared" si="2"/>
        <v>23835900000000</v>
      </c>
      <c r="AQ13" s="5">
        <f t="shared" si="3"/>
        <v>24365000000000</v>
      </c>
      <c r="AR13" s="5">
        <f t="shared" si="4"/>
        <v>3659456666666.67</v>
      </c>
      <c r="AS13" s="5">
        <f t="shared" si="5"/>
        <v>3551000000000</v>
      </c>
      <c r="AT13" s="5">
        <f t="shared" si="6"/>
        <v>3736780000000</v>
      </c>
    </row>
    <row r="14" customHeight="1" spans="1:46">
      <c r="A14" s="15">
        <v>0.0119735</v>
      </c>
      <c r="B14" s="5">
        <v>0.0125504</v>
      </c>
      <c r="C14" s="5">
        <v>24008400000000</v>
      </c>
      <c r="D14" s="5">
        <v>1862550000</v>
      </c>
      <c r="E14" s="5">
        <v>0</v>
      </c>
      <c r="F14" s="5">
        <v>0</v>
      </c>
      <c r="G14" s="5">
        <v>2</v>
      </c>
      <c r="H14" s="5">
        <v>5373650000000</v>
      </c>
      <c r="I14" s="5">
        <v>4922950000000</v>
      </c>
      <c r="J14" s="5">
        <v>5354220000000</v>
      </c>
      <c r="K14" s="5">
        <v>4870610000000</v>
      </c>
      <c r="L14" s="5">
        <v>3486940000000</v>
      </c>
      <c r="N14" s="15">
        <v>0.0120833</v>
      </c>
      <c r="O14" s="5">
        <v>0.0126636</v>
      </c>
      <c r="P14" s="5">
        <v>24555100000000</v>
      </c>
      <c r="Q14" s="5">
        <v>1846770000</v>
      </c>
      <c r="R14" s="5">
        <v>0</v>
      </c>
      <c r="S14" s="5">
        <v>0</v>
      </c>
      <c r="T14" s="5">
        <v>2</v>
      </c>
      <c r="U14" s="5">
        <v>5468710000000</v>
      </c>
      <c r="V14" s="5">
        <v>5546630000000</v>
      </c>
      <c r="W14" s="5">
        <v>4197140000000</v>
      </c>
      <c r="X14" s="5">
        <v>5077800000000</v>
      </c>
      <c r="Y14" s="5">
        <v>4264520000000</v>
      </c>
      <c r="AA14" s="15">
        <v>0.0119779</v>
      </c>
      <c r="AB14" s="5">
        <v>0.0125792</v>
      </c>
      <c r="AC14" s="5">
        <v>24899700000000</v>
      </c>
      <c r="AD14" s="5">
        <v>3173580000</v>
      </c>
      <c r="AE14" s="5">
        <v>0</v>
      </c>
      <c r="AF14" s="5">
        <v>0</v>
      </c>
      <c r="AG14" s="5">
        <v>2</v>
      </c>
      <c r="AH14" s="5">
        <v>4983100000000</v>
      </c>
      <c r="AI14" s="5">
        <v>5657390000000</v>
      </c>
      <c r="AJ14" s="5">
        <v>5132610000000</v>
      </c>
      <c r="AK14" s="5">
        <v>5071340000000</v>
      </c>
      <c r="AL14" s="5">
        <v>4055220000000</v>
      </c>
      <c r="AN14" s="5">
        <f t="shared" si="0"/>
        <v>0.0119735</v>
      </c>
      <c r="AO14" s="5">
        <f t="shared" si="1"/>
        <v>24487733333333.3</v>
      </c>
      <c r="AP14" s="5">
        <f t="shared" si="2"/>
        <v>24008400000000</v>
      </c>
      <c r="AQ14" s="5">
        <f t="shared" si="3"/>
        <v>24899700000000</v>
      </c>
      <c r="AR14" s="5">
        <f t="shared" si="4"/>
        <v>3935560000000</v>
      </c>
      <c r="AS14" s="5">
        <f t="shared" si="5"/>
        <v>3486940000000</v>
      </c>
      <c r="AT14" s="5">
        <f t="shared" si="6"/>
        <v>4264520000000</v>
      </c>
    </row>
    <row r="15" customHeight="1" spans="1:46">
      <c r="A15" s="15">
        <v>0.0129866</v>
      </c>
      <c r="B15" s="5">
        <v>0.0135803</v>
      </c>
      <c r="C15" s="5">
        <v>23438100000000</v>
      </c>
      <c r="D15" s="5">
        <v>1634760000</v>
      </c>
      <c r="E15" s="5">
        <v>0</v>
      </c>
      <c r="F15" s="5">
        <v>0</v>
      </c>
      <c r="G15" s="5">
        <v>2</v>
      </c>
      <c r="H15" s="5">
        <v>5568240000000</v>
      </c>
      <c r="I15" s="5">
        <v>4713030000000</v>
      </c>
      <c r="J15" s="5">
        <v>4440460000000</v>
      </c>
      <c r="K15" s="5">
        <v>4927680000000</v>
      </c>
      <c r="L15" s="5">
        <v>3788480000000</v>
      </c>
      <c r="N15" s="15">
        <v>0.0130319</v>
      </c>
      <c r="O15" s="5">
        <v>0.0135988</v>
      </c>
      <c r="P15" s="5">
        <v>23829000000000</v>
      </c>
      <c r="Q15" s="5">
        <v>2025190000</v>
      </c>
      <c r="R15" s="5">
        <v>0</v>
      </c>
      <c r="S15" s="5">
        <v>0</v>
      </c>
      <c r="T15" s="5">
        <v>2</v>
      </c>
      <c r="U15" s="5">
        <v>5329010000000</v>
      </c>
      <c r="V15" s="5">
        <v>4948620000000</v>
      </c>
      <c r="W15" s="5">
        <v>4018560000000</v>
      </c>
      <c r="X15" s="5">
        <v>5601990000000</v>
      </c>
      <c r="Y15" s="5">
        <v>3930860000000</v>
      </c>
      <c r="AA15" s="15">
        <v>0.0130332</v>
      </c>
      <c r="AB15" s="5">
        <v>0.0136158</v>
      </c>
      <c r="AC15" s="5">
        <v>25307000000000</v>
      </c>
      <c r="AD15" s="5">
        <v>2560710000</v>
      </c>
      <c r="AE15" s="5">
        <v>0</v>
      </c>
      <c r="AF15" s="5">
        <v>0</v>
      </c>
      <c r="AG15" s="5">
        <v>2</v>
      </c>
      <c r="AH15" s="5">
        <v>5095650000000</v>
      </c>
      <c r="AI15" s="5">
        <v>6259080000000</v>
      </c>
      <c r="AJ15" s="5">
        <v>5058480000000</v>
      </c>
      <c r="AK15" s="5">
        <v>4850990000000</v>
      </c>
      <c r="AL15" s="5">
        <v>4042850000000</v>
      </c>
      <c r="AN15" s="5">
        <f t="shared" si="0"/>
        <v>0.0129866</v>
      </c>
      <c r="AO15" s="5">
        <f t="shared" si="1"/>
        <v>24191366666666.7</v>
      </c>
      <c r="AP15" s="5">
        <f t="shared" si="2"/>
        <v>23438100000000</v>
      </c>
      <c r="AQ15" s="5">
        <f t="shared" si="3"/>
        <v>25307000000000</v>
      </c>
      <c r="AR15" s="5">
        <f t="shared" si="4"/>
        <v>3920730000000</v>
      </c>
      <c r="AS15" s="5">
        <f t="shared" si="5"/>
        <v>3788480000000</v>
      </c>
      <c r="AT15" s="5">
        <f t="shared" si="6"/>
        <v>4042850000000</v>
      </c>
    </row>
    <row r="16" customHeight="1" spans="1:46">
      <c r="A16" s="15">
        <v>0.0140029</v>
      </c>
      <c r="B16" s="5">
        <v>0.0145887</v>
      </c>
      <c r="C16" s="5">
        <v>24907700000000</v>
      </c>
      <c r="D16" s="5">
        <v>2888860000</v>
      </c>
      <c r="E16" s="5">
        <v>0</v>
      </c>
      <c r="F16" s="5">
        <v>0</v>
      </c>
      <c r="G16" s="5">
        <v>2</v>
      </c>
      <c r="H16" s="5">
        <v>5831910000000</v>
      </c>
      <c r="I16" s="5">
        <v>4584970000000</v>
      </c>
      <c r="J16" s="5">
        <v>4622070000000</v>
      </c>
      <c r="K16" s="5">
        <v>5772640000000</v>
      </c>
      <c r="L16" s="5">
        <v>4096050000000</v>
      </c>
      <c r="N16" s="15">
        <v>0.0140281</v>
      </c>
      <c r="O16" s="5">
        <v>0.0145826</v>
      </c>
      <c r="P16" s="5">
        <v>23464800000000</v>
      </c>
      <c r="Q16" s="5">
        <v>3019460000</v>
      </c>
      <c r="R16" s="5">
        <v>0</v>
      </c>
      <c r="S16" s="5">
        <v>0</v>
      </c>
      <c r="T16" s="5">
        <v>2</v>
      </c>
      <c r="U16" s="5">
        <v>5028460000000</v>
      </c>
      <c r="V16" s="5">
        <v>4752920000000</v>
      </c>
      <c r="W16" s="5">
        <v>4487320000000</v>
      </c>
      <c r="X16" s="5">
        <v>5286860000000</v>
      </c>
      <c r="Y16" s="5">
        <v>3909030000000</v>
      </c>
      <c r="AA16" s="15">
        <v>0.0139579</v>
      </c>
      <c r="AB16" s="5">
        <v>0.0145185</v>
      </c>
      <c r="AC16" s="5">
        <v>25157100000000</v>
      </c>
      <c r="AD16" s="5">
        <v>2432100000</v>
      </c>
      <c r="AE16" s="5">
        <v>0</v>
      </c>
      <c r="AF16" s="5">
        <v>0</v>
      </c>
      <c r="AG16" s="5">
        <v>2</v>
      </c>
      <c r="AH16" s="5">
        <v>5504400000000</v>
      </c>
      <c r="AI16" s="5">
        <v>6235490000000</v>
      </c>
      <c r="AJ16" s="5">
        <v>4971910000000</v>
      </c>
      <c r="AK16" s="5">
        <v>4594780000000</v>
      </c>
      <c r="AL16" s="5">
        <v>3850450000000</v>
      </c>
      <c r="AN16" s="5">
        <f t="shared" si="0"/>
        <v>0.0140029</v>
      </c>
      <c r="AO16" s="5">
        <f t="shared" si="1"/>
        <v>24509866666666.7</v>
      </c>
      <c r="AP16" s="5">
        <f t="shared" si="2"/>
        <v>23464800000000</v>
      </c>
      <c r="AQ16" s="5">
        <f t="shared" si="3"/>
        <v>25157100000000</v>
      </c>
      <c r="AR16" s="5">
        <f t="shared" si="4"/>
        <v>3951843333333.33</v>
      </c>
      <c r="AS16" s="5">
        <f t="shared" si="5"/>
        <v>3850450000000</v>
      </c>
      <c r="AT16" s="5">
        <f t="shared" si="6"/>
        <v>4096050000000</v>
      </c>
    </row>
    <row r="17" customHeight="1" spans="1:46">
      <c r="A17" s="15">
        <v>0.0150812</v>
      </c>
      <c r="B17" s="5">
        <v>0.0156437</v>
      </c>
      <c r="C17" s="5">
        <v>24851300000000</v>
      </c>
      <c r="D17" s="5">
        <v>2266030000</v>
      </c>
      <c r="E17" s="5">
        <v>0</v>
      </c>
      <c r="F17" s="5">
        <v>0</v>
      </c>
      <c r="G17" s="5">
        <v>2</v>
      </c>
      <c r="H17" s="5">
        <v>6917660000000</v>
      </c>
      <c r="I17" s="5">
        <v>4250840000000</v>
      </c>
      <c r="J17" s="5">
        <v>4476050000000</v>
      </c>
      <c r="K17" s="5">
        <v>4976590000000</v>
      </c>
      <c r="L17" s="5">
        <v>4230160000000</v>
      </c>
      <c r="N17" s="15">
        <v>0.0151244</v>
      </c>
      <c r="O17" s="5">
        <v>0.0157039</v>
      </c>
      <c r="P17" s="5">
        <v>23322400000000</v>
      </c>
      <c r="Q17" s="5">
        <v>1533930000</v>
      </c>
      <c r="R17" s="5">
        <v>0</v>
      </c>
      <c r="S17" s="5">
        <v>0</v>
      </c>
      <c r="T17" s="5">
        <v>2</v>
      </c>
      <c r="U17" s="5">
        <v>5528660000000</v>
      </c>
      <c r="V17" s="5">
        <v>4777150000000</v>
      </c>
      <c r="W17" s="5">
        <v>4051610000000</v>
      </c>
      <c r="X17" s="5">
        <v>5168970000000</v>
      </c>
      <c r="Y17" s="5">
        <v>3796050000000</v>
      </c>
      <c r="AA17" s="15">
        <v>0.0150075</v>
      </c>
      <c r="AB17" s="5">
        <v>0.0155859</v>
      </c>
      <c r="AC17" s="5">
        <v>24385700000000</v>
      </c>
      <c r="AD17" s="5">
        <v>3035950000</v>
      </c>
      <c r="AE17" s="5">
        <v>0</v>
      </c>
      <c r="AF17" s="5">
        <v>0</v>
      </c>
      <c r="AG17" s="5">
        <v>2</v>
      </c>
      <c r="AH17" s="5">
        <v>5669440000000</v>
      </c>
      <c r="AI17" s="5">
        <v>5461970000000</v>
      </c>
      <c r="AJ17" s="5">
        <v>5134850000000</v>
      </c>
      <c r="AK17" s="5">
        <v>4441290000000</v>
      </c>
      <c r="AL17" s="5">
        <v>3678150000000</v>
      </c>
      <c r="AN17" s="5">
        <f t="shared" si="0"/>
        <v>0.0150812</v>
      </c>
      <c r="AO17" s="5">
        <f t="shared" si="1"/>
        <v>24186466666666.7</v>
      </c>
      <c r="AP17" s="5">
        <f t="shared" si="2"/>
        <v>23322400000000</v>
      </c>
      <c r="AQ17" s="5">
        <f t="shared" si="3"/>
        <v>24851300000000</v>
      </c>
      <c r="AR17" s="5">
        <f t="shared" si="4"/>
        <v>3901453333333.33</v>
      </c>
      <c r="AS17" s="5">
        <f t="shared" si="5"/>
        <v>3678150000000</v>
      </c>
      <c r="AT17" s="5">
        <f t="shared" si="6"/>
        <v>4230160000000</v>
      </c>
    </row>
    <row r="18" customHeight="1" spans="1:46">
      <c r="A18" s="15">
        <v>0.0160005</v>
      </c>
      <c r="B18" s="5">
        <v>0.0165898</v>
      </c>
      <c r="C18" s="5">
        <v>24414300000000</v>
      </c>
      <c r="D18" s="5">
        <v>2619520000</v>
      </c>
      <c r="E18" s="5">
        <v>0</v>
      </c>
      <c r="F18" s="5">
        <v>0</v>
      </c>
      <c r="G18" s="5">
        <v>2</v>
      </c>
      <c r="H18" s="5">
        <v>6296620000000</v>
      </c>
      <c r="I18" s="5">
        <v>4467460000000</v>
      </c>
      <c r="J18" s="5">
        <v>4622900000000</v>
      </c>
      <c r="K18" s="5">
        <v>4570020000000</v>
      </c>
      <c r="L18" s="5">
        <v>4457230000000</v>
      </c>
      <c r="N18" s="15">
        <v>0.016009</v>
      </c>
      <c r="O18" s="5">
        <v>0.0165679</v>
      </c>
      <c r="P18" s="5">
        <v>23683400000000</v>
      </c>
      <c r="Q18" s="5">
        <v>2454580000</v>
      </c>
      <c r="R18" s="5">
        <v>0</v>
      </c>
      <c r="S18" s="5">
        <v>0</v>
      </c>
      <c r="T18" s="5">
        <v>2</v>
      </c>
      <c r="U18" s="5">
        <v>5264680000000</v>
      </c>
      <c r="V18" s="5">
        <v>4553090000000</v>
      </c>
      <c r="W18" s="5">
        <v>4401320000000</v>
      </c>
      <c r="X18" s="5">
        <v>5945740000000</v>
      </c>
      <c r="Y18" s="5">
        <v>3518470000000</v>
      </c>
      <c r="AA18" s="15">
        <v>0.0160345</v>
      </c>
      <c r="AB18" s="5">
        <v>0.0165964</v>
      </c>
      <c r="AC18" s="5">
        <v>23374500000000</v>
      </c>
      <c r="AD18" s="5">
        <v>2668500000</v>
      </c>
      <c r="AE18" s="5">
        <v>0</v>
      </c>
      <c r="AF18" s="5">
        <v>0</v>
      </c>
      <c r="AG18" s="5">
        <v>2</v>
      </c>
      <c r="AH18" s="5">
        <v>5182940000000</v>
      </c>
      <c r="AI18" s="5">
        <v>5421180000000</v>
      </c>
      <c r="AJ18" s="5">
        <v>5024450000000</v>
      </c>
      <c r="AK18" s="5">
        <v>4467320000000</v>
      </c>
      <c r="AL18" s="5">
        <v>3278610000000</v>
      </c>
      <c r="AN18" s="5">
        <f t="shared" si="0"/>
        <v>0.0160005</v>
      </c>
      <c r="AO18" s="5">
        <f t="shared" si="1"/>
        <v>23824066666666.7</v>
      </c>
      <c r="AP18" s="5">
        <f t="shared" si="2"/>
        <v>23374500000000</v>
      </c>
      <c r="AQ18" s="5">
        <f t="shared" si="3"/>
        <v>24414300000000</v>
      </c>
      <c r="AR18" s="5">
        <f t="shared" si="4"/>
        <v>3751436666666.67</v>
      </c>
      <c r="AS18" s="5">
        <f t="shared" si="5"/>
        <v>3278610000000</v>
      </c>
      <c r="AT18" s="5">
        <f t="shared" si="6"/>
        <v>4457230000000</v>
      </c>
    </row>
    <row r="19" customHeight="1" spans="1:46">
      <c r="A19" s="15">
        <v>0.0169836</v>
      </c>
      <c r="B19" s="5">
        <v>0.0175351</v>
      </c>
      <c r="C19" s="5">
        <v>23804800000000</v>
      </c>
      <c r="D19" s="5">
        <v>2233880000</v>
      </c>
      <c r="E19" s="5">
        <v>0</v>
      </c>
      <c r="F19" s="5">
        <v>0</v>
      </c>
      <c r="G19" s="5">
        <v>2</v>
      </c>
      <c r="H19" s="5">
        <v>5844880000000</v>
      </c>
      <c r="I19" s="5">
        <v>4936390000000</v>
      </c>
      <c r="J19" s="5">
        <v>4715260000000</v>
      </c>
      <c r="K19" s="5">
        <v>4324590000000</v>
      </c>
      <c r="L19" s="5">
        <v>3982700000000</v>
      </c>
      <c r="N19" s="15">
        <v>0.0169626</v>
      </c>
      <c r="O19" s="5">
        <v>0.017525</v>
      </c>
      <c r="P19" s="5">
        <v>23044300000000</v>
      </c>
      <c r="Q19" s="5">
        <v>2247920000</v>
      </c>
      <c r="R19" s="5">
        <v>0</v>
      </c>
      <c r="S19" s="5">
        <v>0</v>
      </c>
      <c r="T19" s="5">
        <v>2</v>
      </c>
      <c r="U19" s="5">
        <v>5182440000000</v>
      </c>
      <c r="V19" s="5">
        <v>4152690000000</v>
      </c>
      <c r="W19" s="5">
        <v>4712790000000</v>
      </c>
      <c r="X19" s="5">
        <v>5343550000000</v>
      </c>
      <c r="Y19" s="5">
        <v>3652360000000</v>
      </c>
      <c r="AA19" s="15">
        <v>0.016968</v>
      </c>
      <c r="AB19" s="5">
        <v>0.0175203</v>
      </c>
      <c r="AC19" s="5">
        <v>22581900000000</v>
      </c>
      <c r="AD19" s="5">
        <v>2440400000</v>
      </c>
      <c r="AE19" s="5">
        <v>0</v>
      </c>
      <c r="AF19" s="5">
        <v>0</v>
      </c>
      <c r="AG19" s="5">
        <v>2</v>
      </c>
      <c r="AH19" s="5">
        <v>4734120000000</v>
      </c>
      <c r="AI19" s="5">
        <v>4639400000000</v>
      </c>
      <c r="AJ19" s="5">
        <v>4920560000000</v>
      </c>
      <c r="AK19" s="5">
        <v>4643670000000</v>
      </c>
      <c r="AL19" s="5">
        <v>3644160000000</v>
      </c>
      <c r="AN19" s="5">
        <f t="shared" si="0"/>
        <v>0.0169836</v>
      </c>
      <c r="AO19" s="5">
        <f t="shared" si="1"/>
        <v>23143666666666.7</v>
      </c>
      <c r="AP19" s="5">
        <f t="shared" si="2"/>
        <v>22581900000000</v>
      </c>
      <c r="AQ19" s="5">
        <f t="shared" si="3"/>
        <v>23804800000000</v>
      </c>
      <c r="AR19" s="5">
        <f t="shared" si="4"/>
        <v>3759740000000</v>
      </c>
      <c r="AS19" s="5">
        <f t="shared" si="5"/>
        <v>3644160000000</v>
      </c>
      <c r="AT19" s="5">
        <f t="shared" si="6"/>
        <v>3982700000000</v>
      </c>
    </row>
    <row r="20" customHeight="1" spans="1:46">
      <c r="A20" s="15">
        <v>0.0179907</v>
      </c>
      <c r="B20" s="5">
        <v>0.0185694</v>
      </c>
      <c r="C20" s="5">
        <v>22899200000000</v>
      </c>
      <c r="D20" s="5">
        <v>2223000000</v>
      </c>
      <c r="E20" s="5">
        <v>0</v>
      </c>
      <c r="F20" s="5">
        <v>0</v>
      </c>
      <c r="G20" s="5">
        <v>2</v>
      </c>
      <c r="H20" s="5">
        <v>5826610000000</v>
      </c>
      <c r="I20" s="5">
        <v>4397630000000</v>
      </c>
      <c r="J20" s="5">
        <v>4767040000000</v>
      </c>
      <c r="K20" s="5">
        <v>4168450000000</v>
      </c>
      <c r="L20" s="5">
        <v>3739410000000</v>
      </c>
      <c r="N20" s="15">
        <v>0.0179285</v>
      </c>
      <c r="O20" s="5">
        <v>0.0184714</v>
      </c>
      <c r="P20" s="5">
        <v>23189700000000</v>
      </c>
      <c r="Q20" s="5">
        <v>1732590000</v>
      </c>
      <c r="R20" s="5">
        <v>0</v>
      </c>
      <c r="S20" s="5">
        <v>0</v>
      </c>
      <c r="T20" s="5">
        <v>2</v>
      </c>
      <c r="U20" s="5">
        <v>5166520000000</v>
      </c>
      <c r="V20" s="5">
        <v>4455840000000</v>
      </c>
      <c r="W20" s="5">
        <v>5026410000000</v>
      </c>
      <c r="X20" s="5">
        <v>5206440000000</v>
      </c>
      <c r="Y20" s="5">
        <v>3334420000000</v>
      </c>
      <c r="AA20" s="15">
        <v>0.0180418</v>
      </c>
      <c r="AB20" s="5">
        <v>0.0186361</v>
      </c>
      <c r="AC20" s="5">
        <v>23405100000000</v>
      </c>
      <c r="AD20" s="5">
        <v>2942090000</v>
      </c>
      <c r="AE20" s="5">
        <v>0</v>
      </c>
      <c r="AF20" s="5">
        <v>0</v>
      </c>
      <c r="AG20" s="5">
        <v>2</v>
      </c>
      <c r="AH20" s="5">
        <v>5225010000000</v>
      </c>
      <c r="AI20" s="5">
        <v>4651360000000</v>
      </c>
      <c r="AJ20" s="5">
        <v>4690570000000</v>
      </c>
      <c r="AK20" s="5">
        <v>4944720000000</v>
      </c>
      <c r="AL20" s="5">
        <v>3893300000000</v>
      </c>
      <c r="AN20" s="5">
        <f t="shared" si="0"/>
        <v>0.0179907</v>
      </c>
      <c r="AO20" s="5">
        <f t="shared" si="1"/>
        <v>23164666666666.7</v>
      </c>
      <c r="AP20" s="5">
        <f t="shared" si="2"/>
        <v>22899200000000</v>
      </c>
      <c r="AQ20" s="5">
        <f t="shared" si="3"/>
        <v>23405100000000</v>
      </c>
      <c r="AR20" s="5">
        <f t="shared" si="4"/>
        <v>3655710000000</v>
      </c>
      <c r="AS20" s="5">
        <f t="shared" si="5"/>
        <v>3334420000000</v>
      </c>
      <c r="AT20" s="5">
        <f t="shared" si="6"/>
        <v>3893300000000</v>
      </c>
    </row>
    <row r="21" customHeight="1" spans="1:46">
      <c r="A21" s="15">
        <v>0.0189817</v>
      </c>
      <c r="B21" s="5">
        <v>0.0195684</v>
      </c>
      <c r="C21" s="5">
        <v>23205700000000</v>
      </c>
      <c r="D21" s="5">
        <v>1680740000</v>
      </c>
      <c r="E21" s="5">
        <v>0</v>
      </c>
      <c r="F21" s="5">
        <v>0</v>
      </c>
      <c r="G21" s="5">
        <v>2</v>
      </c>
      <c r="H21" s="5">
        <v>5846420000000</v>
      </c>
      <c r="I21" s="5">
        <v>4657310000000</v>
      </c>
      <c r="J21" s="5">
        <v>4536080000000</v>
      </c>
      <c r="K21" s="5">
        <v>4242350000000</v>
      </c>
      <c r="L21" s="5">
        <v>3923540000000</v>
      </c>
      <c r="N21" s="15">
        <v>0.0190287</v>
      </c>
      <c r="O21" s="5">
        <v>0.0195923</v>
      </c>
      <c r="P21" s="5">
        <v>22496600000000</v>
      </c>
      <c r="Q21" s="5">
        <v>3040780000</v>
      </c>
      <c r="R21" s="5">
        <v>0</v>
      </c>
      <c r="S21" s="5">
        <v>0</v>
      </c>
      <c r="T21" s="5">
        <v>2</v>
      </c>
      <c r="U21" s="5">
        <v>5426160000000</v>
      </c>
      <c r="V21" s="5">
        <v>4257220000000</v>
      </c>
      <c r="W21" s="5">
        <v>4736280000000</v>
      </c>
      <c r="X21" s="5">
        <v>4716210000000</v>
      </c>
      <c r="Y21" s="5">
        <v>3360490000000</v>
      </c>
      <c r="AA21" s="15">
        <v>0.0189963</v>
      </c>
      <c r="AB21" s="5">
        <v>0.0195586</v>
      </c>
      <c r="AC21" s="5">
        <v>24319800000000</v>
      </c>
      <c r="AD21" s="5">
        <v>3094810000</v>
      </c>
      <c r="AE21" s="5">
        <v>0</v>
      </c>
      <c r="AF21" s="5">
        <v>0</v>
      </c>
      <c r="AG21" s="5">
        <v>2</v>
      </c>
      <c r="AH21" s="5">
        <v>5079000000000</v>
      </c>
      <c r="AI21" s="5">
        <v>4965580000000</v>
      </c>
      <c r="AJ21" s="5">
        <v>4694000000000</v>
      </c>
      <c r="AK21" s="5">
        <v>5624600000000</v>
      </c>
      <c r="AL21" s="5">
        <v>3956650000000</v>
      </c>
      <c r="AN21" s="5">
        <f t="shared" si="0"/>
        <v>0.0189817</v>
      </c>
      <c r="AO21" s="5">
        <f t="shared" si="1"/>
        <v>23340700000000</v>
      </c>
      <c r="AP21" s="5">
        <f t="shared" si="2"/>
        <v>22496600000000</v>
      </c>
      <c r="AQ21" s="5">
        <f t="shared" si="3"/>
        <v>24319800000000</v>
      </c>
      <c r="AR21" s="5">
        <f t="shared" si="4"/>
        <v>3746893333333.33</v>
      </c>
      <c r="AS21" s="5">
        <f t="shared" si="5"/>
        <v>3360490000000</v>
      </c>
      <c r="AT21" s="5">
        <f t="shared" si="6"/>
        <v>3956650000000</v>
      </c>
    </row>
    <row r="22" customHeight="1" spans="1:46">
      <c r="A22" s="15">
        <v>0.0200237</v>
      </c>
      <c r="B22" s="5">
        <v>0.0206139</v>
      </c>
      <c r="C22" s="5">
        <v>23994000000000</v>
      </c>
      <c r="D22" s="5">
        <v>2324680000</v>
      </c>
      <c r="E22" s="5">
        <v>0</v>
      </c>
      <c r="F22" s="5">
        <v>0</v>
      </c>
      <c r="G22" s="5">
        <v>2</v>
      </c>
      <c r="H22" s="5">
        <v>6046120000000</v>
      </c>
      <c r="I22" s="5">
        <v>4668090000000</v>
      </c>
      <c r="J22" s="5">
        <v>4461760000000</v>
      </c>
      <c r="K22" s="5">
        <v>4897900000000</v>
      </c>
      <c r="L22" s="5">
        <v>3919900000000</v>
      </c>
      <c r="N22" s="15">
        <v>0.0198989</v>
      </c>
      <c r="O22" s="5">
        <v>0.0204824</v>
      </c>
      <c r="P22" s="5">
        <v>23324900000000</v>
      </c>
      <c r="Q22" s="5">
        <v>1978230000</v>
      </c>
      <c r="R22" s="5">
        <v>0</v>
      </c>
      <c r="S22" s="5">
        <v>0</v>
      </c>
      <c r="T22" s="5">
        <v>2</v>
      </c>
      <c r="U22" s="5">
        <v>5611870000000</v>
      </c>
      <c r="V22" s="5">
        <v>4502030000000</v>
      </c>
      <c r="W22" s="5">
        <v>4850020000000</v>
      </c>
      <c r="X22" s="5">
        <v>4621150000000</v>
      </c>
      <c r="Y22" s="5">
        <v>3739710000000</v>
      </c>
      <c r="AA22" s="15">
        <v>0.0199882</v>
      </c>
      <c r="AB22" s="5">
        <v>0.0205823</v>
      </c>
      <c r="AC22" s="5">
        <v>22983000000000</v>
      </c>
      <c r="AD22" s="5">
        <v>1949070000</v>
      </c>
      <c r="AE22" s="5">
        <v>0</v>
      </c>
      <c r="AF22" s="5">
        <v>0</v>
      </c>
      <c r="AG22" s="5">
        <v>2</v>
      </c>
      <c r="AH22" s="5">
        <v>4672720000000</v>
      </c>
      <c r="AI22" s="5">
        <v>4864370000000</v>
      </c>
      <c r="AJ22" s="5">
        <v>4873220000000</v>
      </c>
      <c r="AK22" s="5">
        <v>5008600000000</v>
      </c>
      <c r="AL22" s="5">
        <v>3564070000000</v>
      </c>
      <c r="AN22" s="5">
        <f t="shared" si="0"/>
        <v>0.0200237</v>
      </c>
      <c r="AO22" s="5">
        <f t="shared" si="1"/>
        <v>23433966666666.7</v>
      </c>
      <c r="AP22" s="5">
        <f t="shared" si="2"/>
        <v>22983000000000</v>
      </c>
      <c r="AQ22" s="5">
        <f t="shared" si="3"/>
        <v>23994000000000</v>
      </c>
      <c r="AR22" s="5">
        <f t="shared" si="4"/>
        <v>3741226666666.67</v>
      </c>
      <c r="AS22" s="5">
        <f t="shared" si="5"/>
        <v>3564070000000</v>
      </c>
      <c r="AT22" s="5">
        <f t="shared" si="6"/>
        <v>3919900000000</v>
      </c>
    </row>
    <row r="23" customHeight="1" spans="1:46">
      <c r="A23" s="15">
        <v>0.0208729</v>
      </c>
      <c r="B23" s="5">
        <v>0.0214508</v>
      </c>
      <c r="C23" s="5">
        <v>25170300000000</v>
      </c>
      <c r="D23" s="5">
        <v>2401870000</v>
      </c>
      <c r="E23" s="5">
        <v>0</v>
      </c>
      <c r="F23" s="5">
        <v>0</v>
      </c>
      <c r="G23" s="5">
        <v>2</v>
      </c>
      <c r="H23" s="5">
        <v>6187730000000</v>
      </c>
      <c r="I23" s="5">
        <v>4816680000000</v>
      </c>
      <c r="J23" s="5">
        <v>4960300000000</v>
      </c>
      <c r="K23" s="5">
        <v>5265490000000</v>
      </c>
      <c r="L23" s="5">
        <v>3940040000000</v>
      </c>
      <c r="N23" s="15">
        <v>0.0210385</v>
      </c>
      <c r="O23" s="5">
        <v>0.0216297</v>
      </c>
      <c r="P23" s="5">
        <v>23469300000000</v>
      </c>
      <c r="Q23" s="5">
        <v>2465210000</v>
      </c>
      <c r="R23" s="5">
        <v>0</v>
      </c>
      <c r="S23" s="5">
        <v>0</v>
      </c>
      <c r="T23" s="5">
        <v>2</v>
      </c>
      <c r="U23" s="5">
        <v>5632870000000</v>
      </c>
      <c r="V23" s="5">
        <v>4346120000000</v>
      </c>
      <c r="W23" s="5">
        <v>5479530000000</v>
      </c>
      <c r="X23" s="5">
        <v>4178070000000</v>
      </c>
      <c r="Y23" s="5">
        <v>3832730000000</v>
      </c>
      <c r="AA23" s="15">
        <v>0.0209022</v>
      </c>
      <c r="AB23" s="5">
        <v>0.0214985</v>
      </c>
      <c r="AC23" s="5">
        <v>22846500000000</v>
      </c>
      <c r="AD23" s="5">
        <v>2783800000</v>
      </c>
      <c r="AE23" s="5">
        <v>0</v>
      </c>
      <c r="AF23" s="5">
        <v>0</v>
      </c>
      <c r="AG23" s="5">
        <v>2</v>
      </c>
      <c r="AH23" s="5">
        <v>4998890000000</v>
      </c>
      <c r="AI23" s="5">
        <v>4331890000000</v>
      </c>
      <c r="AJ23" s="5">
        <v>4797680000000</v>
      </c>
      <c r="AK23" s="5">
        <v>4943650000000</v>
      </c>
      <c r="AL23" s="5">
        <v>3774290000000</v>
      </c>
      <c r="AN23" s="5">
        <f t="shared" si="0"/>
        <v>0.0208729</v>
      </c>
      <c r="AO23" s="5">
        <f t="shared" si="1"/>
        <v>23828700000000</v>
      </c>
      <c r="AP23" s="5">
        <f t="shared" si="2"/>
        <v>22846500000000</v>
      </c>
      <c r="AQ23" s="5">
        <f t="shared" si="3"/>
        <v>25170300000000</v>
      </c>
      <c r="AR23" s="5">
        <f t="shared" si="4"/>
        <v>3849020000000</v>
      </c>
      <c r="AS23" s="5">
        <f t="shared" si="5"/>
        <v>3774290000000</v>
      </c>
      <c r="AT23" s="5">
        <f t="shared" si="6"/>
        <v>3940040000000</v>
      </c>
    </row>
    <row r="24" customHeight="1" spans="1:46">
      <c r="A24" s="15">
        <v>0.021981</v>
      </c>
      <c r="B24" s="5">
        <v>0.0225563</v>
      </c>
      <c r="C24" s="5">
        <v>24146400000000</v>
      </c>
      <c r="D24" s="5">
        <v>2454020000</v>
      </c>
      <c r="E24" s="5">
        <v>0</v>
      </c>
      <c r="F24" s="5">
        <v>0</v>
      </c>
      <c r="G24" s="5">
        <v>2</v>
      </c>
      <c r="H24" s="5">
        <v>5600830000000</v>
      </c>
      <c r="I24" s="5">
        <v>5313180000000</v>
      </c>
      <c r="J24" s="5">
        <v>4731230000000</v>
      </c>
      <c r="K24" s="5">
        <v>4568200000000</v>
      </c>
      <c r="L24" s="5">
        <v>3932950000000</v>
      </c>
      <c r="N24" s="15">
        <v>0.0221032</v>
      </c>
      <c r="O24" s="5">
        <v>0.0226819</v>
      </c>
      <c r="P24" s="5">
        <v>23925300000000</v>
      </c>
      <c r="Q24" s="5">
        <v>1777050000</v>
      </c>
      <c r="R24" s="5">
        <v>0</v>
      </c>
      <c r="S24" s="5">
        <v>0</v>
      </c>
      <c r="T24" s="5">
        <v>2</v>
      </c>
      <c r="U24" s="5">
        <v>6160510000000</v>
      </c>
      <c r="V24" s="5">
        <v>4345190000000</v>
      </c>
      <c r="W24" s="5">
        <v>5008340000000</v>
      </c>
      <c r="X24" s="5">
        <v>4674550000000</v>
      </c>
      <c r="Y24" s="5">
        <v>3736740000000</v>
      </c>
      <c r="AA24" s="15">
        <v>0.022056</v>
      </c>
      <c r="AB24" s="5">
        <v>0.022616</v>
      </c>
      <c r="AC24" s="5">
        <v>23229500000000</v>
      </c>
      <c r="AD24" s="5">
        <v>2077140000</v>
      </c>
      <c r="AE24" s="5">
        <v>0</v>
      </c>
      <c r="AF24" s="5">
        <v>0</v>
      </c>
      <c r="AG24" s="5">
        <v>2</v>
      </c>
      <c r="AH24" s="5">
        <v>5480550000000</v>
      </c>
      <c r="AI24" s="5">
        <v>4549670000000</v>
      </c>
      <c r="AJ24" s="5">
        <v>4966830000000</v>
      </c>
      <c r="AK24" s="5">
        <v>4620800000000</v>
      </c>
      <c r="AL24" s="5">
        <v>3611430000000</v>
      </c>
      <c r="AN24" s="5">
        <f t="shared" si="0"/>
        <v>0.021981</v>
      </c>
      <c r="AO24" s="5">
        <f t="shared" si="1"/>
        <v>23767066666666.7</v>
      </c>
      <c r="AP24" s="5">
        <f t="shared" si="2"/>
        <v>23229500000000</v>
      </c>
      <c r="AQ24" s="5">
        <f t="shared" si="3"/>
        <v>24146400000000</v>
      </c>
      <c r="AR24" s="5">
        <f t="shared" si="4"/>
        <v>3760373333333.33</v>
      </c>
      <c r="AS24" s="5">
        <f t="shared" si="5"/>
        <v>3611430000000</v>
      </c>
      <c r="AT24" s="5">
        <f t="shared" si="6"/>
        <v>3932950000000</v>
      </c>
    </row>
    <row r="25" customHeight="1" spans="1:46">
      <c r="A25" s="15">
        <v>0.0230706</v>
      </c>
      <c r="B25" s="5">
        <v>0.0236059</v>
      </c>
      <c r="C25" s="5">
        <v>23550800000000</v>
      </c>
      <c r="D25" s="5">
        <v>2338560000</v>
      </c>
      <c r="E25" s="5">
        <v>0</v>
      </c>
      <c r="F25" s="5">
        <v>0</v>
      </c>
      <c r="G25" s="5">
        <v>2</v>
      </c>
      <c r="H25" s="5">
        <v>5356210000000</v>
      </c>
      <c r="I25" s="5">
        <v>5268120000000</v>
      </c>
      <c r="J25" s="5">
        <v>4182640000000</v>
      </c>
      <c r="K25" s="5">
        <v>5306660000000</v>
      </c>
      <c r="L25" s="5">
        <v>3437130000000</v>
      </c>
      <c r="N25" s="15">
        <v>0.0229592</v>
      </c>
      <c r="O25" s="5">
        <v>0.0235174</v>
      </c>
      <c r="P25" s="5">
        <v>24230300000000</v>
      </c>
      <c r="Q25" s="5">
        <v>1604030000</v>
      </c>
      <c r="R25" s="5">
        <v>0</v>
      </c>
      <c r="S25" s="5">
        <v>0</v>
      </c>
      <c r="T25" s="5">
        <v>2</v>
      </c>
      <c r="U25" s="5">
        <v>6320400000000</v>
      </c>
      <c r="V25" s="5">
        <v>4651340000000</v>
      </c>
      <c r="W25" s="5">
        <v>4702010000000</v>
      </c>
      <c r="X25" s="5">
        <v>4853950000000</v>
      </c>
      <c r="Y25" s="5">
        <v>3702610000000</v>
      </c>
      <c r="AA25" s="15">
        <v>0.0230039</v>
      </c>
      <c r="AB25" s="5">
        <v>0.0235905</v>
      </c>
      <c r="AC25" s="5">
        <v>23147100000000</v>
      </c>
      <c r="AD25" s="5">
        <v>3110640000</v>
      </c>
      <c r="AE25" s="5">
        <v>0</v>
      </c>
      <c r="AF25" s="5">
        <v>0</v>
      </c>
      <c r="AG25" s="5">
        <v>2</v>
      </c>
      <c r="AH25" s="5">
        <v>5619960000000</v>
      </c>
      <c r="AI25" s="5">
        <v>4448580000000</v>
      </c>
      <c r="AJ25" s="5">
        <v>4942380000000</v>
      </c>
      <c r="AK25" s="5">
        <v>4584380000000</v>
      </c>
      <c r="AL25" s="5">
        <v>3551770000000</v>
      </c>
      <c r="AN25" s="5">
        <f t="shared" si="0"/>
        <v>0.0230706</v>
      </c>
      <c r="AO25" s="5">
        <f t="shared" si="1"/>
        <v>23642733333333.3</v>
      </c>
      <c r="AP25" s="5">
        <f t="shared" si="2"/>
        <v>23147100000000</v>
      </c>
      <c r="AQ25" s="5">
        <f t="shared" si="3"/>
        <v>24230300000000</v>
      </c>
      <c r="AR25" s="5">
        <f t="shared" si="4"/>
        <v>3563836666666.67</v>
      </c>
      <c r="AS25" s="5">
        <f t="shared" si="5"/>
        <v>3437130000000</v>
      </c>
      <c r="AT25" s="5">
        <f t="shared" si="6"/>
        <v>3702610000000</v>
      </c>
    </row>
    <row r="26" customHeight="1" spans="1:46">
      <c r="A26" s="15">
        <v>0.0238412</v>
      </c>
      <c r="B26" s="5">
        <v>0.0244172</v>
      </c>
      <c r="C26" s="5">
        <v>24148700000000</v>
      </c>
      <c r="D26" s="5">
        <v>1502710000</v>
      </c>
      <c r="E26" s="5">
        <v>0</v>
      </c>
      <c r="F26" s="5">
        <v>0</v>
      </c>
      <c r="G26" s="5">
        <v>2</v>
      </c>
      <c r="H26" s="5">
        <v>5291670000000</v>
      </c>
      <c r="I26" s="5">
        <v>5817490000000</v>
      </c>
      <c r="J26" s="5">
        <v>4014640000000</v>
      </c>
      <c r="K26" s="5">
        <v>5212620000000</v>
      </c>
      <c r="L26" s="5">
        <v>3812250000000</v>
      </c>
      <c r="N26" s="15">
        <v>0.0240362</v>
      </c>
      <c r="O26" s="5">
        <v>0.0245637</v>
      </c>
      <c r="P26" s="5">
        <v>24039500000000</v>
      </c>
      <c r="Q26" s="5">
        <v>2270660000</v>
      </c>
      <c r="R26" s="5">
        <v>0</v>
      </c>
      <c r="S26" s="5">
        <v>0</v>
      </c>
      <c r="T26" s="5">
        <v>2</v>
      </c>
      <c r="U26" s="5">
        <v>6609620000000</v>
      </c>
      <c r="V26" s="5">
        <v>4711040000000</v>
      </c>
      <c r="W26" s="5">
        <v>4725440000000</v>
      </c>
      <c r="X26" s="5">
        <v>4550530000000</v>
      </c>
      <c r="Y26" s="5">
        <v>3442840000000</v>
      </c>
      <c r="AA26" s="15">
        <v>0.0240155</v>
      </c>
      <c r="AB26" s="5">
        <v>0.0245916</v>
      </c>
      <c r="AC26" s="5">
        <v>23067700000000</v>
      </c>
      <c r="AD26" s="5">
        <v>1718430000</v>
      </c>
      <c r="AE26" s="5">
        <v>0</v>
      </c>
      <c r="AF26" s="5">
        <v>0</v>
      </c>
      <c r="AG26" s="5">
        <v>2</v>
      </c>
      <c r="AH26" s="5">
        <v>4839970000000</v>
      </c>
      <c r="AI26" s="5">
        <v>4596080000000</v>
      </c>
      <c r="AJ26" s="5">
        <v>5338660000000</v>
      </c>
      <c r="AK26" s="5">
        <v>4799490000000</v>
      </c>
      <c r="AL26" s="5">
        <v>3493460000000</v>
      </c>
      <c r="AN26" s="5">
        <f t="shared" si="0"/>
        <v>0.0238412</v>
      </c>
      <c r="AO26" s="5">
        <f t="shared" si="1"/>
        <v>23751966666666.7</v>
      </c>
      <c r="AP26" s="5">
        <f t="shared" si="2"/>
        <v>23067700000000</v>
      </c>
      <c r="AQ26" s="5">
        <f t="shared" si="3"/>
        <v>24148700000000</v>
      </c>
      <c r="AR26" s="5">
        <f t="shared" si="4"/>
        <v>3582850000000</v>
      </c>
      <c r="AS26" s="5">
        <f t="shared" si="5"/>
        <v>3442840000000</v>
      </c>
      <c r="AT26" s="5">
        <f t="shared" si="6"/>
        <v>3812250000000</v>
      </c>
    </row>
    <row r="27" customHeight="1" spans="1:46">
      <c r="A27" s="15">
        <v>0.0250225</v>
      </c>
      <c r="B27" s="5">
        <v>0.0255819</v>
      </c>
      <c r="C27" s="5">
        <v>23603300000000</v>
      </c>
      <c r="D27" s="5">
        <v>1526590000</v>
      </c>
      <c r="E27" s="5">
        <v>0</v>
      </c>
      <c r="F27" s="5">
        <v>0</v>
      </c>
      <c r="G27" s="5">
        <v>2</v>
      </c>
      <c r="H27" s="5">
        <v>5299450000000</v>
      </c>
      <c r="I27" s="5">
        <v>5574880000000</v>
      </c>
      <c r="J27" s="5">
        <v>4002880000000</v>
      </c>
      <c r="K27" s="5">
        <v>5087570000000</v>
      </c>
      <c r="L27" s="5">
        <v>3638340000000</v>
      </c>
      <c r="N27" s="15">
        <v>0.0250467</v>
      </c>
      <c r="O27" s="5">
        <v>0.025621</v>
      </c>
      <c r="P27" s="5">
        <v>23539000000000</v>
      </c>
      <c r="Q27" s="5">
        <v>2010510000</v>
      </c>
      <c r="R27" s="5">
        <v>0</v>
      </c>
      <c r="S27" s="5">
        <v>0</v>
      </c>
      <c r="T27" s="5">
        <v>2</v>
      </c>
      <c r="U27" s="5">
        <v>6689220000000</v>
      </c>
      <c r="V27" s="5">
        <v>4280930000000</v>
      </c>
      <c r="W27" s="5">
        <v>4579750000000</v>
      </c>
      <c r="X27" s="5">
        <v>4486780000000</v>
      </c>
      <c r="Y27" s="5">
        <v>3502120000000</v>
      </c>
      <c r="AA27" s="15">
        <v>0.0250447</v>
      </c>
      <c r="AB27" s="5">
        <v>0.0255786</v>
      </c>
      <c r="AC27" s="5">
        <v>23340600000000</v>
      </c>
      <c r="AD27" s="5">
        <v>2245350000</v>
      </c>
      <c r="AE27" s="5">
        <v>0</v>
      </c>
      <c r="AF27" s="5">
        <v>0</v>
      </c>
      <c r="AG27" s="5">
        <v>2</v>
      </c>
      <c r="AH27" s="5">
        <v>5155130000000</v>
      </c>
      <c r="AI27" s="5">
        <v>5045960000000</v>
      </c>
      <c r="AJ27" s="5">
        <v>5524940000000</v>
      </c>
      <c r="AK27" s="5">
        <v>4304780000000</v>
      </c>
      <c r="AL27" s="5">
        <v>3309810000000</v>
      </c>
      <c r="AN27" s="5">
        <f t="shared" si="0"/>
        <v>0.0250225</v>
      </c>
      <c r="AO27" s="5">
        <f t="shared" si="1"/>
        <v>23494300000000</v>
      </c>
      <c r="AP27" s="5">
        <f t="shared" si="2"/>
        <v>23340600000000</v>
      </c>
      <c r="AQ27" s="5">
        <f t="shared" si="3"/>
        <v>23603300000000</v>
      </c>
      <c r="AR27" s="5">
        <f t="shared" si="4"/>
        <v>3483423333333.33</v>
      </c>
      <c r="AS27" s="5">
        <f t="shared" si="5"/>
        <v>3309810000000</v>
      </c>
      <c r="AT27" s="5">
        <f t="shared" si="6"/>
        <v>3638340000000</v>
      </c>
    </row>
    <row r="28" customHeight="1" spans="1:46">
      <c r="A28" s="15">
        <v>0.0259835</v>
      </c>
      <c r="B28" s="5">
        <v>0.0265864</v>
      </c>
      <c r="C28" s="5">
        <v>24352600000000</v>
      </c>
      <c r="D28" s="5">
        <v>2004480000</v>
      </c>
      <c r="E28" s="5">
        <v>0</v>
      </c>
      <c r="F28" s="5">
        <v>0</v>
      </c>
      <c r="G28" s="5">
        <v>2</v>
      </c>
      <c r="H28" s="5">
        <v>5787420000000</v>
      </c>
      <c r="I28" s="5">
        <v>5343910000000</v>
      </c>
      <c r="J28" s="5">
        <v>4542840000000</v>
      </c>
      <c r="K28" s="5">
        <v>5005310000000</v>
      </c>
      <c r="L28" s="5">
        <v>3673090000000</v>
      </c>
      <c r="N28" s="15">
        <v>0.0260998</v>
      </c>
      <c r="O28" s="5">
        <v>0.0266611</v>
      </c>
      <c r="P28" s="5">
        <v>23647600000000</v>
      </c>
      <c r="Q28" s="5">
        <v>2628730000</v>
      </c>
      <c r="R28" s="5">
        <v>0</v>
      </c>
      <c r="S28" s="5">
        <v>0</v>
      </c>
      <c r="T28" s="5">
        <v>2</v>
      </c>
      <c r="U28" s="5">
        <v>5723340000000</v>
      </c>
      <c r="V28" s="5">
        <v>4965690000000</v>
      </c>
      <c r="W28" s="5">
        <v>4532270000000</v>
      </c>
      <c r="X28" s="5">
        <v>4670200000000</v>
      </c>
      <c r="Y28" s="5">
        <v>3756060000000</v>
      </c>
      <c r="AA28" s="15">
        <v>0.0260239</v>
      </c>
      <c r="AB28" s="5">
        <v>0.0265714</v>
      </c>
      <c r="AC28" s="5">
        <v>24283800000000</v>
      </c>
      <c r="AD28" s="5">
        <v>1208640000</v>
      </c>
      <c r="AE28" s="5">
        <v>0</v>
      </c>
      <c r="AF28" s="5">
        <v>0</v>
      </c>
      <c r="AG28" s="5">
        <v>2</v>
      </c>
      <c r="AH28" s="5">
        <v>5356910000000</v>
      </c>
      <c r="AI28" s="5">
        <v>5697340000000</v>
      </c>
      <c r="AJ28" s="5">
        <v>5703000000000</v>
      </c>
      <c r="AK28" s="5">
        <v>4532480000000</v>
      </c>
      <c r="AL28" s="5">
        <v>2993990000000</v>
      </c>
      <c r="AN28" s="5">
        <f t="shared" si="0"/>
        <v>0.0259835</v>
      </c>
      <c r="AO28" s="5">
        <f t="shared" si="1"/>
        <v>24094666666666.7</v>
      </c>
      <c r="AP28" s="5">
        <f t="shared" si="2"/>
        <v>23647600000000</v>
      </c>
      <c r="AQ28" s="5">
        <f t="shared" si="3"/>
        <v>24352600000000</v>
      </c>
      <c r="AR28" s="5">
        <f t="shared" si="4"/>
        <v>3474380000000</v>
      </c>
      <c r="AS28" s="5">
        <f t="shared" si="5"/>
        <v>2993990000000</v>
      </c>
      <c r="AT28" s="5">
        <f t="shared" si="6"/>
        <v>3756060000000</v>
      </c>
    </row>
    <row r="29" customHeight="1" spans="1:46">
      <c r="A29" s="15">
        <v>0.02702</v>
      </c>
      <c r="B29" s="5">
        <v>0.0275832</v>
      </c>
      <c r="C29" s="5">
        <v>23591800000000</v>
      </c>
      <c r="D29" s="5">
        <v>2928790000</v>
      </c>
      <c r="E29" s="5">
        <v>0</v>
      </c>
      <c r="F29" s="5">
        <v>0</v>
      </c>
      <c r="G29" s="5">
        <v>2</v>
      </c>
      <c r="H29" s="5">
        <v>5942450000000</v>
      </c>
      <c r="I29" s="5">
        <v>4643420000000</v>
      </c>
      <c r="J29" s="5">
        <v>4151390000000</v>
      </c>
      <c r="K29" s="5">
        <v>5124590000000</v>
      </c>
      <c r="L29" s="5">
        <v>3729970000000</v>
      </c>
      <c r="N29" s="15">
        <v>0.0270445</v>
      </c>
      <c r="O29" s="5">
        <v>0.0276323</v>
      </c>
      <c r="P29" s="5">
        <v>22659800000000</v>
      </c>
      <c r="Q29" s="5">
        <v>1627810000</v>
      </c>
      <c r="R29" s="5">
        <v>0</v>
      </c>
      <c r="S29" s="5">
        <v>0</v>
      </c>
      <c r="T29" s="5">
        <v>2</v>
      </c>
      <c r="U29" s="5">
        <v>5224410000000</v>
      </c>
      <c r="V29" s="5">
        <v>4748860000000</v>
      </c>
      <c r="W29" s="5">
        <v>4460240000000</v>
      </c>
      <c r="X29" s="5">
        <v>4394690000000</v>
      </c>
      <c r="Y29" s="5">
        <v>3831530000000</v>
      </c>
      <c r="AA29" s="15">
        <v>0.0270529</v>
      </c>
      <c r="AB29" s="5">
        <v>0.0276149</v>
      </c>
      <c r="AC29" s="5">
        <v>23383000000000</v>
      </c>
      <c r="AD29" s="5">
        <v>1708630000</v>
      </c>
      <c r="AE29" s="5">
        <v>0</v>
      </c>
      <c r="AF29" s="5">
        <v>0</v>
      </c>
      <c r="AG29" s="5">
        <v>2</v>
      </c>
      <c r="AH29" s="5">
        <v>5035760000000</v>
      </c>
      <c r="AI29" s="5">
        <v>5000160000000</v>
      </c>
      <c r="AJ29" s="5">
        <v>5005130000000</v>
      </c>
      <c r="AK29" s="5">
        <v>4901870000000</v>
      </c>
      <c r="AL29" s="5">
        <v>3440020000000</v>
      </c>
      <c r="AN29" s="5">
        <f t="shared" si="0"/>
        <v>0.02702</v>
      </c>
      <c r="AO29" s="5">
        <f t="shared" si="1"/>
        <v>23211533333333.3</v>
      </c>
      <c r="AP29" s="5">
        <f t="shared" si="2"/>
        <v>22659800000000</v>
      </c>
      <c r="AQ29" s="5">
        <f t="shared" si="3"/>
        <v>23591800000000</v>
      </c>
      <c r="AR29" s="5">
        <f t="shared" si="4"/>
        <v>3667173333333.33</v>
      </c>
      <c r="AS29" s="5">
        <f t="shared" si="5"/>
        <v>3440020000000</v>
      </c>
      <c r="AT29" s="5">
        <f t="shared" si="6"/>
        <v>3831530000000</v>
      </c>
    </row>
    <row r="30" customHeight="1" spans="1:46">
      <c r="A30" s="15">
        <v>0.0280154</v>
      </c>
      <c r="B30" s="5">
        <v>0.0285639</v>
      </c>
      <c r="C30" s="5">
        <v>23115200000000</v>
      </c>
      <c r="D30" s="5">
        <v>2486360000</v>
      </c>
      <c r="E30" s="5">
        <v>0</v>
      </c>
      <c r="F30" s="5">
        <v>0</v>
      </c>
      <c r="G30" s="5">
        <v>2</v>
      </c>
      <c r="H30" s="5">
        <v>5880710000000</v>
      </c>
      <c r="I30" s="5">
        <v>4636430000000</v>
      </c>
      <c r="J30" s="5">
        <v>4147830000000</v>
      </c>
      <c r="K30" s="5">
        <v>4811830000000</v>
      </c>
      <c r="L30" s="5">
        <v>3638440000000</v>
      </c>
      <c r="N30" s="15">
        <v>0.0280269</v>
      </c>
      <c r="O30" s="5">
        <v>0.0286335</v>
      </c>
      <c r="P30" s="5">
        <v>22678200000000</v>
      </c>
      <c r="Q30" s="5">
        <v>2198300000</v>
      </c>
      <c r="R30" s="5">
        <v>0</v>
      </c>
      <c r="S30" s="5">
        <v>0</v>
      </c>
      <c r="T30" s="5">
        <v>2</v>
      </c>
      <c r="U30" s="5">
        <v>5451140000000</v>
      </c>
      <c r="V30" s="5">
        <v>4203060000000</v>
      </c>
      <c r="W30" s="5">
        <v>4549000000000</v>
      </c>
      <c r="X30" s="5">
        <v>4076860000000</v>
      </c>
      <c r="Y30" s="5">
        <v>4398080000000</v>
      </c>
      <c r="AA30" s="15">
        <v>0.0280327</v>
      </c>
      <c r="AB30" s="5">
        <v>0.0286196</v>
      </c>
      <c r="AC30" s="5">
        <v>24363800000000</v>
      </c>
      <c r="AD30" s="5">
        <v>3309500000</v>
      </c>
      <c r="AE30" s="5">
        <v>0</v>
      </c>
      <c r="AF30" s="5">
        <v>0</v>
      </c>
      <c r="AG30" s="5">
        <v>2</v>
      </c>
      <c r="AH30" s="5">
        <v>4965670000000</v>
      </c>
      <c r="AI30" s="5">
        <v>4894560000000</v>
      </c>
      <c r="AJ30" s="5">
        <v>6284520000000</v>
      </c>
      <c r="AK30" s="5">
        <v>4660880000000</v>
      </c>
      <c r="AL30" s="5">
        <v>3558040000000</v>
      </c>
      <c r="AN30" s="5">
        <f t="shared" si="0"/>
        <v>0.0280154</v>
      </c>
      <c r="AO30" s="5">
        <f t="shared" si="1"/>
        <v>23385733333333.3</v>
      </c>
      <c r="AP30" s="5">
        <f t="shared" si="2"/>
        <v>22678200000000</v>
      </c>
      <c r="AQ30" s="5">
        <f t="shared" si="3"/>
        <v>24363800000000</v>
      </c>
      <c r="AR30" s="5">
        <f t="shared" si="4"/>
        <v>3864853333333.33</v>
      </c>
      <c r="AS30" s="5">
        <f t="shared" si="5"/>
        <v>3558040000000</v>
      </c>
      <c r="AT30" s="5">
        <f t="shared" si="6"/>
        <v>4398080000000</v>
      </c>
    </row>
    <row r="31" customHeight="1" spans="1:46">
      <c r="A31" s="15">
        <v>0.0289538</v>
      </c>
      <c r="B31" s="5">
        <v>0.0294884</v>
      </c>
      <c r="C31" s="5">
        <v>23786100000000</v>
      </c>
      <c r="D31" s="5">
        <v>1447030000</v>
      </c>
      <c r="E31" s="5">
        <v>0</v>
      </c>
      <c r="F31" s="5">
        <v>0</v>
      </c>
      <c r="G31" s="5">
        <v>2</v>
      </c>
      <c r="H31" s="5">
        <v>6119030000000</v>
      </c>
      <c r="I31" s="5">
        <v>5138410000000</v>
      </c>
      <c r="J31" s="5">
        <v>4353900000000</v>
      </c>
      <c r="K31" s="5">
        <v>3966880000000</v>
      </c>
      <c r="L31" s="5">
        <v>4207810000000</v>
      </c>
      <c r="N31" s="15">
        <v>0.0289498</v>
      </c>
      <c r="O31" s="5">
        <v>0.0295397</v>
      </c>
      <c r="P31" s="5">
        <v>23384200000000</v>
      </c>
      <c r="Q31" s="5">
        <v>1342110000</v>
      </c>
      <c r="R31" s="5">
        <v>0</v>
      </c>
      <c r="S31" s="5">
        <v>0</v>
      </c>
      <c r="T31" s="5">
        <v>2</v>
      </c>
      <c r="U31" s="5">
        <v>6197280000000</v>
      </c>
      <c r="V31" s="5">
        <v>4451940000000</v>
      </c>
      <c r="W31" s="5">
        <v>4206410000000</v>
      </c>
      <c r="X31" s="5">
        <v>3840900000000</v>
      </c>
      <c r="Y31" s="5">
        <v>4687640000000</v>
      </c>
      <c r="AA31" s="15">
        <v>0.0289326</v>
      </c>
      <c r="AB31" s="5">
        <v>0.0295173</v>
      </c>
      <c r="AC31" s="5">
        <v>23574500000000</v>
      </c>
      <c r="AD31" s="5">
        <v>1521380000</v>
      </c>
      <c r="AE31" s="5">
        <v>0</v>
      </c>
      <c r="AF31" s="5">
        <v>0</v>
      </c>
      <c r="AG31" s="5">
        <v>2</v>
      </c>
      <c r="AH31" s="5">
        <v>4837920000000</v>
      </c>
      <c r="AI31" s="5">
        <v>4639930000000</v>
      </c>
      <c r="AJ31" s="5">
        <v>5809390000000</v>
      </c>
      <c r="AK31" s="5">
        <v>4924870000000</v>
      </c>
      <c r="AL31" s="5">
        <v>3362400000000</v>
      </c>
      <c r="AN31" s="5">
        <f t="shared" si="0"/>
        <v>0.0289538</v>
      </c>
      <c r="AO31" s="5">
        <f t="shared" si="1"/>
        <v>23581600000000</v>
      </c>
      <c r="AP31" s="5">
        <f t="shared" si="2"/>
        <v>23384200000000</v>
      </c>
      <c r="AQ31" s="5">
        <f t="shared" si="3"/>
        <v>23786100000000</v>
      </c>
      <c r="AR31" s="5">
        <f t="shared" si="4"/>
        <v>4085950000000</v>
      </c>
      <c r="AS31" s="5">
        <f t="shared" si="5"/>
        <v>3362400000000</v>
      </c>
      <c r="AT31" s="5">
        <f t="shared" si="6"/>
        <v>4687640000000</v>
      </c>
    </row>
    <row r="32" customHeight="1" spans="1:46">
      <c r="A32" s="15">
        <v>0.0299696</v>
      </c>
      <c r="B32" s="5">
        <v>0.0305623</v>
      </c>
      <c r="C32" s="5">
        <v>23796300000000</v>
      </c>
      <c r="D32" s="5">
        <v>2337730000</v>
      </c>
      <c r="E32" s="5">
        <v>0</v>
      </c>
      <c r="F32" s="5">
        <v>0</v>
      </c>
      <c r="G32" s="5">
        <v>2</v>
      </c>
      <c r="H32" s="5">
        <v>5877920000000</v>
      </c>
      <c r="I32" s="5">
        <v>4684440000000</v>
      </c>
      <c r="J32" s="5">
        <v>4381610000000</v>
      </c>
      <c r="K32" s="5">
        <v>4581020000000</v>
      </c>
      <c r="L32" s="5">
        <v>4270590000000</v>
      </c>
      <c r="N32" s="15">
        <v>0.0300827</v>
      </c>
      <c r="O32" s="5">
        <v>0.0306743</v>
      </c>
      <c r="P32" s="5">
        <v>23847400000000</v>
      </c>
      <c r="Q32" s="5">
        <v>1859850000</v>
      </c>
      <c r="R32" s="5">
        <v>0</v>
      </c>
      <c r="S32" s="5">
        <v>0</v>
      </c>
      <c r="T32" s="5">
        <v>2</v>
      </c>
      <c r="U32" s="5">
        <v>6012080000000</v>
      </c>
      <c r="V32" s="5">
        <v>4624230000000</v>
      </c>
      <c r="W32" s="5">
        <v>4410790000000</v>
      </c>
      <c r="X32" s="5">
        <v>3902020000000</v>
      </c>
      <c r="Y32" s="5">
        <v>4897940000000</v>
      </c>
      <c r="AA32" s="15">
        <v>0.0300359</v>
      </c>
      <c r="AB32" s="5">
        <v>0.0306119</v>
      </c>
      <c r="AC32" s="5">
        <v>23983700000000</v>
      </c>
      <c r="AD32" s="5">
        <v>2879640000</v>
      </c>
      <c r="AE32" s="5">
        <v>0</v>
      </c>
      <c r="AF32" s="5">
        <v>0</v>
      </c>
      <c r="AG32" s="5">
        <v>2</v>
      </c>
      <c r="AH32" s="5">
        <v>5080260000000</v>
      </c>
      <c r="AI32" s="5">
        <v>4796720000000</v>
      </c>
      <c r="AJ32" s="5">
        <v>5255270000000</v>
      </c>
      <c r="AK32" s="5">
        <v>5307240000000</v>
      </c>
      <c r="AL32" s="5">
        <v>3544050000000</v>
      </c>
      <c r="AN32" s="5">
        <f t="shared" si="0"/>
        <v>0.0299696</v>
      </c>
      <c r="AO32" s="5">
        <f t="shared" si="1"/>
        <v>23875800000000</v>
      </c>
      <c r="AP32" s="5">
        <f t="shared" si="2"/>
        <v>23796300000000</v>
      </c>
      <c r="AQ32" s="5">
        <f t="shared" si="3"/>
        <v>23983700000000</v>
      </c>
      <c r="AR32" s="5">
        <f t="shared" si="4"/>
        <v>4237526666666.67</v>
      </c>
      <c r="AS32" s="5">
        <f t="shared" si="5"/>
        <v>3544050000000</v>
      </c>
      <c r="AT32" s="5">
        <f t="shared" si="6"/>
        <v>4897940000000</v>
      </c>
    </row>
    <row r="33" customHeight="1" spans="1:46">
      <c r="A33" s="15">
        <v>0.0310482</v>
      </c>
      <c r="B33" s="5">
        <v>0.0316274</v>
      </c>
      <c r="C33" s="5">
        <v>24922600000000</v>
      </c>
      <c r="D33" s="5">
        <v>1992330000</v>
      </c>
      <c r="E33" s="5">
        <v>0</v>
      </c>
      <c r="F33" s="5">
        <v>0</v>
      </c>
      <c r="G33" s="5">
        <v>2</v>
      </c>
      <c r="H33" s="5">
        <v>5270820000000</v>
      </c>
      <c r="I33" s="5">
        <v>3872980000000</v>
      </c>
      <c r="J33" s="5">
        <v>4737200000000</v>
      </c>
      <c r="K33" s="5">
        <v>6503530000000</v>
      </c>
      <c r="L33" s="5">
        <v>4537950000000</v>
      </c>
      <c r="N33" s="15">
        <v>0.0309325</v>
      </c>
      <c r="O33" s="5">
        <v>0.0315086</v>
      </c>
      <c r="P33" s="5">
        <v>23375200000000</v>
      </c>
      <c r="Q33" s="5">
        <v>2304290000</v>
      </c>
      <c r="R33" s="5">
        <v>0</v>
      </c>
      <c r="S33" s="5">
        <v>0</v>
      </c>
      <c r="T33" s="5">
        <v>2</v>
      </c>
      <c r="U33" s="5">
        <v>5919580000000</v>
      </c>
      <c r="V33" s="5">
        <v>4561970000000</v>
      </c>
      <c r="W33" s="5">
        <v>4427780000000</v>
      </c>
      <c r="X33" s="5">
        <v>4241450000000</v>
      </c>
      <c r="Y33" s="5">
        <v>4224300000000</v>
      </c>
      <c r="AA33" s="15">
        <v>0.030972</v>
      </c>
      <c r="AB33" s="5">
        <v>0.0315453</v>
      </c>
      <c r="AC33" s="5">
        <v>23725400000000</v>
      </c>
      <c r="AD33" s="5">
        <v>2272820000</v>
      </c>
      <c r="AE33" s="5">
        <v>0</v>
      </c>
      <c r="AF33" s="5">
        <v>0</v>
      </c>
      <c r="AG33" s="5">
        <v>2</v>
      </c>
      <c r="AH33" s="5">
        <v>4544280000000</v>
      </c>
      <c r="AI33" s="5">
        <v>4972560000000</v>
      </c>
      <c r="AJ33" s="5">
        <v>4977650000000</v>
      </c>
      <c r="AK33" s="5">
        <v>5318520000000</v>
      </c>
      <c r="AL33" s="5">
        <v>3911890000000</v>
      </c>
      <c r="AN33" s="5">
        <f t="shared" si="0"/>
        <v>0.0310482</v>
      </c>
      <c r="AO33" s="5">
        <f t="shared" si="1"/>
        <v>24007733333333.3</v>
      </c>
      <c r="AP33" s="5">
        <f t="shared" si="2"/>
        <v>23375200000000</v>
      </c>
      <c r="AQ33" s="5">
        <f t="shared" si="3"/>
        <v>24922600000000</v>
      </c>
      <c r="AR33" s="5">
        <f t="shared" si="4"/>
        <v>4224713333333.33</v>
      </c>
      <c r="AS33" s="5">
        <f t="shared" si="5"/>
        <v>3911890000000</v>
      </c>
      <c r="AT33" s="5">
        <f t="shared" si="6"/>
        <v>4537950000000</v>
      </c>
    </row>
    <row r="34" customHeight="1" spans="1:46">
      <c r="A34" s="15">
        <v>0.0319835</v>
      </c>
      <c r="B34" s="5">
        <v>0.0325539</v>
      </c>
      <c r="C34" s="5">
        <v>24428800000000</v>
      </c>
      <c r="D34" s="5">
        <v>2859610000</v>
      </c>
      <c r="E34" s="5">
        <v>0</v>
      </c>
      <c r="F34" s="5">
        <v>0</v>
      </c>
      <c r="G34" s="5">
        <v>2</v>
      </c>
      <c r="H34" s="5">
        <v>5050880000000</v>
      </c>
      <c r="I34" s="5">
        <v>4686490000000</v>
      </c>
      <c r="J34" s="5">
        <v>4503450000000</v>
      </c>
      <c r="K34" s="5">
        <v>6084480000000</v>
      </c>
      <c r="L34" s="5">
        <v>4103510000000</v>
      </c>
      <c r="N34" s="15">
        <v>0.0320318</v>
      </c>
      <c r="O34" s="5">
        <v>0.032623</v>
      </c>
      <c r="P34" s="5">
        <v>24113100000000</v>
      </c>
      <c r="Q34" s="5">
        <v>1660670000</v>
      </c>
      <c r="R34" s="5">
        <v>0</v>
      </c>
      <c r="S34" s="5">
        <v>0</v>
      </c>
      <c r="T34" s="5">
        <v>2</v>
      </c>
      <c r="U34" s="5">
        <v>5932180000000</v>
      </c>
      <c r="V34" s="5">
        <v>4523310000000</v>
      </c>
      <c r="W34" s="5">
        <v>4837700000000</v>
      </c>
      <c r="X34" s="5">
        <v>4917460000000</v>
      </c>
      <c r="Y34" s="5">
        <v>3902190000000</v>
      </c>
      <c r="AA34" s="15">
        <v>0.0319551</v>
      </c>
      <c r="AB34" s="5">
        <v>0.0325301</v>
      </c>
      <c r="AC34" s="5">
        <v>22730000000000</v>
      </c>
      <c r="AD34" s="5">
        <v>2748980000</v>
      </c>
      <c r="AE34" s="5">
        <v>0</v>
      </c>
      <c r="AF34" s="5">
        <v>0</v>
      </c>
      <c r="AG34" s="5">
        <v>2</v>
      </c>
      <c r="AH34" s="5">
        <v>4492140000000</v>
      </c>
      <c r="AI34" s="5">
        <v>5387880000000</v>
      </c>
      <c r="AJ34" s="5">
        <v>4191480000000</v>
      </c>
      <c r="AK34" s="5">
        <v>4328560000000</v>
      </c>
      <c r="AL34" s="5">
        <v>4329670000000</v>
      </c>
      <c r="AN34" s="5">
        <f t="shared" si="0"/>
        <v>0.0319835</v>
      </c>
      <c r="AO34" s="5">
        <f t="shared" si="1"/>
        <v>23757300000000</v>
      </c>
      <c r="AP34" s="5">
        <f t="shared" si="2"/>
        <v>22730000000000</v>
      </c>
      <c r="AQ34" s="5">
        <f t="shared" si="3"/>
        <v>24428800000000</v>
      </c>
      <c r="AR34" s="5">
        <f t="shared" si="4"/>
        <v>4111790000000</v>
      </c>
      <c r="AS34" s="5">
        <f t="shared" si="5"/>
        <v>3902190000000</v>
      </c>
      <c r="AT34" s="5">
        <f t="shared" si="6"/>
        <v>4329670000000</v>
      </c>
    </row>
    <row r="35" customHeight="1" spans="1:46">
      <c r="A35" s="15">
        <v>0.0330646</v>
      </c>
      <c r="B35" s="5">
        <v>0.0336255</v>
      </c>
      <c r="C35" s="5">
        <v>23693800000000</v>
      </c>
      <c r="D35" s="5">
        <v>2099270000</v>
      </c>
      <c r="E35" s="5">
        <v>0</v>
      </c>
      <c r="F35" s="5">
        <v>0</v>
      </c>
      <c r="G35" s="5">
        <v>2</v>
      </c>
      <c r="H35" s="5">
        <v>5917700000000</v>
      </c>
      <c r="I35" s="5">
        <v>4502490000000</v>
      </c>
      <c r="J35" s="5">
        <v>4355880000000</v>
      </c>
      <c r="K35" s="5">
        <v>5271340000000</v>
      </c>
      <c r="L35" s="5">
        <v>3646390000000</v>
      </c>
      <c r="N35" s="15">
        <v>0.0329451</v>
      </c>
      <c r="O35" s="5">
        <v>0.0334993</v>
      </c>
      <c r="P35" s="5">
        <v>24453900000000</v>
      </c>
      <c r="Q35" s="5">
        <v>1781030000</v>
      </c>
      <c r="R35" s="5">
        <v>0</v>
      </c>
      <c r="S35" s="5">
        <v>0</v>
      </c>
      <c r="T35" s="5">
        <v>2</v>
      </c>
      <c r="U35" s="5">
        <v>5738510000000</v>
      </c>
      <c r="V35" s="5">
        <v>4691350000000</v>
      </c>
      <c r="W35" s="5">
        <v>5047900000000</v>
      </c>
      <c r="X35" s="5">
        <v>5339080000000</v>
      </c>
      <c r="Y35" s="5">
        <v>3636910000000</v>
      </c>
      <c r="AA35" s="15">
        <v>0.0329801</v>
      </c>
      <c r="AB35" s="5">
        <v>0.0335161</v>
      </c>
      <c r="AC35" s="5">
        <v>22958700000000</v>
      </c>
      <c r="AD35" s="5">
        <v>2327850000</v>
      </c>
      <c r="AE35" s="5">
        <v>0</v>
      </c>
      <c r="AF35" s="5">
        <v>0</v>
      </c>
      <c r="AG35" s="5">
        <v>2</v>
      </c>
      <c r="AH35" s="5">
        <v>5211150000000</v>
      </c>
      <c r="AI35" s="5">
        <v>4628400000000</v>
      </c>
      <c r="AJ35" s="5">
        <v>4677080000000</v>
      </c>
      <c r="AK35" s="5">
        <v>4548380000000</v>
      </c>
      <c r="AL35" s="5">
        <v>3893600000000</v>
      </c>
      <c r="AN35" s="5">
        <f t="shared" si="0"/>
        <v>0.0330646</v>
      </c>
      <c r="AO35" s="5">
        <f t="shared" si="1"/>
        <v>23702133333333.3</v>
      </c>
      <c r="AP35" s="5">
        <f t="shared" si="2"/>
        <v>22958700000000</v>
      </c>
      <c r="AQ35" s="5">
        <f t="shared" si="3"/>
        <v>24453900000000</v>
      </c>
      <c r="AR35" s="5">
        <f t="shared" si="4"/>
        <v>3725633333333.33</v>
      </c>
      <c r="AS35" s="5">
        <f t="shared" si="5"/>
        <v>3636910000000</v>
      </c>
      <c r="AT35" s="5">
        <f t="shared" si="6"/>
        <v>3893600000000</v>
      </c>
    </row>
    <row r="36" customHeight="1" spans="1:46">
      <c r="A36" s="15">
        <v>0.0339851</v>
      </c>
      <c r="B36" s="5">
        <v>0.0345598</v>
      </c>
      <c r="C36" s="5">
        <v>23401700000000</v>
      </c>
      <c r="D36" s="5">
        <v>3413450000</v>
      </c>
      <c r="E36" s="5">
        <v>0</v>
      </c>
      <c r="F36" s="5">
        <v>0</v>
      </c>
      <c r="G36" s="5">
        <v>2</v>
      </c>
      <c r="H36" s="5">
        <v>5468080000000</v>
      </c>
      <c r="I36" s="5">
        <v>4799680000000</v>
      </c>
      <c r="J36" s="5">
        <v>4635550000000</v>
      </c>
      <c r="K36" s="5">
        <v>4673600000000</v>
      </c>
      <c r="L36" s="5">
        <v>3824740000000</v>
      </c>
      <c r="N36" s="15">
        <v>0.0339712</v>
      </c>
      <c r="O36" s="5">
        <v>0.0345167</v>
      </c>
      <c r="P36" s="5">
        <v>23506900000000</v>
      </c>
      <c r="Q36" s="5">
        <v>1813910000</v>
      </c>
      <c r="R36" s="5">
        <v>0</v>
      </c>
      <c r="S36" s="5">
        <v>0</v>
      </c>
      <c r="T36" s="5">
        <v>2</v>
      </c>
      <c r="U36" s="5">
        <v>5732770000000</v>
      </c>
      <c r="V36" s="5">
        <v>4416420000000</v>
      </c>
      <c r="W36" s="5">
        <v>4954510000000</v>
      </c>
      <c r="X36" s="5">
        <v>4939590000000</v>
      </c>
      <c r="Y36" s="5">
        <v>3463590000000</v>
      </c>
      <c r="AA36" s="15">
        <v>0.0339806</v>
      </c>
      <c r="AB36" s="5">
        <v>0.0345756</v>
      </c>
      <c r="AC36" s="5">
        <v>23165800000000</v>
      </c>
      <c r="AD36" s="5">
        <v>2781030000</v>
      </c>
      <c r="AE36" s="5">
        <v>0</v>
      </c>
      <c r="AF36" s="5">
        <v>0</v>
      </c>
      <c r="AG36" s="5">
        <v>2</v>
      </c>
      <c r="AH36" s="5">
        <v>4867900000000</v>
      </c>
      <c r="AI36" s="5">
        <v>4145160000000</v>
      </c>
      <c r="AJ36" s="5">
        <v>5153010000000</v>
      </c>
      <c r="AK36" s="5">
        <v>4735640000000</v>
      </c>
      <c r="AL36" s="5">
        <v>4263510000000</v>
      </c>
      <c r="AN36" s="5">
        <f t="shared" si="0"/>
        <v>0.0339851</v>
      </c>
      <c r="AO36" s="5">
        <f t="shared" si="1"/>
        <v>23358133333333.3</v>
      </c>
      <c r="AP36" s="5">
        <f t="shared" si="2"/>
        <v>23165800000000</v>
      </c>
      <c r="AQ36" s="5">
        <f t="shared" si="3"/>
        <v>23506900000000</v>
      </c>
      <c r="AR36" s="5">
        <f t="shared" si="4"/>
        <v>3850613333333.33</v>
      </c>
      <c r="AS36" s="5">
        <f t="shared" si="5"/>
        <v>3463590000000</v>
      </c>
      <c r="AT36" s="5">
        <f t="shared" si="6"/>
        <v>4263510000000</v>
      </c>
    </row>
    <row r="37" customHeight="1" spans="1:46">
      <c r="A37" s="15">
        <v>0.0350307</v>
      </c>
      <c r="B37" s="5">
        <v>0.035626</v>
      </c>
      <c r="C37" s="5">
        <v>23052100000000</v>
      </c>
      <c r="D37" s="5">
        <v>3320000000</v>
      </c>
      <c r="E37" s="5">
        <v>0</v>
      </c>
      <c r="F37" s="5">
        <v>0</v>
      </c>
      <c r="G37" s="5">
        <v>2</v>
      </c>
      <c r="H37" s="5">
        <v>5575400000000</v>
      </c>
      <c r="I37" s="5">
        <v>4221670000000</v>
      </c>
      <c r="J37" s="5">
        <v>4872030000000</v>
      </c>
      <c r="K37" s="5">
        <v>4619850000000</v>
      </c>
      <c r="L37" s="5">
        <v>3763120000000</v>
      </c>
      <c r="N37" s="15">
        <v>0.0350383</v>
      </c>
      <c r="O37" s="5">
        <v>0.0355853</v>
      </c>
      <c r="P37" s="5">
        <v>25017200000000</v>
      </c>
      <c r="Q37" s="5">
        <v>1516810000</v>
      </c>
      <c r="R37" s="5">
        <v>0</v>
      </c>
      <c r="S37" s="5">
        <v>0</v>
      </c>
      <c r="T37" s="5">
        <v>2</v>
      </c>
      <c r="U37" s="5">
        <v>6741060000000</v>
      </c>
      <c r="V37" s="5">
        <v>4485800000000</v>
      </c>
      <c r="W37" s="5">
        <v>4643210000000</v>
      </c>
      <c r="X37" s="5">
        <v>5800140000000</v>
      </c>
      <c r="Y37" s="5">
        <v>3347010000000</v>
      </c>
      <c r="AA37" s="15">
        <v>0.034983</v>
      </c>
      <c r="AB37" s="5">
        <v>0.0355999</v>
      </c>
      <c r="AC37" s="5">
        <v>23158000000000</v>
      </c>
      <c r="AD37" s="5">
        <v>2214220000</v>
      </c>
      <c r="AE37" s="5">
        <v>0</v>
      </c>
      <c r="AF37" s="5">
        <v>0</v>
      </c>
      <c r="AG37" s="5">
        <v>2</v>
      </c>
      <c r="AH37" s="5">
        <v>4188820000000</v>
      </c>
      <c r="AI37" s="5">
        <v>3951840000000</v>
      </c>
      <c r="AJ37" s="5">
        <v>5108430000000</v>
      </c>
      <c r="AK37" s="5">
        <v>5483130000000</v>
      </c>
      <c r="AL37" s="5">
        <v>4425600000000</v>
      </c>
      <c r="AN37" s="5">
        <f t="shared" si="0"/>
        <v>0.0350307</v>
      </c>
      <c r="AO37" s="5">
        <f t="shared" si="1"/>
        <v>23742433333333.3</v>
      </c>
      <c r="AP37" s="5">
        <f t="shared" si="2"/>
        <v>23052100000000</v>
      </c>
      <c r="AQ37" s="5">
        <f t="shared" si="3"/>
        <v>25017200000000</v>
      </c>
      <c r="AR37" s="5">
        <f t="shared" si="4"/>
        <v>3845243333333.33</v>
      </c>
      <c r="AS37" s="5">
        <f t="shared" si="5"/>
        <v>3347010000000</v>
      </c>
      <c r="AT37" s="5">
        <f t="shared" si="6"/>
        <v>4425600000000</v>
      </c>
    </row>
    <row r="38" customHeight="1" spans="1:46">
      <c r="A38" s="15">
        <v>0.0359621</v>
      </c>
      <c r="B38" s="5">
        <v>0.036544</v>
      </c>
      <c r="C38" s="5">
        <v>23154000000000</v>
      </c>
      <c r="D38" s="5">
        <v>2211860000</v>
      </c>
      <c r="E38" s="5">
        <v>0</v>
      </c>
      <c r="F38" s="5">
        <v>0</v>
      </c>
      <c r="G38" s="5">
        <v>2</v>
      </c>
      <c r="H38" s="5">
        <v>5863450000000</v>
      </c>
      <c r="I38" s="5">
        <v>4744970000000</v>
      </c>
      <c r="J38" s="5">
        <v>4715570000000</v>
      </c>
      <c r="K38" s="5">
        <v>4581880000000</v>
      </c>
      <c r="L38" s="5">
        <v>3247920000000</v>
      </c>
      <c r="N38" s="15">
        <v>0.0360196</v>
      </c>
      <c r="O38" s="5">
        <v>0.0365533</v>
      </c>
      <c r="P38" s="5">
        <v>25265000000000</v>
      </c>
      <c r="Q38" s="5">
        <v>2822570000</v>
      </c>
      <c r="R38" s="5">
        <v>0</v>
      </c>
      <c r="S38" s="5">
        <v>0</v>
      </c>
      <c r="T38" s="5">
        <v>2</v>
      </c>
      <c r="U38" s="5">
        <v>6087850000000</v>
      </c>
      <c r="V38" s="5">
        <v>4815190000000</v>
      </c>
      <c r="W38" s="5">
        <v>4364740000000</v>
      </c>
      <c r="X38" s="5">
        <v>5944190000000</v>
      </c>
      <c r="Y38" s="5">
        <v>4052990000000</v>
      </c>
      <c r="AA38" s="15">
        <v>0.0359867</v>
      </c>
      <c r="AB38" s="5">
        <v>0.036596</v>
      </c>
      <c r="AC38" s="5">
        <v>24198200000000</v>
      </c>
      <c r="AD38" s="5">
        <v>2471620000</v>
      </c>
      <c r="AE38" s="5">
        <v>0</v>
      </c>
      <c r="AF38" s="5">
        <v>0</v>
      </c>
      <c r="AG38" s="5">
        <v>2</v>
      </c>
      <c r="AH38" s="5">
        <v>4540300000000</v>
      </c>
      <c r="AI38" s="5">
        <v>4594590000000</v>
      </c>
      <c r="AJ38" s="5">
        <v>5898430000000</v>
      </c>
      <c r="AK38" s="5">
        <v>4598500000000</v>
      </c>
      <c r="AL38" s="5">
        <v>4566080000000</v>
      </c>
      <c r="AN38" s="5">
        <f t="shared" si="0"/>
        <v>0.0359621</v>
      </c>
      <c r="AO38" s="5">
        <f t="shared" si="1"/>
        <v>24205733333333.3</v>
      </c>
      <c r="AP38" s="5">
        <f t="shared" si="2"/>
        <v>23154000000000</v>
      </c>
      <c r="AQ38" s="5">
        <f t="shared" si="3"/>
        <v>25265000000000</v>
      </c>
      <c r="AR38" s="5">
        <f t="shared" si="4"/>
        <v>3955663333333.33</v>
      </c>
      <c r="AS38" s="5">
        <f t="shared" si="5"/>
        <v>3247920000000</v>
      </c>
      <c r="AT38" s="5">
        <f t="shared" si="6"/>
        <v>4566080000000</v>
      </c>
    </row>
    <row r="39" customHeight="1" spans="1:46">
      <c r="A39" s="15">
        <v>0.0370595</v>
      </c>
      <c r="B39" s="5">
        <v>0.0376238</v>
      </c>
      <c r="C39" s="5">
        <v>23712400000000</v>
      </c>
      <c r="D39" s="5">
        <v>2250370000</v>
      </c>
      <c r="E39" s="5">
        <v>0</v>
      </c>
      <c r="F39" s="5">
        <v>0</v>
      </c>
      <c r="G39" s="5">
        <v>2</v>
      </c>
      <c r="H39" s="5">
        <v>5889800000000</v>
      </c>
      <c r="I39" s="5">
        <v>5118110000000</v>
      </c>
      <c r="J39" s="5">
        <v>4428820000000</v>
      </c>
      <c r="K39" s="5">
        <v>4665290000000</v>
      </c>
      <c r="L39" s="5">
        <v>3610120000000</v>
      </c>
      <c r="N39" s="15">
        <v>0.0371228</v>
      </c>
      <c r="O39" s="5">
        <v>0.037706</v>
      </c>
      <c r="P39" s="5">
        <v>24148800000000</v>
      </c>
      <c r="Q39" s="5">
        <v>1820440000</v>
      </c>
      <c r="R39" s="5">
        <v>0</v>
      </c>
      <c r="S39" s="5">
        <v>0</v>
      </c>
      <c r="T39" s="5">
        <v>2</v>
      </c>
      <c r="U39" s="5">
        <v>5874380000000</v>
      </c>
      <c r="V39" s="5">
        <v>4817320000000</v>
      </c>
      <c r="W39" s="5">
        <v>4767470000000</v>
      </c>
      <c r="X39" s="5">
        <v>4969810000000</v>
      </c>
      <c r="Y39" s="5">
        <v>3718970000000</v>
      </c>
      <c r="AA39" s="15">
        <v>0.0369748</v>
      </c>
      <c r="AB39" s="5">
        <v>0.037556</v>
      </c>
      <c r="AC39" s="5">
        <v>24209900000000</v>
      </c>
      <c r="AD39" s="5">
        <v>2065510000</v>
      </c>
      <c r="AE39" s="5">
        <v>0</v>
      </c>
      <c r="AF39" s="5">
        <v>0</v>
      </c>
      <c r="AG39" s="5">
        <v>2</v>
      </c>
      <c r="AH39" s="5">
        <v>4891980000000</v>
      </c>
      <c r="AI39" s="5">
        <v>4557800000000</v>
      </c>
      <c r="AJ39" s="5">
        <v>5649390000000</v>
      </c>
      <c r="AK39" s="5">
        <v>4477210000000</v>
      </c>
      <c r="AL39" s="5">
        <v>4633300000000</v>
      </c>
      <c r="AN39" s="5">
        <f t="shared" si="0"/>
        <v>0.0370595</v>
      </c>
      <c r="AO39" s="5">
        <f t="shared" si="1"/>
        <v>24023700000000</v>
      </c>
      <c r="AP39" s="5">
        <f t="shared" si="2"/>
        <v>23712400000000</v>
      </c>
      <c r="AQ39" s="5">
        <f t="shared" si="3"/>
        <v>24209900000000</v>
      </c>
      <c r="AR39" s="5">
        <f t="shared" si="4"/>
        <v>3987463333333.33</v>
      </c>
      <c r="AS39" s="5">
        <f t="shared" si="5"/>
        <v>3610120000000</v>
      </c>
      <c r="AT39" s="5">
        <f t="shared" si="6"/>
        <v>4633300000000</v>
      </c>
    </row>
    <row r="40" customHeight="1" spans="1:46">
      <c r="A40" s="15">
        <v>0.0379408</v>
      </c>
      <c r="B40" s="5">
        <v>0.0385241</v>
      </c>
      <c r="C40" s="5">
        <v>22905500000000</v>
      </c>
      <c r="D40" s="5">
        <v>1897970000</v>
      </c>
      <c r="E40" s="5">
        <v>0</v>
      </c>
      <c r="F40" s="5">
        <v>0</v>
      </c>
      <c r="G40" s="5">
        <v>2</v>
      </c>
      <c r="H40" s="5">
        <v>5406600000000</v>
      </c>
      <c r="I40" s="5">
        <v>5050080000000</v>
      </c>
      <c r="J40" s="5">
        <v>4354250000000</v>
      </c>
      <c r="K40" s="5">
        <v>4501600000000</v>
      </c>
      <c r="L40" s="5">
        <v>3593030000000</v>
      </c>
      <c r="N40" s="15">
        <v>0.0379787</v>
      </c>
      <c r="O40" s="5">
        <v>0.0385775</v>
      </c>
      <c r="P40" s="5">
        <v>24958500000000</v>
      </c>
      <c r="Q40" s="5">
        <v>3220320000</v>
      </c>
      <c r="R40" s="5">
        <v>0</v>
      </c>
      <c r="S40" s="5">
        <v>0</v>
      </c>
      <c r="T40" s="5">
        <v>2</v>
      </c>
      <c r="U40" s="5">
        <v>5910530000000</v>
      </c>
      <c r="V40" s="5">
        <v>4382560000000</v>
      </c>
      <c r="W40" s="5">
        <v>4720600000000</v>
      </c>
      <c r="X40" s="5">
        <v>5470470000000</v>
      </c>
      <c r="Y40" s="5">
        <v>4473730000000</v>
      </c>
      <c r="AA40" s="15">
        <v>0.0379923</v>
      </c>
      <c r="AB40" s="5">
        <v>0.0385695</v>
      </c>
      <c r="AC40" s="5">
        <v>24248400000000</v>
      </c>
      <c r="AD40" s="5">
        <v>2321800000</v>
      </c>
      <c r="AE40" s="5">
        <v>0</v>
      </c>
      <c r="AF40" s="5">
        <v>0</v>
      </c>
      <c r="AG40" s="5">
        <v>2</v>
      </c>
      <c r="AH40" s="5">
        <v>5016060000000</v>
      </c>
      <c r="AI40" s="5">
        <v>4928030000000</v>
      </c>
      <c r="AJ40" s="5">
        <v>4785390000000</v>
      </c>
      <c r="AK40" s="5">
        <v>5190010000000</v>
      </c>
      <c r="AL40" s="5">
        <v>4328780000000</v>
      </c>
      <c r="AN40" s="5">
        <f t="shared" si="0"/>
        <v>0.0379408</v>
      </c>
      <c r="AO40" s="5">
        <f t="shared" si="1"/>
        <v>24037466666666.7</v>
      </c>
      <c r="AP40" s="5">
        <f t="shared" si="2"/>
        <v>22905500000000</v>
      </c>
      <c r="AQ40" s="5">
        <f t="shared" si="3"/>
        <v>24958500000000</v>
      </c>
      <c r="AR40" s="5">
        <f t="shared" si="4"/>
        <v>4131846666666.67</v>
      </c>
      <c r="AS40" s="5">
        <f t="shared" si="5"/>
        <v>3593030000000</v>
      </c>
      <c r="AT40" s="5">
        <f t="shared" si="6"/>
        <v>4473730000000</v>
      </c>
    </row>
    <row r="41" customHeight="1" spans="1:46">
      <c r="A41" s="15">
        <v>0.0390522</v>
      </c>
      <c r="B41" s="5">
        <v>0.0396257</v>
      </c>
      <c r="C41" s="5">
        <v>23156000000000</v>
      </c>
      <c r="D41" s="5">
        <v>2236790000</v>
      </c>
      <c r="E41" s="5">
        <v>0</v>
      </c>
      <c r="F41" s="5">
        <v>0</v>
      </c>
      <c r="G41" s="5">
        <v>2</v>
      </c>
      <c r="H41" s="5">
        <v>6050230000000</v>
      </c>
      <c r="I41" s="5">
        <v>4462460000000</v>
      </c>
      <c r="J41" s="5">
        <v>4214440000000</v>
      </c>
      <c r="K41" s="5">
        <v>4831310000000</v>
      </c>
      <c r="L41" s="5">
        <v>3597520000000</v>
      </c>
      <c r="N41" s="15">
        <v>0.0389886</v>
      </c>
      <c r="O41" s="5">
        <v>0.0395536</v>
      </c>
      <c r="P41" s="5">
        <v>23875700000000</v>
      </c>
      <c r="Q41" s="5">
        <v>2849970000</v>
      </c>
      <c r="R41" s="5">
        <v>0</v>
      </c>
      <c r="S41" s="5">
        <v>0</v>
      </c>
      <c r="T41" s="5">
        <v>2</v>
      </c>
      <c r="U41" s="5">
        <v>5409380000000</v>
      </c>
      <c r="V41" s="5">
        <v>4324480000000</v>
      </c>
      <c r="W41" s="5">
        <v>4556600000000</v>
      </c>
      <c r="X41" s="5">
        <v>5183500000000</v>
      </c>
      <c r="Y41" s="5">
        <v>4400290000000</v>
      </c>
      <c r="AA41" s="15">
        <v>0.0390124</v>
      </c>
      <c r="AB41" s="5">
        <v>0.0395649</v>
      </c>
      <c r="AC41" s="5">
        <v>24571800000000</v>
      </c>
      <c r="AD41" s="5">
        <v>2294570000</v>
      </c>
      <c r="AE41" s="5">
        <v>0</v>
      </c>
      <c r="AF41" s="5">
        <v>0</v>
      </c>
      <c r="AG41" s="5">
        <v>2</v>
      </c>
      <c r="AH41" s="5">
        <v>4832480000000</v>
      </c>
      <c r="AI41" s="5">
        <v>4893020000000</v>
      </c>
      <c r="AJ41" s="5">
        <v>5239380000000</v>
      </c>
      <c r="AK41" s="5">
        <v>5443550000000</v>
      </c>
      <c r="AL41" s="5">
        <v>4163100000000</v>
      </c>
      <c r="AN41" s="5">
        <f t="shared" si="0"/>
        <v>0.0390522</v>
      </c>
      <c r="AO41" s="5">
        <f t="shared" si="1"/>
        <v>23867833333333.3</v>
      </c>
      <c r="AP41" s="5">
        <f t="shared" si="2"/>
        <v>23156000000000</v>
      </c>
      <c r="AQ41" s="5">
        <f t="shared" si="3"/>
        <v>24571800000000</v>
      </c>
      <c r="AR41" s="5">
        <f t="shared" si="4"/>
        <v>4053636666666.67</v>
      </c>
      <c r="AS41" s="5">
        <f t="shared" si="5"/>
        <v>3597520000000</v>
      </c>
      <c r="AT41" s="5">
        <f t="shared" si="6"/>
        <v>4400290000000</v>
      </c>
    </row>
    <row r="42" customHeight="1" spans="1:46">
      <c r="A42" s="15">
        <v>0.0399196</v>
      </c>
      <c r="B42" s="5">
        <v>0.0405225</v>
      </c>
      <c r="C42" s="5">
        <v>23735200000000</v>
      </c>
      <c r="D42" s="5">
        <v>3104480000</v>
      </c>
      <c r="E42" s="5">
        <v>0</v>
      </c>
      <c r="F42" s="5">
        <v>0</v>
      </c>
      <c r="G42" s="5">
        <v>2</v>
      </c>
      <c r="H42" s="5">
        <v>5840450000000</v>
      </c>
      <c r="I42" s="5">
        <v>4259200000000</v>
      </c>
      <c r="J42" s="5">
        <v>5003070000000</v>
      </c>
      <c r="K42" s="5">
        <v>4754920000000</v>
      </c>
      <c r="L42" s="5">
        <v>3877590000000</v>
      </c>
      <c r="N42" s="15">
        <v>0.0400185</v>
      </c>
      <c r="O42" s="5">
        <v>0.0406174</v>
      </c>
      <c r="P42" s="5">
        <v>23413600000000</v>
      </c>
      <c r="Q42" s="5">
        <v>3311070000</v>
      </c>
      <c r="R42" s="5">
        <v>0</v>
      </c>
      <c r="S42" s="5">
        <v>0</v>
      </c>
      <c r="T42" s="5">
        <v>2</v>
      </c>
      <c r="U42" s="5">
        <v>4979760000000</v>
      </c>
      <c r="V42" s="5">
        <v>4769220000000</v>
      </c>
      <c r="W42" s="5">
        <v>4912160000000</v>
      </c>
      <c r="X42" s="5">
        <v>4467940000000</v>
      </c>
      <c r="Y42" s="5">
        <v>4284470000000</v>
      </c>
      <c r="AA42" s="15">
        <v>0.0400536</v>
      </c>
      <c r="AB42" s="5">
        <v>0.0406386</v>
      </c>
      <c r="AC42" s="5">
        <v>24822500000000</v>
      </c>
      <c r="AD42" s="5">
        <v>2292590000</v>
      </c>
      <c r="AE42" s="5">
        <v>0</v>
      </c>
      <c r="AF42" s="5">
        <v>0</v>
      </c>
      <c r="AG42" s="5">
        <v>2</v>
      </c>
      <c r="AH42" s="5">
        <v>4790490000000</v>
      </c>
      <c r="AI42" s="5">
        <v>5507380000000</v>
      </c>
      <c r="AJ42" s="5">
        <v>4634190000000</v>
      </c>
      <c r="AK42" s="5">
        <v>5397650000000</v>
      </c>
      <c r="AL42" s="5">
        <v>4492300000000</v>
      </c>
      <c r="AN42" s="5">
        <f t="shared" si="0"/>
        <v>0.0399196</v>
      </c>
      <c r="AO42" s="5">
        <f t="shared" si="1"/>
        <v>23990433333333.3</v>
      </c>
      <c r="AP42" s="5">
        <f t="shared" si="2"/>
        <v>23413600000000</v>
      </c>
      <c r="AQ42" s="5">
        <f t="shared" si="3"/>
        <v>24822500000000</v>
      </c>
      <c r="AR42" s="5">
        <f t="shared" si="4"/>
        <v>4218120000000</v>
      </c>
      <c r="AS42" s="5">
        <f t="shared" si="5"/>
        <v>3877590000000</v>
      </c>
      <c r="AT42" s="5">
        <f t="shared" si="6"/>
        <v>4492300000000</v>
      </c>
    </row>
    <row r="43" customHeight="1" spans="1:46">
      <c r="A43" s="15">
        <v>0.0410346</v>
      </c>
      <c r="B43" s="5">
        <v>0.0416138</v>
      </c>
      <c r="C43" s="5">
        <v>23932300000000</v>
      </c>
      <c r="D43" s="5">
        <v>1544130000</v>
      </c>
      <c r="E43" s="5">
        <v>0</v>
      </c>
      <c r="F43" s="5">
        <v>0</v>
      </c>
      <c r="G43" s="5">
        <v>2</v>
      </c>
      <c r="H43" s="5">
        <v>5675290000000</v>
      </c>
      <c r="I43" s="5">
        <v>4385420000000</v>
      </c>
      <c r="J43" s="5">
        <v>5073840000000</v>
      </c>
      <c r="K43" s="5">
        <v>4997910000000</v>
      </c>
      <c r="L43" s="5">
        <v>3799830000000</v>
      </c>
      <c r="N43" s="15">
        <v>0.0409855</v>
      </c>
      <c r="O43" s="5">
        <v>0.0415442</v>
      </c>
      <c r="P43" s="5">
        <v>23073000000000</v>
      </c>
      <c r="Q43" s="5">
        <v>2782290000</v>
      </c>
      <c r="R43" s="5">
        <v>0</v>
      </c>
      <c r="S43" s="5">
        <v>0</v>
      </c>
      <c r="T43" s="5">
        <v>2</v>
      </c>
      <c r="U43" s="5">
        <v>4787120000000</v>
      </c>
      <c r="V43" s="5">
        <v>4950380000000</v>
      </c>
      <c r="W43" s="5">
        <v>4957830000000</v>
      </c>
      <c r="X43" s="5">
        <v>4409670000000</v>
      </c>
      <c r="Y43" s="5">
        <v>3967910000000</v>
      </c>
      <c r="AA43" s="15">
        <v>0.0409708</v>
      </c>
      <c r="AB43" s="5">
        <v>0.0415704</v>
      </c>
      <c r="AC43" s="5">
        <v>24683100000000</v>
      </c>
      <c r="AD43" s="5">
        <v>2132290000</v>
      </c>
      <c r="AE43" s="5">
        <v>0</v>
      </c>
      <c r="AF43" s="5">
        <v>0</v>
      </c>
      <c r="AG43" s="5">
        <v>2</v>
      </c>
      <c r="AH43" s="5">
        <v>4180490000000</v>
      </c>
      <c r="AI43" s="5">
        <v>6327460000000</v>
      </c>
      <c r="AJ43" s="5">
        <v>4853880000000</v>
      </c>
      <c r="AK43" s="5">
        <v>4832390000000</v>
      </c>
      <c r="AL43" s="5">
        <v>4488780000000</v>
      </c>
      <c r="AN43" s="5">
        <f t="shared" si="0"/>
        <v>0.0410346</v>
      </c>
      <c r="AO43" s="5">
        <f t="shared" si="1"/>
        <v>23896133333333.3</v>
      </c>
      <c r="AP43" s="5">
        <f t="shared" si="2"/>
        <v>23073000000000</v>
      </c>
      <c r="AQ43" s="5">
        <f t="shared" si="3"/>
        <v>24683100000000</v>
      </c>
      <c r="AR43" s="5">
        <f t="shared" si="4"/>
        <v>4085506666666.67</v>
      </c>
      <c r="AS43" s="5">
        <f t="shared" si="5"/>
        <v>3799830000000</v>
      </c>
      <c r="AT43" s="5">
        <f t="shared" si="6"/>
        <v>4488780000000</v>
      </c>
    </row>
    <row r="44" customHeight="1" spans="1:46">
      <c r="A44" s="15">
        <v>0.041958</v>
      </c>
      <c r="B44" s="5">
        <v>0.0425013</v>
      </c>
      <c r="C44" s="5">
        <v>24381300000000</v>
      </c>
      <c r="D44" s="5">
        <v>2583220000</v>
      </c>
      <c r="E44" s="5">
        <v>0</v>
      </c>
      <c r="F44" s="5">
        <v>0</v>
      </c>
      <c r="G44" s="5">
        <v>2</v>
      </c>
      <c r="H44" s="5">
        <v>5978390000000</v>
      </c>
      <c r="I44" s="5">
        <v>4908740000000</v>
      </c>
      <c r="J44" s="5">
        <v>4958410000000</v>
      </c>
      <c r="K44" s="5">
        <v>4881390000000</v>
      </c>
      <c r="L44" s="5">
        <v>3654400000000</v>
      </c>
      <c r="N44" s="15">
        <v>0.0419538</v>
      </c>
      <c r="O44" s="5">
        <v>0.0425048</v>
      </c>
      <c r="P44" s="5">
        <v>22728500000000</v>
      </c>
      <c r="Q44" s="5">
        <v>2104330000</v>
      </c>
      <c r="R44" s="5">
        <v>0</v>
      </c>
      <c r="S44" s="5">
        <v>0</v>
      </c>
      <c r="T44" s="5">
        <v>2</v>
      </c>
      <c r="U44" s="5">
        <v>5217440000000</v>
      </c>
      <c r="V44" s="5">
        <v>4488440000000</v>
      </c>
      <c r="W44" s="5">
        <v>5081760000000</v>
      </c>
      <c r="X44" s="5">
        <v>4227080000000</v>
      </c>
      <c r="Y44" s="5">
        <v>3713750000000</v>
      </c>
      <c r="AA44" s="15">
        <v>0.0419958</v>
      </c>
      <c r="AB44" s="5">
        <v>0.0425837</v>
      </c>
      <c r="AC44" s="5">
        <v>23957300000000</v>
      </c>
      <c r="AD44" s="5">
        <v>2537660000</v>
      </c>
      <c r="AE44" s="5">
        <v>0</v>
      </c>
      <c r="AF44" s="5">
        <v>0</v>
      </c>
      <c r="AG44" s="5">
        <v>2</v>
      </c>
      <c r="AH44" s="5">
        <v>4173500000000</v>
      </c>
      <c r="AI44" s="5">
        <v>4843390000000</v>
      </c>
      <c r="AJ44" s="5">
        <v>5348640000000</v>
      </c>
      <c r="AK44" s="5">
        <v>4899950000000</v>
      </c>
      <c r="AL44" s="5">
        <v>4691800000000</v>
      </c>
      <c r="AN44" s="5">
        <f t="shared" si="0"/>
        <v>0.041958</v>
      </c>
      <c r="AO44" s="5">
        <f t="shared" si="1"/>
        <v>23689033333333.3</v>
      </c>
      <c r="AP44" s="5">
        <f t="shared" si="2"/>
        <v>22728500000000</v>
      </c>
      <c r="AQ44" s="5">
        <f t="shared" si="3"/>
        <v>24381300000000</v>
      </c>
      <c r="AR44" s="5">
        <f t="shared" si="4"/>
        <v>4019983333333.33</v>
      </c>
      <c r="AS44" s="5">
        <f t="shared" si="5"/>
        <v>3654400000000</v>
      </c>
      <c r="AT44" s="5">
        <f t="shared" si="6"/>
        <v>4691800000000</v>
      </c>
    </row>
    <row r="45" customHeight="1" spans="1:46">
      <c r="A45" s="15">
        <v>0.0429389</v>
      </c>
      <c r="B45" s="5">
        <v>0.0435134</v>
      </c>
      <c r="C45" s="5">
        <v>24566100000000</v>
      </c>
      <c r="D45" s="5">
        <v>1915530000</v>
      </c>
      <c r="E45" s="5">
        <v>0</v>
      </c>
      <c r="F45" s="5">
        <v>0</v>
      </c>
      <c r="G45" s="5">
        <v>2</v>
      </c>
      <c r="H45" s="5">
        <v>5299710000000</v>
      </c>
      <c r="I45" s="5">
        <v>5470900000000</v>
      </c>
      <c r="J45" s="5">
        <v>5138900000000</v>
      </c>
      <c r="K45" s="5">
        <v>4638430000000</v>
      </c>
      <c r="L45" s="5">
        <v>4018080000000</v>
      </c>
      <c r="N45" s="15">
        <v>0.0429997</v>
      </c>
      <c r="O45" s="5">
        <v>0.0435507</v>
      </c>
      <c r="P45" s="5">
        <v>23287000000000</v>
      </c>
      <c r="Q45" s="5">
        <v>1936090000</v>
      </c>
      <c r="R45" s="5">
        <v>0</v>
      </c>
      <c r="S45" s="5">
        <v>0</v>
      </c>
      <c r="T45" s="5">
        <v>2</v>
      </c>
      <c r="U45" s="5">
        <v>5090170000000</v>
      </c>
      <c r="V45" s="5">
        <v>4955860000000</v>
      </c>
      <c r="W45" s="5">
        <v>5686120000000</v>
      </c>
      <c r="X45" s="5">
        <v>4166840000000</v>
      </c>
      <c r="Y45" s="5">
        <v>3387930000000</v>
      </c>
      <c r="AA45" s="15">
        <v>0.0431048</v>
      </c>
      <c r="AB45" s="5">
        <v>0.0436883</v>
      </c>
      <c r="AC45" s="5">
        <v>24462200000000</v>
      </c>
      <c r="AD45" s="5">
        <v>1549190000</v>
      </c>
      <c r="AE45" s="5">
        <v>0</v>
      </c>
      <c r="AF45" s="5">
        <v>0</v>
      </c>
      <c r="AG45" s="5">
        <v>2</v>
      </c>
      <c r="AH45" s="5">
        <v>4672740000000</v>
      </c>
      <c r="AI45" s="5">
        <v>4435960000000</v>
      </c>
      <c r="AJ45" s="5">
        <v>5335990000000</v>
      </c>
      <c r="AK45" s="5">
        <v>4998320000000</v>
      </c>
      <c r="AL45" s="5">
        <v>5018450000000</v>
      </c>
      <c r="AN45" s="5">
        <f t="shared" si="0"/>
        <v>0.0429389</v>
      </c>
      <c r="AO45" s="5">
        <f t="shared" si="1"/>
        <v>24105100000000</v>
      </c>
      <c r="AP45" s="5">
        <f t="shared" si="2"/>
        <v>23287000000000</v>
      </c>
      <c r="AQ45" s="5">
        <f t="shared" si="3"/>
        <v>24566100000000</v>
      </c>
      <c r="AR45" s="5">
        <f t="shared" si="4"/>
        <v>4141486666666.67</v>
      </c>
      <c r="AS45" s="5">
        <f t="shared" si="5"/>
        <v>3387930000000</v>
      </c>
      <c r="AT45" s="5">
        <f t="shared" si="6"/>
        <v>5018450000000</v>
      </c>
    </row>
    <row r="46" customHeight="1" spans="1:46">
      <c r="A46" s="15">
        <v>0.0439894</v>
      </c>
      <c r="B46" s="5">
        <v>0.0445468</v>
      </c>
      <c r="C46" s="5">
        <v>24025600000000</v>
      </c>
      <c r="D46" s="5">
        <v>2018760000</v>
      </c>
      <c r="E46" s="5">
        <v>0</v>
      </c>
      <c r="F46" s="5">
        <v>0</v>
      </c>
      <c r="G46" s="5">
        <v>2</v>
      </c>
      <c r="H46" s="5">
        <v>5139590000000</v>
      </c>
      <c r="I46" s="5">
        <v>5486090000000</v>
      </c>
      <c r="J46" s="5">
        <v>4554990000000</v>
      </c>
      <c r="K46" s="5">
        <v>4688130000000</v>
      </c>
      <c r="L46" s="5">
        <v>4156320000000</v>
      </c>
      <c r="N46" s="15">
        <v>0.0440177</v>
      </c>
      <c r="O46" s="5">
        <v>0.0446079</v>
      </c>
      <c r="P46" s="5">
        <v>23374000000000</v>
      </c>
      <c r="Q46" s="5">
        <v>2448980000</v>
      </c>
      <c r="R46" s="5">
        <v>0</v>
      </c>
      <c r="S46" s="5">
        <v>0</v>
      </c>
      <c r="T46" s="5">
        <v>2</v>
      </c>
      <c r="U46" s="5">
        <v>5568340000000</v>
      </c>
      <c r="V46" s="5">
        <v>4616120000000</v>
      </c>
      <c r="W46" s="5">
        <v>5355210000000</v>
      </c>
      <c r="X46" s="5">
        <v>4423580000000</v>
      </c>
      <c r="Y46" s="5">
        <v>3409870000000</v>
      </c>
      <c r="AA46" s="15">
        <v>0.0439895</v>
      </c>
      <c r="AB46" s="5">
        <v>0.0445446</v>
      </c>
      <c r="AC46" s="5">
        <v>24411300000000</v>
      </c>
      <c r="AD46" s="5">
        <v>1991200000</v>
      </c>
      <c r="AE46" s="5">
        <v>0</v>
      </c>
      <c r="AF46" s="5">
        <v>0</v>
      </c>
      <c r="AG46" s="5">
        <v>2</v>
      </c>
      <c r="AH46" s="5">
        <v>5145910000000</v>
      </c>
      <c r="AI46" s="5">
        <v>4500860000000</v>
      </c>
      <c r="AJ46" s="5">
        <v>4788750000000</v>
      </c>
      <c r="AK46" s="5">
        <v>5858860000000</v>
      </c>
      <c r="AL46" s="5">
        <v>4116860000000</v>
      </c>
      <c r="AN46" s="5">
        <f t="shared" si="0"/>
        <v>0.0439894</v>
      </c>
      <c r="AO46" s="5">
        <f t="shared" si="1"/>
        <v>23936966666666.7</v>
      </c>
      <c r="AP46" s="5">
        <f t="shared" si="2"/>
        <v>23374000000000</v>
      </c>
      <c r="AQ46" s="5">
        <f t="shared" si="3"/>
        <v>24411300000000</v>
      </c>
      <c r="AR46" s="5">
        <f t="shared" si="4"/>
        <v>3894350000000</v>
      </c>
      <c r="AS46" s="5">
        <f t="shared" si="5"/>
        <v>3409870000000</v>
      </c>
      <c r="AT46" s="5">
        <f t="shared" si="6"/>
        <v>4156320000000</v>
      </c>
    </row>
    <row r="47" customHeight="1" spans="1:46">
      <c r="A47" s="15">
        <v>0.0449846</v>
      </c>
      <c r="B47" s="5">
        <v>0.0455659</v>
      </c>
      <c r="C47" s="5">
        <v>24514200000000</v>
      </c>
      <c r="D47" s="5">
        <v>2272130000</v>
      </c>
      <c r="E47" s="5">
        <v>0</v>
      </c>
      <c r="F47" s="5">
        <v>0</v>
      </c>
      <c r="G47" s="5">
        <v>2</v>
      </c>
      <c r="H47" s="5">
        <v>5712350000000</v>
      </c>
      <c r="I47" s="5">
        <v>4818250000000</v>
      </c>
      <c r="J47" s="5">
        <v>4385510000000</v>
      </c>
      <c r="K47" s="5">
        <v>5433640000000</v>
      </c>
      <c r="L47" s="5">
        <v>4164420000000</v>
      </c>
      <c r="N47" s="15">
        <v>0.0449508</v>
      </c>
      <c r="O47" s="5">
        <v>0.0455052</v>
      </c>
      <c r="P47" s="5">
        <v>22798000000000</v>
      </c>
      <c r="Q47" s="5">
        <v>2071420000</v>
      </c>
      <c r="R47" s="5">
        <v>0</v>
      </c>
      <c r="S47" s="5">
        <v>0</v>
      </c>
      <c r="T47" s="5">
        <v>2</v>
      </c>
      <c r="U47" s="5">
        <v>5452630000000</v>
      </c>
      <c r="V47" s="5">
        <v>4355410000000</v>
      </c>
      <c r="W47" s="5">
        <v>4916570000000</v>
      </c>
      <c r="X47" s="5">
        <v>4440970000000</v>
      </c>
      <c r="Y47" s="5">
        <v>3632360000000</v>
      </c>
      <c r="AA47" s="15">
        <v>0.0449584</v>
      </c>
      <c r="AB47" s="5">
        <v>0.0455595</v>
      </c>
      <c r="AC47" s="5">
        <v>22774800000000</v>
      </c>
      <c r="AD47" s="5">
        <v>2196000000</v>
      </c>
      <c r="AE47" s="5">
        <v>0</v>
      </c>
      <c r="AF47" s="5">
        <v>0</v>
      </c>
      <c r="AG47" s="5">
        <v>2</v>
      </c>
      <c r="AH47" s="5">
        <v>4609080000000</v>
      </c>
      <c r="AI47" s="5">
        <v>4364440000000</v>
      </c>
      <c r="AJ47" s="5">
        <v>4503330000000</v>
      </c>
      <c r="AK47" s="5">
        <v>5077060000000</v>
      </c>
      <c r="AL47" s="5">
        <v>4220680000000</v>
      </c>
      <c r="AN47" s="5">
        <f t="shared" si="0"/>
        <v>0.0449846</v>
      </c>
      <c r="AO47" s="5">
        <f t="shared" si="1"/>
        <v>23362333333333.3</v>
      </c>
      <c r="AP47" s="5">
        <f t="shared" si="2"/>
        <v>22774800000000</v>
      </c>
      <c r="AQ47" s="5">
        <f t="shared" si="3"/>
        <v>24514200000000</v>
      </c>
      <c r="AR47" s="5">
        <f t="shared" si="4"/>
        <v>4005820000000</v>
      </c>
      <c r="AS47" s="5">
        <f t="shared" si="5"/>
        <v>3632360000000</v>
      </c>
      <c r="AT47" s="5">
        <f t="shared" si="6"/>
        <v>4220680000000</v>
      </c>
    </row>
    <row r="48" customHeight="1" spans="1:46">
      <c r="A48" s="15">
        <v>0.0460217</v>
      </c>
      <c r="B48" s="5">
        <v>0.0465919</v>
      </c>
      <c r="C48" s="5">
        <v>24523700000000</v>
      </c>
      <c r="D48" s="5">
        <v>2879430000</v>
      </c>
      <c r="E48" s="5">
        <v>0</v>
      </c>
      <c r="F48" s="5">
        <v>0</v>
      </c>
      <c r="G48" s="5">
        <v>2</v>
      </c>
      <c r="H48" s="5">
        <v>6121410000000</v>
      </c>
      <c r="I48" s="5">
        <v>4923390000000</v>
      </c>
      <c r="J48" s="5">
        <v>4421750000000</v>
      </c>
      <c r="K48" s="5">
        <v>5108230000000</v>
      </c>
      <c r="L48" s="5">
        <v>3948590000000</v>
      </c>
      <c r="N48" s="15">
        <v>0.0460266</v>
      </c>
      <c r="O48" s="5">
        <v>0.0465855</v>
      </c>
      <c r="P48" s="5">
        <v>23100000000000</v>
      </c>
      <c r="Q48" s="5">
        <v>3227730000</v>
      </c>
      <c r="R48" s="5">
        <v>0</v>
      </c>
      <c r="S48" s="5">
        <v>0</v>
      </c>
      <c r="T48" s="5">
        <v>2</v>
      </c>
      <c r="U48" s="5">
        <v>5965140000000</v>
      </c>
      <c r="V48" s="5">
        <v>4288090000000</v>
      </c>
      <c r="W48" s="5">
        <v>4513400000000</v>
      </c>
      <c r="X48" s="5">
        <v>4679660000000</v>
      </c>
      <c r="Y48" s="5">
        <v>3653710000000</v>
      </c>
      <c r="AA48" s="15">
        <v>0.0459841</v>
      </c>
      <c r="AB48" s="5">
        <v>0.0465695</v>
      </c>
      <c r="AC48" s="5">
        <v>23171900000000</v>
      </c>
      <c r="AD48" s="5">
        <v>2012750000</v>
      </c>
      <c r="AE48" s="5">
        <v>0</v>
      </c>
      <c r="AF48" s="5">
        <v>0</v>
      </c>
      <c r="AG48" s="5">
        <v>2</v>
      </c>
      <c r="AH48" s="5">
        <v>5399860000000</v>
      </c>
      <c r="AI48" s="5">
        <v>4284600000000</v>
      </c>
      <c r="AJ48" s="5">
        <v>4587140000000</v>
      </c>
      <c r="AK48" s="5">
        <v>4534910000000</v>
      </c>
      <c r="AL48" s="5">
        <v>4365080000000</v>
      </c>
      <c r="AN48" s="5">
        <f t="shared" si="0"/>
        <v>0.0460217</v>
      </c>
      <c r="AO48" s="5">
        <f t="shared" si="1"/>
        <v>23598533333333.3</v>
      </c>
      <c r="AP48" s="5">
        <f t="shared" si="2"/>
        <v>23100000000000</v>
      </c>
      <c r="AQ48" s="5">
        <f t="shared" si="3"/>
        <v>24523700000000</v>
      </c>
      <c r="AR48" s="5">
        <f t="shared" si="4"/>
        <v>3989126666666.67</v>
      </c>
      <c r="AS48" s="5">
        <f t="shared" si="5"/>
        <v>3653710000000</v>
      </c>
      <c r="AT48" s="5">
        <f t="shared" si="6"/>
        <v>4365080000000</v>
      </c>
    </row>
    <row r="49" customHeight="1" spans="1:46">
      <c r="A49" s="15">
        <v>0.0470457</v>
      </c>
      <c r="B49" s="5">
        <v>0.0476191</v>
      </c>
      <c r="C49" s="5">
        <v>23732900000000</v>
      </c>
      <c r="D49" s="5">
        <v>2618990000</v>
      </c>
      <c r="E49" s="5">
        <v>0</v>
      </c>
      <c r="F49" s="5">
        <v>0</v>
      </c>
      <c r="G49" s="5">
        <v>2</v>
      </c>
      <c r="H49" s="5">
        <v>5496720000000</v>
      </c>
      <c r="I49" s="5">
        <v>4347610000000</v>
      </c>
      <c r="J49" s="5">
        <v>5488330000000</v>
      </c>
      <c r="K49" s="5">
        <v>4307020000000</v>
      </c>
      <c r="L49" s="5">
        <v>4092990000000</v>
      </c>
      <c r="N49" s="15">
        <v>0.0469963</v>
      </c>
      <c r="O49" s="5">
        <v>0.0475398</v>
      </c>
      <c r="P49" s="5">
        <v>23821200000000</v>
      </c>
      <c r="Q49" s="5">
        <v>1916680000</v>
      </c>
      <c r="R49" s="5">
        <v>0</v>
      </c>
      <c r="S49" s="5">
        <v>0</v>
      </c>
      <c r="T49" s="5">
        <v>2</v>
      </c>
      <c r="U49" s="5">
        <v>5567780000000</v>
      </c>
      <c r="V49" s="5">
        <v>4544870000000</v>
      </c>
      <c r="W49" s="5">
        <v>5483630000000</v>
      </c>
      <c r="X49" s="5">
        <v>4804890000000</v>
      </c>
      <c r="Y49" s="5">
        <v>3419870000000</v>
      </c>
      <c r="AA49" s="15">
        <v>0.0469392</v>
      </c>
      <c r="AB49" s="5">
        <v>0.0475064</v>
      </c>
      <c r="AC49" s="5">
        <v>23422400000000</v>
      </c>
      <c r="AD49" s="5">
        <v>2448030000</v>
      </c>
      <c r="AE49" s="5">
        <v>0</v>
      </c>
      <c r="AF49" s="5">
        <v>0</v>
      </c>
      <c r="AG49" s="5">
        <v>2</v>
      </c>
      <c r="AH49" s="5">
        <v>5292120000000</v>
      </c>
      <c r="AI49" s="5">
        <v>4614580000000</v>
      </c>
      <c r="AJ49" s="5">
        <v>4340200000000</v>
      </c>
      <c r="AK49" s="5">
        <v>4781080000000</v>
      </c>
      <c r="AL49" s="5">
        <v>4394060000000</v>
      </c>
      <c r="AN49" s="5">
        <f t="shared" si="0"/>
        <v>0.0470457</v>
      </c>
      <c r="AO49" s="5">
        <f t="shared" si="1"/>
        <v>23658833333333.3</v>
      </c>
      <c r="AP49" s="5">
        <f t="shared" si="2"/>
        <v>23422400000000</v>
      </c>
      <c r="AQ49" s="5">
        <f t="shared" si="3"/>
        <v>23821200000000</v>
      </c>
      <c r="AR49" s="5">
        <f t="shared" si="4"/>
        <v>3968973333333.33</v>
      </c>
      <c r="AS49" s="5">
        <f t="shared" si="5"/>
        <v>3419870000000</v>
      </c>
      <c r="AT49" s="5">
        <f t="shared" si="6"/>
        <v>4394060000000</v>
      </c>
    </row>
    <row r="50" customHeight="1" spans="1:46">
      <c r="A50" s="15">
        <v>0.0480034</v>
      </c>
      <c r="B50" s="5">
        <v>0.04859</v>
      </c>
      <c r="C50" s="5">
        <v>24174900000000</v>
      </c>
      <c r="D50" s="5">
        <v>2472970000</v>
      </c>
      <c r="E50" s="5">
        <v>0</v>
      </c>
      <c r="F50" s="5">
        <v>0</v>
      </c>
      <c r="G50" s="5">
        <v>2</v>
      </c>
      <c r="H50" s="5">
        <v>5645120000000</v>
      </c>
      <c r="I50" s="5">
        <v>4570150000000</v>
      </c>
      <c r="J50" s="5">
        <v>5253650000000</v>
      </c>
      <c r="K50" s="5">
        <v>4782240000000</v>
      </c>
      <c r="L50" s="5">
        <v>3923660000000</v>
      </c>
      <c r="N50" s="15">
        <v>0.0479984</v>
      </c>
      <c r="O50" s="5">
        <v>0.0485427</v>
      </c>
      <c r="P50" s="5">
        <v>24349400000000</v>
      </c>
      <c r="Q50" s="5">
        <v>1679940000</v>
      </c>
      <c r="R50" s="5">
        <v>0</v>
      </c>
      <c r="S50" s="5">
        <v>0</v>
      </c>
      <c r="T50" s="5">
        <v>2</v>
      </c>
      <c r="U50" s="5">
        <v>6039680000000</v>
      </c>
      <c r="V50" s="5">
        <v>4309920000000</v>
      </c>
      <c r="W50" s="5">
        <v>5206630000000</v>
      </c>
      <c r="X50" s="5">
        <v>5103780000000</v>
      </c>
      <c r="Y50" s="5">
        <v>3689400000000</v>
      </c>
      <c r="AA50" s="15">
        <v>0.0480727</v>
      </c>
      <c r="AB50" s="5">
        <v>0.0486612</v>
      </c>
      <c r="AC50" s="5">
        <v>23384700000000</v>
      </c>
      <c r="AD50" s="5">
        <v>1725240000</v>
      </c>
      <c r="AE50" s="5">
        <v>0</v>
      </c>
      <c r="AF50" s="5">
        <v>0</v>
      </c>
      <c r="AG50" s="5">
        <v>2</v>
      </c>
      <c r="AH50" s="5">
        <v>5182740000000</v>
      </c>
      <c r="AI50" s="5">
        <v>4736700000000</v>
      </c>
      <c r="AJ50" s="5">
        <v>4394900000000</v>
      </c>
      <c r="AK50" s="5">
        <v>5275430000000</v>
      </c>
      <c r="AL50" s="5">
        <v>3794920000000</v>
      </c>
      <c r="AN50" s="5">
        <f t="shared" si="0"/>
        <v>0.0480034</v>
      </c>
      <c r="AO50" s="5">
        <f t="shared" si="1"/>
        <v>23969666666666.7</v>
      </c>
      <c r="AP50" s="5">
        <f t="shared" si="2"/>
        <v>23384700000000</v>
      </c>
      <c r="AQ50" s="5">
        <f t="shared" si="3"/>
        <v>24349400000000</v>
      </c>
      <c r="AR50" s="5">
        <f t="shared" si="4"/>
        <v>3802660000000</v>
      </c>
      <c r="AS50" s="5">
        <f t="shared" si="5"/>
        <v>3689400000000</v>
      </c>
      <c r="AT50" s="5">
        <f t="shared" si="6"/>
        <v>3923660000000</v>
      </c>
    </row>
    <row r="51" customHeight="1" spans="1:46">
      <c r="A51" s="15">
        <v>0.0490202</v>
      </c>
      <c r="B51" s="5">
        <v>0.0496154</v>
      </c>
      <c r="C51" s="5">
        <v>24450800000000</v>
      </c>
      <c r="D51" s="5">
        <v>3347810000</v>
      </c>
      <c r="E51" s="5">
        <v>0</v>
      </c>
      <c r="F51" s="5">
        <v>0</v>
      </c>
      <c r="G51" s="5">
        <v>2</v>
      </c>
      <c r="H51" s="5">
        <v>4953390000000</v>
      </c>
      <c r="I51" s="5">
        <v>4819370000000</v>
      </c>
      <c r="J51" s="5">
        <v>5170150000000</v>
      </c>
      <c r="K51" s="5">
        <v>5371220000000</v>
      </c>
      <c r="L51" s="5">
        <v>4136600000000</v>
      </c>
      <c r="N51" s="15">
        <v>0.0490461</v>
      </c>
      <c r="O51" s="5">
        <v>0.0495983</v>
      </c>
      <c r="P51" s="5">
        <v>24849500000000</v>
      </c>
      <c r="Q51" s="5">
        <v>2498850000</v>
      </c>
      <c r="R51" s="5">
        <v>0</v>
      </c>
      <c r="S51" s="5">
        <v>0</v>
      </c>
      <c r="T51" s="5">
        <v>2</v>
      </c>
      <c r="U51" s="5">
        <v>5699380000000</v>
      </c>
      <c r="V51" s="5">
        <v>5050150000000</v>
      </c>
      <c r="W51" s="5">
        <v>4946200000000</v>
      </c>
      <c r="X51" s="5">
        <v>5561510000000</v>
      </c>
      <c r="Y51" s="5">
        <v>3592230000000</v>
      </c>
      <c r="AA51" s="15">
        <v>0.0490328</v>
      </c>
      <c r="AB51" s="5">
        <v>0.049617</v>
      </c>
      <c r="AC51" s="5">
        <v>23940100000000</v>
      </c>
      <c r="AD51" s="5">
        <v>2251310000</v>
      </c>
      <c r="AE51" s="5">
        <v>0</v>
      </c>
      <c r="AF51" s="5">
        <v>0</v>
      </c>
      <c r="AG51" s="5">
        <v>2</v>
      </c>
      <c r="AH51" s="5">
        <v>4947920000000</v>
      </c>
      <c r="AI51" s="5">
        <v>5077950000000</v>
      </c>
      <c r="AJ51" s="5">
        <v>4594080000000</v>
      </c>
      <c r="AK51" s="5">
        <v>5292970000000</v>
      </c>
      <c r="AL51" s="5">
        <v>4027070000000</v>
      </c>
      <c r="AN51" s="5">
        <f t="shared" si="0"/>
        <v>0.0490202</v>
      </c>
      <c r="AO51" s="5">
        <f t="shared" si="1"/>
        <v>24413466666666.7</v>
      </c>
      <c r="AP51" s="5">
        <f t="shared" si="2"/>
        <v>23940100000000</v>
      </c>
      <c r="AQ51" s="5">
        <f t="shared" si="3"/>
        <v>24849500000000</v>
      </c>
      <c r="AR51" s="5">
        <f t="shared" si="4"/>
        <v>3918633333333.33</v>
      </c>
      <c r="AS51" s="5">
        <f t="shared" si="5"/>
        <v>3592230000000</v>
      </c>
      <c r="AT51" s="5">
        <f t="shared" si="6"/>
        <v>4136600000000</v>
      </c>
    </row>
    <row r="52" customHeight="1" spans="1:46">
      <c r="A52" s="15">
        <v>0.0498944</v>
      </c>
      <c r="B52" s="5">
        <v>0.0504841</v>
      </c>
      <c r="C52" s="5">
        <v>23775300000000</v>
      </c>
      <c r="D52" s="5">
        <v>3241410000</v>
      </c>
      <c r="E52" s="5">
        <v>0</v>
      </c>
      <c r="F52" s="5">
        <v>0</v>
      </c>
      <c r="G52" s="5">
        <v>2</v>
      </c>
      <c r="H52" s="5">
        <v>4896080000000</v>
      </c>
      <c r="I52" s="5">
        <v>5197940000000</v>
      </c>
      <c r="J52" s="5">
        <v>4559850000000</v>
      </c>
      <c r="K52" s="5">
        <v>5145320000000</v>
      </c>
      <c r="L52" s="5">
        <v>3976060000000</v>
      </c>
      <c r="N52" s="15">
        <v>0.0497869</v>
      </c>
      <c r="O52" s="5">
        <v>0.050357</v>
      </c>
      <c r="P52" s="5">
        <v>24381700000000</v>
      </c>
      <c r="Q52" s="5">
        <v>2444630000</v>
      </c>
      <c r="R52" s="5">
        <v>0</v>
      </c>
      <c r="S52" s="5">
        <v>0</v>
      </c>
      <c r="T52" s="5">
        <v>2</v>
      </c>
      <c r="U52" s="5">
        <v>5742620000000</v>
      </c>
      <c r="V52" s="5">
        <v>4501830000000</v>
      </c>
      <c r="W52" s="5">
        <v>5337500000000</v>
      </c>
      <c r="X52" s="5">
        <v>5390250000000</v>
      </c>
      <c r="Y52" s="5">
        <v>3409480000000</v>
      </c>
      <c r="AA52" s="15">
        <v>0.0500437</v>
      </c>
      <c r="AB52" s="5">
        <v>0.0506328</v>
      </c>
      <c r="AC52" s="5">
        <v>23048100000000</v>
      </c>
      <c r="AD52" s="5">
        <v>3370680000</v>
      </c>
      <c r="AE52" s="5">
        <v>0</v>
      </c>
      <c r="AF52" s="5">
        <v>0</v>
      </c>
      <c r="AG52" s="5">
        <v>2</v>
      </c>
      <c r="AH52" s="5">
        <v>4659780000000</v>
      </c>
      <c r="AI52" s="5">
        <v>4965200000000</v>
      </c>
      <c r="AJ52" s="5">
        <v>4362880000000</v>
      </c>
      <c r="AK52" s="5">
        <v>5244240000000</v>
      </c>
      <c r="AL52" s="5">
        <v>3815940000000</v>
      </c>
      <c r="AN52" s="5">
        <f t="shared" si="0"/>
        <v>0.0498944</v>
      </c>
      <c r="AO52" s="5">
        <f t="shared" si="1"/>
        <v>23735033333333.3</v>
      </c>
      <c r="AP52" s="5">
        <f t="shared" si="2"/>
        <v>23048100000000</v>
      </c>
      <c r="AQ52" s="5">
        <f t="shared" si="3"/>
        <v>24381700000000</v>
      </c>
      <c r="AR52" s="5">
        <f t="shared" si="4"/>
        <v>3733826666666.67</v>
      </c>
      <c r="AS52" s="5">
        <f t="shared" si="5"/>
        <v>3409480000000</v>
      </c>
      <c r="AT52" s="5">
        <f t="shared" si="6"/>
        <v>3976060000000</v>
      </c>
    </row>
    <row r="53" customHeight="1" spans="1:38">
      <c r="A53" s="5"/>
      <c r="B53" s="5"/>
      <c r="C53" s="5"/>
      <c r="D53" s="5"/>
      <c r="E53" s="5"/>
      <c r="F53" s="5"/>
      <c r="H53" s="5"/>
      <c r="I53" s="5"/>
      <c r="J53" s="5"/>
      <c r="K53" s="5"/>
      <c r="L53" s="5"/>
      <c r="AA53" s="15">
        <v>0.0510282</v>
      </c>
      <c r="AB53" s="5">
        <v>0.0516098</v>
      </c>
      <c r="AC53" s="5">
        <v>23246000000000</v>
      </c>
      <c r="AD53" s="5">
        <v>1946410000</v>
      </c>
      <c r="AE53" s="5">
        <v>0</v>
      </c>
      <c r="AF53" s="5">
        <v>0</v>
      </c>
      <c r="AG53" s="5">
        <v>2</v>
      </c>
      <c r="AH53" s="5">
        <v>4714670000000</v>
      </c>
      <c r="AI53" s="5">
        <v>4923560000000</v>
      </c>
      <c r="AJ53" s="5">
        <v>4558840000000</v>
      </c>
      <c r="AK53" s="5">
        <v>5155050000000</v>
      </c>
      <c r="AL53" s="5">
        <v>3893910000000</v>
      </c>
    </row>
    <row r="54" customHeight="1" spans="1:12">
      <c r="A54" s="5"/>
      <c r="B54" s="5"/>
      <c r="C54" s="5"/>
      <c r="D54" s="5"/>
      <c r="E54" s="5"/>
      <c r="F54" s="5"/>
      <c r="H54" s="5"/>
      <c r="I54" s="5"/>
      <c r="J54" s="5"/>
      <c r="K54" s="5"/>
      <c r="L54" s="5"/>
    </row>
    <row r="55" customHeight="1" spans="1:12">
      <c r="A55" s="5"/>
      <c r="B55" s="5"/>
      <c r="C55" s="5"/>
      <c r="D55" s="5"/>
      <c r="E55" s="5"/>
      <c r="F55" s="5"/>
      <c r="H55" s="5"/>
      <c r="I55" s="5"/>
      <c r="J55" s="5"/>
      <c r="K55" s="5"/>
      <c r="L55" s="5"/>
    </row>
    <row r="56" customHeight="1" spans="1:12">
      <c r="A56" s="5"/>
      <c r="B56" s="5"/>
      <c r="C56" s="5"/>
      <c r="D56" s="5"/>
      <c r="E56" s="5"/>
      <c r="F56" s="5"/>
      <c r="H56" s="5"/>
      <c r="I56" s="5"/>
      <c r="J56" s="5"/>
      <c r="K56" s="5"/>
      <c r="L56" s="5"/>
    </row>
    <row r="57" customHeight="1" spans="1:12">
      <c r="A57" s="5"/>
      <c r="B57" s="5"/>
      <c r="C57" s="5"/>
      <c r="D57" s="5"/>
      <c r="E57" s="5"/>
      <c r="F57" s="5"/>
      <c r="H57" s="5"/>
      <c r="I57" s="5"/>
      <c r="J57" s="5"/>
      <c r="K57" s="5"/>
      <c r="L57" s="5"/>
    </row>
    <row r="58" customHeight="1" spans="1:12">
      <c r="A58" s="5"/>
      <c r="B58" s="5"/>
      <c r="C58" s="5"/>
      <c r="D58" s="5"/>
      <c r="E58" s="5"/>
      <c r="F58" s="5"/>
      <c r="H58" s="5"/>
      <c r="I58" s="5"/>
      <c r="J58" s="5"/>
      <c r="K58" s="5"/>
      <c r="L58" s="5"/>
    </row>
    <row r="59" customHeight="1" spans="1:12">
      <c r="A59" s="5"/>
      <c r="B59" s="5"/>
      <c r="C59" s="5"/>
      <c r="D59" s="5"/>
      <c r="E59" s="5"/>
      <c r="F59" s="5"/>
      <c r="H59" s="5"/>
      <c r="I59" s="5"/>
      <c r="J59" s="5"/>
      <c r="K59" s="5"/>
      <c r="L59" s="5"/>
    </row>
    <row r="60" customHeight="1" spans="1:12">
      <c r="A60" s="5"/>
      <c r="B60" s="5"/>
      <c r="C60" s="5"/>
      <c r="D60" s="5"/>
      <c r="E60" s="5"/>
      <c r="F60" s="5"/>
      <c r="H60" s="5"/>
      <c r="I60" s="5"/>
      <c r="J60" s="5"/>
      <c r="K60" s="5"/>
      <c r="L60" s="5"/>
    </row>
    <row r="61" customHeight="1" spans="1:12">
      <c r="A61" s="5"/>
      <c r="B61" s="5"/>
      <c r="C61" s="5"/>
      <c r="D61" s="5"/>
      <c r="E61" s="5"/>
      <c r="F61" s="5"/>
      <c r="H61" s="5"/>
      <c r="I61" s="5"/>
      <c r="J61" s="5"/>
      <c r="K61" s="5"/>
      <c r="L61" s="5"/>
    </row>
    <row r="62" customHeight="1" spans="1:12">
      <c r="A62" s="5"/>
      <c r="B62" s="5"/>
      <c r="C62" s="5"/>
      <c r="D62" s="5"/>
      <c r="E62" s="5"/>
      <c r="F62" s="5"/>
      <c r="H62" s="5"/>
      <c r="I62" s="5"/>
      <c r="J62" s="5"/>
      <c r="K62" s="5"/>
      <c r="L62" s="5"/>
    </row>
    <row r="63" customHeight="1" spans="1:12">
      <c r="A63" s="5"/>
      <c r="B63" s="5"/>
      <c r="C63" s="5"/>
      <c r="D63" s="5"/>
      <c r="E63" s="5"/>
      <c r="F63" s="5"/>
      <c r="H63" s="5"/>
      <c r="I63" s="5"/>
      <c r="J63" s="5"/>
      <c r="K63" s="5"/>
      <c r="L63" s="5"/>
    </row>
    <row r="64" customHeight="1" spans="1:12">
      <c r="A64" s="5"/>
      <c r="B64" s="5"/>
      <c r="C64" s="5"/>
      <c r="D64" s="5"/>
      <c r="E64" s="5"/>
      <c r="F64" s="5"/>
      <c r="H64" s="5"/>
      <c r="I64" s="5"/>
      <c r="J64" s="5"/>
      <c r="K64" s="5"/>
      <c r="L64" s="5"/>
    </row>
    <row r="65" customHeight="1" spans="1:12">
      <c r="A65" s="5"/>
      <c r="B65" s="5"/>
      <c r="C65" s="5"/>
      <c r="D65" s="5"/>
      <c r="E65" s="5"/>
      <c r="F65" s="5"/>
      <c r="H65" s="5"/>
      <c r="I65" s="5"/>
      <c r="J65" s="5"/>
      <c r="K65" s="5"/>
      <c r="L65" s="5"/>
    </row>
    <row r="66" customHeight="1" spans="1:12">
      <c r="A66" s="5"/>
      <c r="B66" s="5"/>
      <c r="C66" s="5"/>
      <c r="D66" s="5"/>
      <c r="E66" s="5"/>
      <c r="F66" s="5"/>
      <c r="H66" s="5"/>
      <c r="I66" s="5"/>
      <c r="J66" s="5"/>
      <c r="K66" s="5"/>
      <c r="L66" s="5"/>
    </row>
    <row r="67" customHeight="1" spans="1:12">
      <c r="A67" s="5"/>
      <c r="B67" s="5"/>
      <c r="C67" s="5"/>
      <c r="D67" s="5"/>
      <c r="E67" s="5"/>
      <c r="F67" s="5"/>
      <c r="H67" s="5"/>
      <c r="I67" s="5"/>
      <c r="J67" s="5"/>
      <c r="K67" s="5"/>
      <c r="L67" s="5"/>
    </row>
    <row r="68" customHeight="1" spans="1:12">
      <c r="A68" s="5"/>
      <c r="B68" s="5"/>
      <c r="C68" s="5"/>
      <c r="D68" s="5"/>
      <c r="E68" s="5"/>
      <c r="F68" s="5"/>
      <c r="H68" s="5"/>
      <c r="I68" s="5"/>
      <c r="J68" s="5"/>
      <c r="K68" s="5"/>
      <c r="L68" s="5"/>
    </row>
    <row r="69" customHeight="1" spans="1:12">
      <c r="A69" s="5"/>
      <c r="B69" s="5"/>
      <c r="C69" s="5"/>
      <c r="D69" s="5"/>
      <c r="E69" s="5"/>
      <c r="F69" s="5"/>
      <c r="H69" s="5"/>
      <c r="I69" s="5"/>
      <c r="J69" s="5"/>
      <c r="K69" s="5"/>
      <c r="L69" s="5"/>
    </row>
    <row r="70" customHeight="1" spans="1:12">
      <c r="A70" s="5"/>
      <c r="B70" s="5"/>
      <c r="C70" s="5"/>
      <c r="D70" s="5"/>
      <c r="E70" s="5"/>
      <c r="F70" s="5"/>
      <c r="H70" s="5"/>
      <c r="I70" s="5"/>
      <c r="J70" s="5"/>
      <c r="K70" s="5"/>
      <c r="L70" s="5"/>
    </row>
    <row r="71" customHeight="1" spans="1:12">
      <c r="A71" s="5"/>
      <c r="B71" s="5"/>
      <c r="C71" s="5"/>
      <c r="D71" s="5"/>
      <c r="E71" s="5"/>
      <c r="F71" s="5"/>
      <c r="H71" s="5"/>
      <c r="I71" s="5"/>
      <c r="J71" s="5"/>
      <c r="K71" s="5"/>
      <c r="L71" s="5"/>
    </row>
    <row r="72" customHeight="1" spans="1:12">
      <c r="A72" s="5"/>
      <c r="B72" s="5"/>
      <c r="C72" s="5"/>
      <c r="D72" s="5"/>
      <c r="E72" s="5"/>
      <c r="F72" s="5"/>
      <c r="H72" s="5"/>
      <c r="I72" s="5"/>
      <c r="J72" s="5"/>
      <c r="K72" s="5"/>
      <c r="L72" s="5"/>
    </row>
    <row r="73" customHeight="1" spans="1:12">
      <c r="A73" s="5"/>
      <c r="B73" s="5"/>
      <c r="C73" s="5"/>
      <c r="D73" s="5"/>
      <c r="E73" s="5"/>
      <c r="F73" s="5"/>
      <c r="H73" s="5"/>
      <c r="I73" s="5"/>
      <c r="J73" s="5"/>
      <c r="K73" s="5"/>
      <c r="L73" s="5"/>
    </row>
    <row r="74" customHeight="1" spans="1:12">
      <c r="A74" s="5"/>
      <c r="B74" s="5"/>
      <c r="C74" s="5"/>
      <c r="D74" s="5"/>
      <c r="E74" s="5"/>
      <c r="F74" s="5"/>
      <c r="H74" s="5"/>
      <c r="I74" s="5"/>
      <c r="J74" s="5"/>
      <c r="K74" s="5"/>
      <c r="L74" s="5"/>
    </row>
    <row r="75" customHeight="1" spans="1:12">
      <c r="A75" s="5"/>
      <c r="B75" s="5"/>
      <c r="C75" s="5"/>
      <c r="D75" s="5"/>
      <c r="E75" s="5"/>
      <c r="F75" s="5"/>
      <c r="H75" s="5"/>
      <c r="I75" s="5"/>
      <c r="J75" s="5"/>
      <c r="K75" s="5"/>
      <c r="L75" s="5"/>
    </row>
    <row r="76" customHeight="1" spans="1:12">
      <c r="A76" s="5"/>
      <c r="B76" s="5"/>
      <c r="C76" s="5"/>
      <c r="D76" s="5"/>
      <c r="E76" s="5"/>
      <c r="F76" s="5"/>
      <c r="H76" s="5"/>
      <c r="I76" s="5"/>
      <c r="J76" s="5"/>
      <c r="K76" s="5"/>
      <c r="L76" s="5"/>
    </row>
    <row r="77" customHeight="1" spans="1:12">
      <c r="A77" s="5"/>
      <c r="B77" s="5"/>
      <c r="C77" s="5"/>
      <c r="D77" s="5"/>
      <c r="E77" s="5"/>
      <c r="F77" s="5"/>
      <c r="H77" s="5"/>
      <c r="I77" s="5"/>
      <c r="J77" s="5"/>
      <c r="K77" s="5"/>
      <c r="L77" s="5"/>
    </row>
    <row r="78" customHeight="1" spans="1:12">
      <c r="A78" s="5"/>
      <c r="B78" s="5"/>
      <c r="C78" s="5"/>
      <c r="D78" s="5"/>
      <c r="E78" s="5"/>
      <c r="F78" s="5"/>
      <c r="H78" s="5"/>
      <c r="I78" s="5"/>
      <c r="J78" s="5"/>
      <c r="K78" s="5"/>
      <c r="L78" s="5"/>
    </row>
    <row r="79" customHeight="1" spans="1:12">
      <c r="A79" s="5"/>
      <c r="B79" s="5"/>
      <c r="C79" s="5"/>
      <c r="D79" s="5"/>
      <c r="E79" s="5"/>
      <c r="F79" s="5"/>
      <c r="H79" s="5"/>
      <c r="I79" s="5"/>
      <c r="J79" s="5"/>
      <c r="K79" s="5"/>
      <c r="L79" s="5"/>
    </row>
    <row r="80" customHeight="1" spans="1:12">
      <c r="A80" s="5"/>
      <c r="B80" s="5"/>
      <c r="C80" s="5"/>
      <c r="D80" s="5"/>
      <c r="E80" s="5"/>
      <c r="F80" s="5"/>
      <c r="H80" s="5"/>
      <c r="I80" s="5"/>
      <c r="J80" s="5"/>
      <c r="K80" s="5"/>
      <c r="L80" s="5"/>
    </row>
    <row r="81" customHeight="1" spans="1:12">
      <c r="A81" s="5"/>
      <c r="B81" s="5"/>
      <c r="C81" s="5"/>
      <c r="D81" s="5"/>
      <c r="E81" s="5"/>
      <c r="F81" s="5"/>
      <c r="H81" s="5"/>
      <c r="I81" s="5"/>
      <c r="J81" s="5"/>
      <c r="K81" s="5"/>
      <c r="L81" s="5"/>
    </row>
    <row r="82" customHeight="1" spans="1:12">
      <c r="A82" s="5"/>
      <c r="B82" s="5"/>
      <c r="C82" s="5"/>
      <c r="D82" s="5"/>
      <c r="E82" s="5"/>
      <c r="F82" s="5"/>
      <c r="H82" s="5"/>
      <c r="I82" s="5"/>
      <c r="J82" s="5"/>
      <c r="K82" s="5"/>
      <c r="L82" s="5"/>
    </row>
    <row r="83" customHeight="1" spans="1:12">
      <c r="A83" s="5"/>
      <c r="B83" s="5"/>
      <c r="C83" s="5"/>
      <c r="D83" s="5"/>
      <c r="E83" s="5"/>
      <c r="F83" s="5"/>
      <c r="H83" s="5"/>
      <c r="I83" s="5"/>
      <c r="J83" s="5"/>
      <c r="K83" s="5"/>
      <c r="L83" s="5"/>
    </row>
    <row r="84" customHeight="1" spans="1:12">
      <c r="A84" s="5"/>
      <c r="B84" s="5"/>
      <c r="C84" s="5"/>
      <c r="D84" s="5"/>
      <c r="E84" s="5"/>
      <c r="F84" s="5"/>
      <c r="H84" s="5"/>
      <c r="I84" s="5"/>
      <c r="J84" s="5"/>
      <c r="K84" s="5"/>
      <c r="L84" s="5"/>
    </row>
    <row r="85" customHeight="1" spans="1:12">
      <c r="A85" s="5"/>
      <c r="B85" s="5"/>
      <c r="C85" s="5"/>
      <c r="D85" s="5"/>
      <c r="E85" s="5"/>
      <c r="F85" s="5"/>
      <c r="H85" s="5"/>
      <c r="I85" s="5"/>
      <c r="J85" s="5"/>
      <c r="K85" s="5"/>
      <c r="L85" s="5"/>
    </row>
    <row r="86" customHeight="1" spans="1:12">
      <c r="A86" s="5"/>
      <c r="B86" s="5"/>
      <c r="C86" s="5"/>
      <c r="D86" s="5"/>
      <c r="E86" s="5"/>
      <c r="F86" s="5"/>
      <c r="H86" s="5"/>
      <c r="I86" s="5"/>
      <c r="J86" s="5"/>
      <c r="K86" s="5"/>
      <c r="L86" s="5"/>
    </row>
    <row r="87" customHeight="1" spans="1:12">
      <c r="A87" s="5"/>
      <c r="B87" s="5"/>
      <c r="C87" s="5"/>
      <c r="D87" s="5"/>
      <c r="E87" s="5"/>
      <c r="F87" s="5"/>
      <c r="H87" s="5"/>
      <c r="I87" s="5"/>
      <c r="J87" s="5"/>
      <c r="K87" s="5"/>
      <c r="L87" s="5"/>
    </row>
    <row r="88" customHeight="1" spans="1:12">
      <c r="A88" s="5"/>
      <c r="B88" s="5"/>
      <c r="C88" s="5"/>
      <c r="D88" s="5"/>
      <c r="E88" s="5"/>
      <c r="F88" s="5"/>
      <c r="H88" s="5"/>
      <c r="I88" s="5"/>
      <c r="J88" s="5"/>
      <c r="K88" s="5"/>
      <c r="L88" s="5"/>
    </row>
    <row r="89" customHeight="1" spans="1:12">
      <c r="A89" s="5"/>
      <c r="B89" s="5"/>
      <c r="C89" s="5"/>
      <c r="D89" s="5"/>
      <c r="E89" s="5"/>
      <c r="F89" s="5"/>
      <c r="H89" s="5"/>
      <c r="I89" s="5"/>
      <c r="J89" s="5"/>
      <c r="K89" s="5"/>
      <c r="L89" s="5"/>
    </row>
    <row r="90" customHeight="1" spans="1:12">
      <c r="A90" s="5"/>
      <c r="B90" s="5"/>
      <c r="C90" s="5"/>
      <c r="D90" s="5"/>
      <c r="E90" s="5"/>
      <c r="F90" s="5"/>
      <c r="H90" s="5"/>
      <c r="I90" s="5"/>
      <c r="J90" s="5"/>
      <c r="K90" s="5"/>
      <c r="L90" s="5"/>
    </row>
    <row r="91" customHeight="1" spans="1:12">
      <c r="A91" s="5"/>
      <c r="B91" s="5"/>
      <c r="C91" s="5"/>
      <c r="D91" s="5"/>
      <c r="E91" s="5"/>
      <c r="F91" s="5"/>
      <c r="H91" s="5"/>
      <c r="I91" s="5"/>
      <c r="J91" s="5"/>
      <c r="K91" s="5"/>
      <c r="L91" s="5"/>
    </row>
    <row r="92" customHeight="1" spans="1:12">
      <c r="A92" s="5"/>
      <c r="B92" s="5"/>
      <c r="C92" s="5"/>
      <c r="D92" s="5"/>
      <c r="E92" s="5"/>
      <c r="F92" s="5"/>
      <c r="H92" s="5"/>
      <c r="I92" s="5"/>
      <c r="J92" s="5"/>
      <c r="K92" s="5"/>
      <c r="L92" s="5"/>
    </row>
    <row r="93" customHeight="1" spans="1:12">
      <c r="A93" s="5"/>
      <c r="B93" s="5"/>
      <c r="C93" s="5"/>
      <c r="D93" s="5"/>
      <c r="E93" s="5"/>
      <c r="F93" s="5"/>
      <c r="H93" s="5"/>
      <c r="I93" s="5"/>
      <c r="J93" s="5"/>
      <c r="K93" s="5"/>
      <c r="L93" s="5"/>
    </row>
    <row r="94" customHeight="1" spans="1:12">
      <c r="A94" s="5"/>
      <c r="B94" s="5"/>
      <c r="C94" s="5"/>
      <c r="D94" s="5"/>
      <c r="E94" s="5"/>
      <c r="F94" s="5"/>
      <c r="H94" s="5"/>
      <c r="I94" s="5"/>
      <c r="J94" s="5"/>
      <c r="K94" s="5"/>
      <c r="L94" s="5"/>
    </row>
    <row r="95" customHeight="1" spans="1:12">
      <c r="A95" s="5"/>
      <c r="B95" s="5"/>
      <c r="C95" s="5"/>
      <c r="D95" s="5"/>
      <c r="E95" s="5"/>
      <c r="F95" s="5"/>
      <c r="H95" s="5"/>
      <c r="I95" s="5"/>
      <c r="J95" s="5"/>
      <c r="K95" s="5"/>
      <c r="L95" s="5"/>
    </row>
    <row r="96" customHeight="1" spans="1:12">
      <c r="A96" s="5"/>
      <c r="B96" s="5"/>
      <c r="C96" s="5"/>
      <c r="D96" s="5"/>
      <c r="E96" s="5"/>
      <c r="F96" s="5"/>
      <c r="H96" s="5"/>
      <c r="I96" s="5"/>
      <c r="J96" s="5"/>
      <c r="K96" s="5"/>
      <c r="L96" s="5"/>
    </row>
    <row r="97" customHeight="1" spans="1:12">
      <c r="A97" s="5"/>
      <c r="B97" s="5"/>
      <c r="C97" s="5"/>
      <c r="D97" s="5"/>
      <c r="E97" s="5"/>
      <c r="F97" s="5"/>
      <c r="H97" s="5"/>
      <c r="I97" s="5"/>
      <c r="J97" s="5"/>
      <c r="K97" s="5"/>
      <c r="L97" s="5"/>
    </row>
    <row r="98" customHeight="1" spans="1:12">
      <c r="A98" s="5"/>
      <c r="B98" s="5"/>
      <c r="C98" s="5"/>
      <c r="D98" s="5"/>
      <c r="E98" s="5"/>
      <c r="F98" s="5"/>
      <c r="H98" s="5"/>
      <c r="I98" s="5"/>
      <c r="J98" s="5"/>
      <c r="K98" s="5"/>
      <c r="L98" s="5"/>
    </row>
    <row r="99" customHeight="1" spans="1:12">
      <c r="A99" s="5"/>
      <c r="B99" s="5"/>
      <c r="C99" s="5"/>
      <c r="D99" s="5"/>
      <c r="E99" s="5"/>
      <c r="F99" s="5"/>
      <c r="H99" s="5"/>
      <c r="I99" s="5"/>
      <c r="J99" s="5"/>
      <c r="K99" s="5"/>
      <c r="L99" s="5"/>
    </row>
    <row r="100" customHeight="1" spans="1:12">
      <c r="A100" s="5"/>
      <c r="B100" s="5"/>
      <c r="C100" s="5"/>
      <c r="D100" s="5"/>
      <c r="E100" s="5"/>
      <c r="F100" s="5"/>
      <c r="H100" s="5"/>
      <c r="I100" s="5"/>
      <c r="J100" s="5"/>
      <c r="K100" s="5"/>
      <c r="L100" s="5"/>
    </row>
    <row r="101" customHeight="1" spans="1:12">
      <c r="A101" s="5"/>
      <c r="B101" s="5"/>
      <c r="C101" s="5"/>
      <c r="D101" s="5"/>
      <c r="E101" s="5"/>
      <c r="F101" s="5"/>
      <c r="H101" s="5"/>
      <c r="I101" s="5"/>
      <c r="J101" s="5"/>
      <c r="K101" s="5"/>
      <c r="L101" s="5"/>
    </row>
    <row r="102" customHeight="1" spans="1:12">
      <c r="A102" s="5"/>
      <c r="B102" s="5"/>
      <c r="C102" s="5"/>
      <c r="D102" s="5"/>
      <c r="E102" s="5"/>
      <c r="F102" s="5"/>
      <c r="H102" s="5"/>
      <c r="I102" s="5"/>
      <c r="J102" s="5"/>
      <c r="K102" s="5"/>
      <c r="L102" s="5"/>
    </row>
    <row r="103" customHeight="1" spans="1:12">
      <c r="A103" s="5"/>
      <c r="B103" s="5"/>
      <c r="C103" s="5"/>
      <c r="D103" s="5"/>
      <c r="E103" s="5"/>
      <c r="F103" s="5"/>
      <c r="H103" s="5"/>
      <c r="I103" s="5"/>
      <c r="J103" s="5"/>
      <c r="K103" s="5"/>
      <c r="L103" s="5"/>
    </row>
    <row r="104" customHeight="1" spans="1:12">
      <c r="A104" s="5"/>
      <c r="B104" s="5"/>
      <c r="C104" s="5"/>
      <c r="D104" s="5"/>
      <c r="E104" s="5"/>
      <c r="F104" s="5"/>
      <c r="H104" s="5"/>
      <c r="I104" s="5"/>
      <c r="J104" s="5"/>
      <c r="K104" s="5"/>
      <c r="L104" s="5"/>
    </row>
    <row r="105" customHeight="1" spans="1:12">
      <c r="A105" s="5"/>
      <c r="B105" s="5"/>
      <c r="C105" s="5"/>
      <c r="D105" s="5"/>
      <c r="E105" s="5"/>
      <c r="F105" s="5"/>
      <c r="H105" s="5"/>
      <c r="I105" s="5"/>
      <c r="J105" s="5"/>
      <c r="K105" s="5"/>
      <c r="L105" s="5"/>
    </row>
    <row r="106" customHeight="1" spans="1:12">
      <c r="A106" s="5"/>
      <c r="B106" s="5"/>
      <c r="C106" s="5"/>
      <c r="D106" s="5"/>
      <c r="E106" s="5"/>
      <c r="F106" s="5"/>
      <c r="H106" s="5"/>
      <c r="I106" s="5"/>
      <c r="J106" s="5"/>
      <c r="K106" s="5"/>
      <c r="L106" s="5"/>
    </row>
    <row r="107" customHeight="1" spans="1:12">
      <c r="A107" s="5"/>
      <c r="B107" s="5"/>
      <c r="C107" s="5"/>
      <c r="D107" s="5"/>
      <c r="E107" s="5"/>
      <c r="F107" s="5"/>
      <c r="H107" s="5"/>
      <c r="I107" s="5"/>
      <c r="J107" s="5"/>
      <c r="K107" s="5"/>
      <c r="L107" s="5"/>
    </row>
    <row r="108" customHeight="1" spans="1:12">
      <c r="A108" s="5"/>
      <c r="B108" s="5"/>
      <c r="C108" s="5"/>
      <c r="D108" s="5"/>
      <c r="E108" s="5"/>
      <c r="F108" s="5"/>
      <c r="H108" s="5"/>
      <c r="I108" s="5"/>
      <c r="J108" s="5"/>
      <c r="K108" s="5"/>
      <c r="L108" s="5"/>
    </row>
    <row r="109" customHeight="1" spans="1:12">
      <c r="A109" s="5"/>
      <c r="B109" s="5"/>
      <c r="C109" s="5"/>
      <c r="D109" s="5"/>
      <c r="E109" s="5"/>
      <c r="F109" s="5"/>
      <c r="H109" s="5"/>
      <c r="I109" s="5"/>
      <c r="J109" s="5"/>
      <c r="K109" s="5"/>
      <c r="L109" s="5"/>
    </row>
    <row r="110" customHeight="1" spans="1:12">
      <c r="A110" s="5"/>
      <c r="B110" s="5"/>
      <c r="C110" s="5"/>
      <c r="D110" s="5"/>
      <c r="E110" s="5"/>
      <c r="F110" s="5"/>
      <c r="H110" s="5"/>
      <c r="I110" s="5"/>
      <c r="J110" s="5"/>
      <c r="K110" s="5"/>
      <c r="L110" s="5"/>
    </row>
    <row r="111" customHeight="1" spans="1:12">
      <c r="A111" s="5"/>
      <c r="B111" s="5"/>
      <c r="C111" s="5"/>
      <c r="D111" s="5"/>
      <c r="E111" s="5"/>
      <c r="F111" s="5"/>
      <c r="H111" s="5"/>
      <c r="I111" s="5"/>
      <c r="J111" s="5"/>
      <c r="K111" s="5"/>
      <c r="L111" s="5"/>
    </row>
    <row r="112" customHeight="1" spans="1:12">
      <c r="A112" s="5"/>
      <c r="B112" s="5"/>
      <c r="C112" s="5"/>
      <c r="D112" s="5"/>
      <c r="E112" s="5"/>
      <c r="F112" s="5"/>
      <c r="H112" s="5"/>
      <c r="I112" s="5"/>
      <c r="J112" s="5"/>
      <c r="K112" s="5"/>
      <c r="L112" s="5"/>
    </row>
    <row r="113" customHeight="1" spans="1:12">
      <c r="A113" s="5"/>
      <c r="B113" s="5"/>
      <c r="C113" s="5"/>
      <c r="D113" s="5"/>
      <c r="E113" s="5"/>
      <c r="F113" s="5"/>
      <c r="H113" s="5"/>
      <c r="I113" s="5"/>
      <c r="J113" s="5"/>
      <c r="K113" s="5"/>
      <c r="L113" s="5"/>
    </row>
    <row r="114" customHeight="1" spans="1:12">
      <c r="A114" s="5"/>
      <c r="B114" s="5"/>
      <c r="C114" s="5"/>
      <c r="D114" s="5"/>
      <c r="E114" s="5"/>
      <c r="F114" s="5"/>
      <c r="H114" s="5"/>
      <c r="I114" s="5"/>
      <c r="J114" s="5"/>
      <c r="K114" s="5"/>
      <c r="L114" s="5"/>
    </row>
    <row r="115" customHeight="1" spans="1:12">
      <c r="A115" s="5"/>
      <c r="B115" s="5"/>
      <c r="C115" s="5"/>
      <c r="D115" s="5"/>
      <c r="E115" s="5"/>
      <c r="F115" s="5"/>
      <c r="H115" s="5"/>
      <c r="I115" s="5"/>
      <c r="J115" s="5"/>
      <c r="K115" s="5"/>
      <c r="L115" s="5"/>
    </row>
    <row r="116" customHeight="1" spans="1:12">
      <c r="A116" s="5"/>
      <c r="B116" s="5"/>
      <c r="C116" s="5"/>
      <c r="D116" s="5"/>
      <c r="E116" s="5"/>
      <c r="F116" s="5"/>
      <c r="H116" s="5"/>
      <c r="I116" s="5"/>
      <c r="J116" s="5"/>
      <c r="K116" s="5"/>
      <c r="L116" s="5"/>
    </row>
    <row r="117" customHeight="1" spans="1:12">
      <c r="A117" s="5"/>
      <c r="B117" s="5"/>
      <c r="C117" s="5"/>
      <c r="D117" s="5"/>
      <c r="E117" s="5"/>
      <c r="F117" s="5"/>
      <c r="H117" s="5"/>
      <c r="I117" s="5"/>
      <c r="J117" s="5"/>
      <c r="K117" s="5"/>
      <c r="L117" s="5"/>
    </row>
    <row r="118" customHeight="1" spans="1:12">
      <c r="A118" s="5"/>
      <c r="B118" s="5"/>
      <c r="C118" s="5"/>
      <c r="D118" s="5"/>
      <c r="E118" s="5"/>
      <c r="F118" s="5"/>
      <c r="H118" s="5"/>
      <c r="I118" s="5"/>
      <c r="J118" s="5"/>
      <c r="K118" s="5"/>
      <c r="L118" s="5"/>
    </row>
    <row r="119" customHeight="1" spans="1:12">
      <c r="A119" s="5"/>
      <c r="B119" s="5"/>
      <c r="C119" s="5"/>
      <c r="D119" s="5"/>
      <c r="E119" s="5"/>
      <c r="F119" s="5"/>
      <c r="H119" s="5"/>
      <c r="I119" s="5"/>
      <c r="J119" s="5"/>
      <c r="K119" s="5"/>
      <c r="L119" s="5"/>
    </row>
    <row r="120" customHeight="1" spans="1:12">
      <c r="A120" s="5"/>
      <c r="B120" s="5"/>
      <c r="C120" s="5"/>
      <c r="D120" s="5"/>
      <c r="E120" s="5"/>
      <c r="F120" s="5"/>
      <c r="H120" s="5"/>
      <c r="I120" s="5"/>
      <c r="J120" s="5"/>
      <c r="K120" s="5"/>
      <c r="L120" s="5"/>
    </row>
    <row r="121" customHeight="1" spans="1:12">
      <c r="A121" s="5"/>
      <c r="B121" s="5"/>
      <c r="C121" s="5"/>
      <c r="D121" s="5"/>
      <c r="E121" s="5"/>
      <c r="F121" s="5"/>
      <c r="H121" s="5"/>
      <c r="I121" s="5"/>
      <c r="J121" s="5"/>
      <c r="K121" s="5"/>
      <c r="L121" s="5"/>
    </row>
    <row r="122" customHeight="1" spans="1:12">
      <c r="A122" s="5"/>
      <c r="B122" s="5"/>
      <c r="C122" s="5"/>
      <c r="D122" s="5"/>
      <c r="E122" s="5"/>
      <c r="F122" s="5"/>
      <c r="H122" s="5"/>
      <c r="I122" s="5"/>
      <c r="J122" s="5"/>
      <c r="K122" s="5"/>
      <c r="L122" s="5"/>
    </row>
    <row r="123" customHeight="1" spans="1:12">
      <c r="A123" s="5"/>
      <c r="B123" s="5"/>
      <c r="C123" s="5"/>
      <c r="D123" s="5"/>
      <c r="E123" s="5"/>
      <c r="F123" s="5"/>
      <c r="H123" s="5"/>
      <c r="I123" s="5"/>
      <c r="J123" s="5"/>
      <c r="K123" s="5"/>
      <c r="L123" s="5"/>
    </row>
    <row r="124" customHeight="1" spans="1:12">
      <c r="A124" s="5"/>
      <c r="B124" s="5"/>
      <c r="C124" s="5"/>
      <c r="D124" s="5"/>
      <c r="E124" s="5"/>
      <c r="F124" s="5"/>
      <c r="H124" s="5"/>
      <c r="I124" s="5"/>
      <c r="J124" s="5"/>
      <c r="K124" s="5"/>
      <c r="L124" s="5"/>
    </row>
    <row r="125" customHeight="1" spans="1:12">
      <c r="A125" s="5"/>
      <c r="B125" s="5"/>
      <c r="C125" s="5"/>
      <c r="D125" s="5"/>
      <c r="E125" s="5"/>
      <c r="F125" s="5"/>
      <c r="H125" s="5"/>
      <c r="I125" s="5"/>
      <c r="J125" s="5"/>
      <c r="K125" s="5"/>
      <c r="L125" s="5"/>
    </row>
    <row r="126" customHeight="1" spans="1:12">
      <c r="A126" s="5"/>
      <c r="B126" s="5"/>
      <c r="C126" s="5"/>
      <c r="D126" s="5"/>
      <c r="E126" s="5"/>
      <c r="F126" s="5"/>
      <c r="H126" s="5"/>
      <c r="I126" s="5"/>
      <c r="J126" s="5"/>
      <c r="K126" s="5"/>
      <c r="L126" s="5"/>
    </row>
    <row r="127" customHeight="1" spans="1:12">
      <c r="A127" s="5"/>
      <c r="B127" s="5"/>
      <c r="C127" s="5"/>
      <c r="D127" s="5"/>
      <c r="E127" s="5"/>
      <c r="F127" s="5"/>
      <c r="H127" s="5"/>
      <c r="I127" s="5"/>
      <c r="J127" s="5"/>
      <c r="K127" s="5"/>
      <c r="L127" s="5"/>
    </row>
    <row r="128" customHeight="1" spans="1:12">
      <c r="A128" s="5"/>
      <c r="B128" s="5"/>
      <c r="C128" s="5"/>
      <c r="D128" s="5"/>
      <c r="E128" s="5"/>
      <c r="F128" s="5"/>
      <c r="H128" s="5"/>
      <c r="I128" s="5"/>
      <c r="J128" s="5"/>
      <c r="K128" s="5"/>
      <c r="L128" s="5"/>
    </row>
    <row r="129" customHeight="1" spans="1:12">
      <c r="A129" s="5"/>
      <c r="B129" s="5"/>
      <c r="C129" s="5"/>
      <c r="D129" s="5"/>
      <c r="E129" s="5"/>
      <c r="F129" s="5"/>
      <c r="H129" s="5"/>
      <c r="I129" s="5"/>
      <c r="J129" s="5"/>
      <c r="K129" s="5"/>
      <c r="L129" s="5"/>
    </row>
    <row r="130" customHeight="1" spans="1:12">
      <c r="A130" s="5"/>
      <c r="B130" s="5"/>
      <c r="C130" s="5"/>
      <c r="D130" s="5"/>
      <c r="E130" s="5"/>
      <c r="F130" s="5"/>
      <c r="H130" s="5"/>
      <c r="I130" s="5"/>
      <c r="J130" s="5"/>
      <c r="K130" s="5"/>
      <c r="L130" s="5"/>
    </row>
    <row r="131" customHeight="1" spans="1:12">
      <c r="A131" s="5"/>
      <c r="B131" s="5"/>
      <c r="C131" s="5"/>
      <c r="D131" s="5"/>
      <c r="E131" s="5"/>
      <c r="F131" s="5"/>
      <c r="H131" s="5"/>
      <c r="I131" s="5"/>
      <c r="J131" s="5"/>
      <c r="K131" s="5"/>
      <c r="L131" s="5"/>
    </row>
    <row r="132" customHeight="1" spans="1:12">
      <c r="A132" s="5"/>
      <c r="B132" s="5"/>
      <c r="C132" s="5"/>
      <c r="D132" s="5"/>
      <c r="E132" s="5"/>
      <c r="F132" s="5"/>
      <c r="H132" s="5"/>
      <c r="I132" s="5"/>
      <c r="J132" s="5"/>
      <c r="K132" s="5"/>
      <c r="L132" s="5"/>
    </row>
    <row r="133" customHeight="1" spans="1:12">
      <c r="A133" s="5"/>
      <c r="B133" s="5"/>
      <c r="C133" s="5"/>
      <c r="D133" s="5"/>
      <c r="E133" s="5"/>
      <c r="F133" s="5"/>
      <c r="H133" s="5"/>
      <c r="I133" s="5"/>
      <c r="J133" s="5"/>
      <c r="K133" s="5"/>
      <c r="L133" s="5"/>
    </row>
    <row r="134" customHeight="1" spans="1:12">
      <c r="A134" s="5"/>
      <c r="B134" s="5"/>
      <c r="C134" s="5"/>
      <c r="D134" s="5"/>
      <c r="E134" s="5"/>
      <c r="F134" s="5"/>
      <c r="H134" s="5"/>
      <c r="I134" s="5"/>
      <c r="J134" s="5"/>
      <c r="K134" s="5"/>
      <c r="L134" s="5"/>
    </row>
    <row r="135" customHeight="1" spans="1:12">
      <c r="A135" s="5"/>
      <c r="B135" s="5"/>
      <c r="C135" s="5"/>
      <c r="D135" s="5"/>
      <c r="E135" s="5"/>
      <c r="F135" s="5"/>
      <c r="H135" s="5"/>
      <c r="I135" s="5"/>
      <c r="J135" s="5"/>
      <c r="K135" s="5"/>
      <c r="L135" s="5"/>
    </row>
    <row r="136" customHeight="1" spans="1:12">
      <c r="A136" s="5"/>
      <c r="B136" s="5"/>
      <c r="C136" s="5"/>
      <c r="D136" s="5"/>
      <c r="E136" s="5"/>
      <c r="F136" s="5"/>
      <c r="H136" s="5"/>
      <c r="I136" s="5"/>
      <c r="J136" s="5"/>
      <c r="K136" s="5"/>
      <c r="L136" s="5"/>
    </row>
    <row r="137" customHeight="1" spans="1:12">
      <c r="A137" s="5"/>
      <c r="B137" s="5"/>
      <c r="C137" s="5"/>
      <c r="D137" s="5"/>
      <c r="E137" s="5"/>
      <c r="F137" s="5"/>
      <c r="H137" s="5"/>
      <c r="I137" s="5"/>
      <c r="J137" s="5"/>
      <c r="K137" s="5"/>
      <c r="L137" s="5"/>
    </row>
    <row r="138" customHeight="1" spans="1:12">
      <c r="A138" s="5"/>
      <c r="B138" s="5"/>
      <c r="C138" s="5"/>
      <c r="D138" s="5"/>
      <c r="E138" s="5"/>
      <c r="F138" s="5"/>
      <c r="H138" s="5"/>
      <c r="I138" s="5"/>
      <c r="J138" s="5"/>
      <c r="K138" s="5"/>
      <c r="L138" s="5"/>
    </row>
    <row r="139" customHeight="1" spans="1:12">
      <c r="A139" s="5"/>
      <c r="B139" s="5"/>
      <c r="C139" s="5"/>
      <c r="D139" s="5"/>
      <c r="E139" s="5"/>
      <c r="F139" s="5"/>
      <c r="H139" s="5"/>
      <c r="I139" s="5"/>
      <c r="J139" s="5"/>
      <c r="K139" s="5"/>
      <c r="L139" s="5"/>
    </row>
    <row r="140" customHeight="1" spans="1:12">
      <c r="A140" s="5"/>
      <c r="B140" s="5"/>
      <c r="C140" s="5"/>
      <c r="D140" s="5"/>
      <c r="E140" s="5"/>
      <c r="F140" s="5"/>
      <c r="H140" s="5"/>
      <c r="I140" s="5"/>
      <c r="J140" s="5"/>
      <c r="K140" s="5"/>
      <c r="L140" s="5"/>
    </row>
    <row r="141" customHeight="1" spans="1:12">
      <c r="A141" s="5"/>
      <c r="B141" s="5"/>
      <c r="C141" s="5"/>
      <c r="D141" s="5"/>
      <c r="E141" s="5"/>
      <c r="F141" s="5"/>
      <c r="H141" s="5"/>
      <c r="I141" s="5"/>
      <c r="J141" s="5"/>
      <c r="K141" s="5"/>
      <c r="L141" s="5"/>
    </row>
    <row r="142" customHeight="1" spans="1:12">
      <c r="A142" s="5"/>
      <c r="B142" s="5"/>
      <c r="C142" s="5"/>
      <c r="D142" s="5"/>
      <c r="E142" s="5"/>
      <c r="F142" s="5"/>
      <c r="H142" s="5"/>
      <c r="I142" s="5"/>
      <c r="J142" s="5"/>
      <c r="K142" s="5"/>
      <c r="L142" s="5"/>
    </row>
    <row r="143" customHeight="1" spans="1:12">
      <c r="A143" s="5"/>
      <c r="B143" s="5"/>
      <c r="C143" s="5"/>
      <c r="D143" s="5"/>
      <c r="E143" s="5"/>
      <c r="F143" s="5"/>
      <c r="H143" s="5"/>
      <c r="I143" s="5"/>
      <c r="J143" s="5"/>
      <c r="K143" s="5"/>
      <c r="L143" s="5"/>
    </row>
    <row r="144" customHeight="1" spans="1:12">
      <c r="A144" s="5"/>
      <c r="B144" s="5"/>
      <c r="C144" s="5"/>
      <c r="D144" s="5"/>
      <c r="E144" s="5"/>
      <c r="F144" s="5"/>
      <c r="H144" s="5"/>
      <c r="I144" s="5"/>
      <c r="J144" s="5"/>
      <c r="K144" s="5"/>
      <c r="L144" s="5"/>
    </row>
    <row r="145" customHeight="1" spans="1:12">
      <c r="A145" s="5"/>
      <c r="B145" s="5"/>
      <c r="C145" s="5"/>
      <c r="D145" s="5"/>
      <c r="E145" s="5"/>
      <c r="F145" s="5"/>
      <c r="H145" s="5"/>
      <c r="I145" s="5"/>
      <c r="J145" s="5"/>
      <c r="K145" s="5"/>
      <c r="L145" s="5"/>
    </row>
    <row r="146" customHeight="1" spans="1:12">
      <c r="A146" s="5"/>
      <c r="B146" s="5"/>
      <c r="C146" s="5"/>
      <c r="D146" s="5"/>
      <c r="E146" s="5"/>
      <c r="F146" s="5"/>
      <c r="H146" s="5"/>
      <c r="I146" s="5"/>
      <c r="J146" s="5"/>
      <c r="K146" s="5"/>
      <c r="L146" s="5"/>
    </row>
    <row r="147" customHeight="1" spans="1:12">
      <c r="A147" s="5"/>
      <c r="B147" s="5"/>
      <c r="C147" s="5"/>
      <c r="D147" s="5"/>
      <c r="E147" s="5"/>
      <c r="F147" s="5"/>
      <c r="H147" s="5"/>
      <c r="I147" s="5"/>
      <c r="J147" s="5"/>
      <c r="K147" s="5"/>
      <c r="L147" s="5"/>
    </row>
    <row r="148" customHeight="1" spans="1:12">
      <c r="A148" s="5"/>
      <c r="B148" s="5"/>
      <c r="C148" s="5"/>
      <c r="D148" s="5"/>
      <c r="E148" s="5"/>
      <c r="F148" s="5"/>
      <c r="H148" s="5"/>
      <c r="I148" s="5"/>
      <c r="J148" s="5"/>
      <c r="K148" s="5"/>
      <c r="L148" s="5"/>
    </row>
    <row r="149" customHeight="1" spans="1:12">
      <c r="A149" s="5"/>
      <c r="B149" s="5"/>
      <c r="C149" s="5"/>
      <c r="D149" s="5"/>
      <c r="E149" s="5"/>
      <c r="F149" s="5"/>
      <c r="H149" s="5"/>
      <c r="I149" s="5"/>
      <c r="J149" s="5"/>
      <c r="K149" s="5"/>
      <c r="L149" s="5"/>
    </row>
    <row r="150" customHeight="1" spans="1:12">
      <c r="A150" s="5"/>
      <c r="B150" s="5"/>
      <c r="C150" s="5"/>
      <c r="D150" s="5"/>
      <c r="E150" s="5"/>
      <c r="F150" s="5"/>
      <c r="H150" s="5"/>
      <c r="I150" s="5"/>
      <c r="J150" s="5"/>
      <c r="K150" s="5"/>
      <c r="L150" s="5"/>
    </row>
    <row r="151" customHeight="1" spans="1:12">
      <c r="A151" s="5"/>
      <c r="B151" s="5"/>
      <c r="C151" s="5"/>
      <c r="D151" s="5"/>
      <c r="E151" s="5"/>
      <c r="F151" s="5"/>
      <c r="H151" s="5"/>
      <c r="I151" s="5"/>
      <c r="J151" s="5"/>
      <c r="K151" s="5"/>
      <c r="L151" s="5"/>
    </row>
    <row r="152" customHeight="1" spans="1:12">
      <c r="A152" s="5"/>
      <c r="B152" s="5"/>
      <c r="C152" s="5"/>
      <c r="D152" s="5"/>
      <c r="E152" s="5"/>
      <c r="F152" s="5"/>
      <c r="H152" s="5"/>
      <c r="I152" s="5"/>
      <c r="J152" s="5"/>
      <c r="K152" s="5"/>
      <c r="L152" s="5"/>
    </row>
    <row r="153" customHeight="1" spans="1:12">
      <c r="A153" s="5"/>
      <c r="B153" s="5"/>
      <c r="C153" s="5"/>
      <c r="D153" s="5"/>
      <c r="E153" s="5"/>
      <c r="F153" s="5"/>
      <c r="H153" s="5"/>
      <c r="I153" s="5"/>
      <c r="J153" s="5"/>
      <c r="K153" s="5"/>
      <c r="L153" s="5"/>
    </row>
    <row r="154" customHeight="1" spans="1:12">
      <c r="A154" s="5"/>
      <c r="B154" s="5"/>
      <c r="C154" s="5"/>
      <c r="D154" s="5"/>
      <c r="E154" s="5"/>
      <c r="F154" s="5"/>
      <c r="H154" s="5"/>
      <c r="I154" s="5"/>
      <c r="J154" s="5"/>
      <c r="K154" s="5"/>
      <c r="L154" s="5"/>
    </row>
    <row r="155" customHeight="1" spans="1:12">
      <c r="A155" s="5"/>
      <c r="B155" s="5"/>
      <c r="C155" s="5"/>
      <c r="D155" s="5"/>
      <c r="E155" s="5"/>
      <c r="F155" s="5"/>
      <c r="H155" s="5"/>
      <c r="I155" s="5"/>
      <c r="J155" s="5"/>
      <c r="K155" s="5"/>
      <c r="L155" s="5"/>
    </row>
    <row r="156" customHeight="1" spans="1:12">
      <c r="A156" s="5"/>
      <c r="B156" s="5"/>
      <c r="C156" s="5"/>
      <c r="D156" s="5"/>
      <c r="E156" s="5"/>
      <c r="F156" s="5"/>
      <c r="H156" s="5"/>
      <c r="I156" s="5"/>
      <c r="J156" s="5"/>
      <c r="K156" s="5"/>
      <c r="L156" s="5"/>
    </row>
    <row r="157" customHeight="1" spans="1:12">
      <c r="A157" s="5"/>
      <c r="B157" s="5"/>
      <c r="C157" s="5"/>
      <c r="D157" s="5"/>
      <c r="E157" s="5"/>
      <c r="F157" s="5"/>
      <c r="H157" s="5"/>
      <c r="I157" s="5"/>
      <c r="J157" s="5"/>
      <c r="K157" s="5"/>
      <c r="L157" s="5"/>
    </row>
    <row r="158" customHeight="1" spans="1:12">
      <c r="A158" s="5"/>
      <c r="B158" s="5"/>
      <c r="C158" s="5"/>
      <c r="D158" s="5"/>
      <c r="E158" s="5"/>
      <c r="F158" s="5"/>
      <c r="H158" s="5"/>
      <c r="I158" s="5"/>
      <c r="J158" s="5"/>
      <c r="K158" s="5"/>
      <c r="L158" s="5"/>
    </row>
    <row r="159" customHeight="1" spans="1:12">
      <c r="A159" s="5"/>
      <c r="B159" s="5"/>
      <c r="C159" s="5"/>
      <c r="D159" s="5"/>
      <c r="E159" s="5"/>
      <c r="F159" s="5"/>
      <c r="H159" s="5"/>
      <c r="I159" s="5"/>
      <c r="J159" s="5"/>
      <c r="K159" s="5"/>
      <c r="L159" s="5"/>
    </row>
    <row r="160" customHeight="1" spans="1:12">
      <c r="A160" s="5"/>
      <c r="B160" s="5"/>
      <c r="C160" s="5"/>
      <c r="D160" s="5"/>
      <c r="E160" s="5"/>
      <c r="F160" s="5"/>
      <c r="H160" s="5"/>
      <c r="I160" s="5"/>
      <c r="J160" s="5"/>
      <c r="K160" s="5"/>
      <c r="L160" s="5"/>
    </row>
    <row r="161" customHeight="1" spans="1:12">
      <c r="A161" s="5"/>
      <c r="B161" s="5"/>
      <c r="C161" s="5"/>
      <c r="D161" s="5"/>
      <c r="E161" s="5"/>
      <c r="F161" s="5"/>
      <c r="H161" s="5"/>
      <c r="I161" s="5"/>
      <c r="J161" s="5"/>
      <c r="K161" s="5"/>
      <c r="L161" s="5"/>
    </row>
    <row r="162" customHeight="1" spans="1:12">
      <c r="A162" s="5"/>
      <c r="B162" s="5"/>
      <c r="C162" s="5"/>
      <c r="D162" s="5"/>
      <c r="E162" s="5"/>
      <c r="F162" s="5"/>
      <c r="H162" s="5"/>
      <c r="I162" s="5"/>
      <c r="J162" s="5"/>
      <c r="K162" s="5"/>
      <c r="L162" s="5"/>
    </row>
    <row r="163" customHeight="1" spans="1:12">
      <c r="A163" s="5"/>
      <c r="B163" s="5"/>
      <c r="C163" s="5"/>
      <c r="D163" s="5"/>
      <c r="E163" s="5"/>
      <c r="F163" s="5"/>
      <c r="H163" s="5"/>
      <c r="I163" s="5"/>
      <c r="J163" s="5"/>
      <c r="K163" s="5"/>
      <c r="L163" s="5"/>
    </row>
    <row r="164" customHeight="1" spans="1:12">
      <c r="A164" s="5"/>
      <c r="B164" s="5"/>
      <c r="C164" s="5"/>
      <c r="D164" s="5"/>
      <c r="E164" s="5"/>
      <c r="F164" s="5"/>
      <c r="H164" s="5"/>
      <c r="I164" s="5"/>
      <c r="J164" s="5"/>
      <c r="K164" s="5"/>
      <c r="L164" s="5"/>
    </row>
    <row r="165" customHeight="1" spans="1:12">
      <c r="A165" s="5"/>
      <c r="B165" s="5"/>
      <c r="C165" s="5"/>
      <c r="D165" s="5"/>
      <c r="E165" s="5"/>
      <c r="F165" s="5"/>
      <c r="H165" s="5"/>
      <c r="I165" s="5"/>
      <c r="J165" s="5"/>
      <c r="K165" s="5"/>
      <c r="L165" s="5"/>
    </row>
    <row r="166" customHeight="1" spans="1:12">
      <c r="A166" s="5"/>
      <c r="B166" s="5"/>
      <c r="C166" s="5"/>
      <c r="D166" s="5"/>
      <c r="E166" s="5"/>
      <c r="F166" s="5"/>
      <c r="H166" s="5"/>
      <c r="I166" s="5"/>
      <c r="J166" s="5"/>
      <c r="K166" s="5"/>
      <c r="L166" s="5"/>
    </row>
    <row r="167" customHeight="1" spans="1:12">
      <c r="A167" s="5"/>
      <c r="B167" s="5"/>
      <c r="C167" s="5"/>
      <c r="D167" s="5"/>
      <c r="E167" s="5"/>
      <c r="F167" s="5"/>
      <c r="H167" s="5"/>
      <c r="I167" s="5"/>
      <c r="J167" s="5"/>
      <c r="K167" s="5"/>
      <c r="L167" s="5"/>
    </row>
    <row r="168" customHeight="1" spans="1:12">
      <c r="A168" s="5"/>
      <c r="B168" s="5"/>
      <c r="C168" s="5"/>
      <c r="D168" s="5"/>
      <c r="E168" s="5"/>
      <c r="F168" s="5"/>
      <c r="H168" s="5"/>
      <c r="I168" s="5"/>
      <c r="J168" s="5"/>
      <c r="K168" s="5"/>
      <c r="L168" s="5"/>
    </row>
    <row r="169" customHeight="1" spans="1:12">
      <c r="A169" s="5"/>
      <c r="B169" s="5"/>
      <c r="C169" s="5"/>
      <c r="D169" s="5"/>
      <c r="E169" s="5"/>
      <c r="F169" s="5"/>
      <c r="H169" s="5"/>
      <c r="I169" s="5"/>
      <c r="J169" s="5"/>
      <c r="K169" s="5"/>
      <c r="L169" s="5"/>
    </row>
    <row r="170" customHeight="1" spans="1:12">
      <c r="A170" s="5"/>
      <c r="B170" s="5"/>
      <c r="C170" s="5"/>
      <c r="D170" s="5"/>
      <c r="E170" s="5"/>
      <c r="F170" s="5"/>
      <c r="H170" s="5"/>
      <c r="I170" s="5"/>
      <c r="J170" s="5"/>
      <c r="K170" s="5"/>
      <c r="L170" s="5"/>
    </row>
    <row r="171" customHeight="1" spans="1:12">
      <c r="A171" s="5"/>
      <c r="B171" s="5"/>
      <c r="C171" s="5"/>
      <c r="D171" s="5"/>
      <c r="E171" s="5"/>
      <c r="F171" s="5"/>
      <c r="H171" s="5"/>
      <c r="I171" s="5"/>
      <c r="J171" s="5"/>
      <c r="K171" s="5"/>
      <c r="L171" s="5"/>
    </row>
    <row r="172" customHeight="1" spans="1:12">
      <c r="A172" s="5"/>
      <c r="B172" s="5"/>
      <c r="C172" s="5"/>
      <c r="D172" s="5"/>
      <c r="E172" s="5"/>
      <c r="F172" s="5"/>
      <c r="H172" s="5"/>
      <c r="I172" s="5"/>
      <c r="J172" s="5"/>
      <c r="K172" s="5"/>
      <c r="L172" s="5"/>
    </row>
    <row r="173" customHeight="1" spans="1:12">
      <c r="A173" s="5"/>
      <c r="B173" s="5"/>
      <c r="C173" s="5"/>
      <c r="D173" s="5"/>
      <c r="E173" s="5"/>
      <c r="F173" s="5"/>
      <c r="H173" s="5"/>
      <c r="I173" s="5"/>
      <c r="J173" s="5"/>
      <c r="K173" s="5"/>
      <c r="L173" s="5"/>
    </row>
    <row r="174" customHeight="1" spans="1:12">
      <c r="A174" s="5"/>
      <c r="B174" s="5"/>
      <c r="C174" s="5"/>
      <c r="D174" s="5"/>
      <c r="E174" s="5"/>
      <c r="F174" s="5"/>
      <c r="H174" s="5"/>
      <c r="I174" s="5"/>
      <c r="J174" s="5"/>
      <c r="K174" s="5"/>
      <c r="L174" s="5"/>
    </row>
    <row r="175" customHeight="1" spans="1:12">
      <c r="A175" s="5"/>
      <c r="B175" s="5"/>
      <c r="C175" s="5"/>
      <c r="D175" s="5"/>
      <c r="E175" s="5"/>
      <c r="F175" s="5"/>
      <c r="H175" s="5"/>
      <c r="I175" s="5"/>
      <c r="J175" s="5"/>
      <c r="K175" s="5"/>
      <c r="L175" s="5"/>
    </row>
    <row r="176" customHeight="1" spans="1:12">
      <c r="A176" s="5"/>
      <c r="B176" s="5"/>
      <c r="C176" s="5"/>
      <c r="D176" s="5"/>
      <c r="E176" s="5"/>
      <c r="F176" s="5"/>
      <c r="H176" s="5"/>
      <c r="I176" s="5"/>
      <c r="J176" s="5"/>
      <c r="K176" s="5"/>
      <c r="L176" s="5"/>
    </row>
    <row r="177" customHeight="1" spans="1:12">
      <c r="A177" s="5"/>
      <c r="B177" s="5"/>
      <c r="C177" s="5"/>
      <c r="D177" s="5"/>
      <c r="E177" s="5"/>
      <c r="F177" s="5"/>
      <c r="H177" s="5"/>
      <c r="I177" s="5"/>
      <c r="J177" s="5"/>
      <c r="K177" s="5"/>
      <c r="L177" s="5"/>
    </row>
    <row r="178" customHeight="1" spans="1:12">
      <c r="A178" s="5"/>
      <c r="B178" s="5"/>
      <c r="C178" s="5"/>
      <c r="D178" s="5"/>
      <c r="E178" s="5"/>
      <c r="F178" s="5"/>
      <c r="H178" s="5"/>
      <c r="I178" s="5"/>
      <c r="J178" s="5"/>
      <c r="K178" s="5"/>
      <c r="L178" s="5"/>
    </row>
    <row r="179" customHeight="1" spans="1:12">
      <c r="A179" s="5"/>
      <c r="B179" s="5"/>
      <c r="C179" s="5"/>
      <c r="D179" s="5"/>
      <c r="E179" s="5"/>
      <c r="F179" s="5"/>
      <c r="H179" s="5"/>
      <c r="I179" s="5"/>
      <c r="J179" s="5"/>
      <c r="K179" s="5"/>
      <c r="L179" s="5"/>
    </row>
    <row r="180" customHeight="1" spans="1:12">
      <c r="A180" s="5"/>
      <c r="B180" s="5"/>
      <c r="C180" s="5"/>
      <c r="D180" s="5"/>
      <c r="E180" s="5"/>
      <c r="F180" s="5"/>
      <c r="H180" s="5"/>
      <c r="I180" s="5"/>
      <c r="J180" s="5"/>
      <c r="K180" s="5"/>
      <c r="L180" s="5"/>
    </row>
    <row r="181" customHeight="1" spans="1:12">
      <c r="A181" s="5"/>
      <c r="B181" s="5"/>
      <c r="C181" s="5"/>
      <c r="D181" s="5"/>
      <c r="E181" s="5"/>
      <c r="F181" s="5"/>
      <c r="H181" s="5"/>
      <c r="I181" s="5"/>
      <c r="J181" s="5"/>
      <c r="K181" s="5"/>
      <c r="L181" s="5"/>
    </row>
    <row r="182" customHeight="1" spans="1:12">
      <c r="A182" s="5"/>
      <c r="B182" s="5"/>
      <c r="C182" s="5"/>
      <c r="D182" s="5"/>
      <c r="E182" s="5"/>
      <c r="F182" s="5"/>
      <c r="H182" s="5"/>
      <c r="I182" s="5"/>
      <c r="J182" s="5"/>
      <c r="K182" s="5"/>
      <c r="L182" s="5"/>
    </row>
    <row r="183" customHeight="1" spans="1:12">
      <c r="A183" s="5"/>
      <c r="B183" s="5"/>
      <c r="C183" s="5"/>
      <c r="D183" s="5"/>
      <c r="E183" s="5"/>
      <c r="F183" s="5"/>
      <c r="H183" s="5"/>
      <c r="I183" s="5"/>
      <c r="J183" s="5"/>
      <c r="K183" s="5"/>
      <c r="L183" s="5"/>
    </row>
    <row r="184" customHeight="1" spans="1:12">
      <c r="A184" s="5"/>
      <c r="B184" s="5"/>
      <c r="C184" s="5"/>
      <c r="D184" s="5"/>
      <c r="E184" s="5"/>
      <c r="F184" s="5"/>
      <c r="H184" s="5"/>
      <c r="I184" s="5"/>
      <c r="J184" s="5"/>
      <c r="K184" s="5"/>
      <c r="L184" s="5"/>
    </row>
    <row r="185" customHeight="1" spans="1:12">
      <c r="A185" s="5"/>
      <c r="B185" s="5"/>
      <c r="C185" s="5"/>
      <c r="D185" s="5"/>
      <c r="E185" s="5"/>
      <c r="F185" s="5"/>
      <c r="H185" s="5"/>
      <c r="I185" s="5"/>
      <c r="J185" s="5"/>
      <c r="K185" s="5"/>
      <c r="L185" s="5"/>
    </row>
    <row r="186" customHeight="1" spans="1:12">
      <c r="A186" s="5"/>
      <c r="B186" s="5"/>
      <c r="C186" s="5"/>
      <c r="D186" s="5"/>
      <c r="E186" s="5"/>
      <c r="F186" s="5"/>
      <c r="H186" s="5"/>
      <c r="I186" s="5"/>
      <c r="J186" s="5"/>
      <c r="K186" s="5"/>
      <c r="L186" s="5"/>
    </row>
    <row r="187" customHeight="1" spans="1:12">
      <c r="A187" s="5"/>
      <c r="B187" s="5"/>
      <c r="C187" s="5"/>
      <c r="D187" s="5"/>
      <c r="E187" s="5"/>
      <c r="F187" s="5"/>
      <c r="H187" s="5"/>
      <c r="I187" s="5"/>
      <c r="J187" s="5"/>
      <c r="K187" s="5"/>
      <c r="L187" s="5"/>
    </row>
    <row r="188" customHeight="1" spans="1:12">
      <c r="A188" s="5"/>
      <c r="B188" s="5"/>
      <c r="C188" s="5"/>
      <c r="D188" s="5"/>
      <c r="E188" s="5"/>
      <c r="F188" s="5"/>
      <c r="H188" s="5"/>
      <c r="I188" s="5"/>
      <c r="J188" s="5"/>
      <c r="K188" s="5"/>
      <c r="L188" s="5"/>
    </row>
    <row r="189" customHeight="1" spans="1:12">
      <c r="A189" s="5"/>
      <c r="B189" s="5"/>
      <c r="C189" s="5"/>
      <c r="D189" s="5"/>
      <c r="E189" s="5"/>
      <c r="F189" s="5"/>
      <c r="H189" s="5"/>
      <c r="I189" s="5"/>
      <c r="J189" s="5"/>
      <c r="K189" s="5"/>
      <c r="L189" s="5"/>
    </row>
    <row r="190" customHeight="1" spans="1:12">
      <c r="A190" s="5"/>
      <c r="B190" s="5"/>
      <c r="C190" s="5"/>
      <c r="D190" s="5"/>
      <c r="E190" s="5"/>
      <c r="F190" s="5"/>
      <c r="H190" s="5"/>
      <c r="I190" s="5"/>
      <c r="J190" s="5"/>
      <c r="K190" s="5"/>
      <c r="L190" s="5"/>
    </row>
    <row r="191" customHeight="1" spans="1:12">
      <c r="A191" s="5"/>
      <c r="B191" s="5"/>
      <c r="C191" s="5"/>
      <c r="D191" s="5"/>
      <c r="E191" s="5"/>
      <c r="F191" s="5"/>
      <c r="H191" s="5"/>
      <c r="I191" s="5"/>
      <c r="J191" s="5"/>
      <c r="K191" s="5"/>
      <c r="L191" s="5"/>
    </row>
    <row r="192" customHeight="1" spans="1:12">
      <c r="A192" s="5"/>
      <c r="B192" s="5"/>
      <c r="C192" s="5"/>
      <c r="D192" s="5"/>
      <c r="E192" s="5"/>
      <c r="F192" s="5"/>
      <c r="H192" s="5"/>
      <c r="I192" s="5"/>
      <c r="J192" s="5"/>
      <c r="K192" s="5"/>
      <c r="L192" s="5"/>
    </row>
    <row r="193" customHeight="1" spans="1:12">
      <c r="A193" s="5"/>
      <c r="B193" s="5"/>
      <c r="C193" s="5"/>
      <c r="D193" s="5"/>
      <c r="E193" s="5"/>
      <c r="F193" s="5"/>
      <c r="H193" s="5"/>
      <c r="I193" s="5"/>
      <c r="J193" s="5"/>
      <c r="K193" s="5"/>
      <c r="L193" s="5"/>
    </row>
    <row r="194" customHeight="1" spans="1:12">
      <c r="A194" s="5"/>
      <c r="B194" s="5"/>
      <c r="C194" s="5"/>
      <c r="D194" s="5"/>
      <c r="E194" s="5"/>
      <c r="F194" s="5"/>
      <c r="H194" s="5"/>
      <c r="I194" s="5"/>
      <c r="J194" s="5"/>
      <c r="K194" s="5"/>
      <c r="L194" s="5"/>
    </row>
    <row r="195" customHeight="1" spans="1:12">
      <c r="A195" s="5"/>
      <c r="B195" s="5"/>
      <c r="C195" s="5"/>
      <c r="D195" s="5"/>
      <c r="E195" s="5"/>
      <c r="F195" s="5"/>
      <c r="H195" s="5"/>
      <c r="I195" s="5"/>
      <c r="J195" s="5"/>
      <c r="K195" s="5"/>
      <c r="L195" s="5"/>
    </row>
    <row r="196" customHeight="1" spans="1:12">
      <c r="A196" s="5"/>
      <c r="B196" s="5"/>
      <c r="C196" s="5"/>
      <c r="D196" s="5"/>
      <c r="E196" s="5"/>
      <c r="F196" s="5"/>
      <c r="H196" s="5"/>
      <c r="I196" s="5"/>
      <c r="J196" s="5"/>
      <c r="K196" s="5"/>
      <c r="L196" s="5"/>
    </row>
    <row r="197" customHeight="1" spans="1:12">
      <c r="A197" s="5"/>
      <c r="B197" s="5"/>
      <c r="C197" s="5"/>
      <c r="D197" s="5"/>
      <c r="E197" s="5"/>
      <c r="F197" s="5"/>
      <c r="H197" s="5"/>
      <c r="I197" s="5"/>
      <c r="J197" s="5"/>
      <c r="K197" s="5"/>
      <c r="L197" s="5"/>
    </row>
    <row r="198" customHeight="1" spans="1:12">
      <c r="A198" s="5"/>
      <c r="B198" s="5"/>
      <c r="C198" s="5"/>
      <c r="D198" s="5"/>
      <c r="E198" s="5"/>
      <c r="F198" s="5"/>
      <c r="H198" s="5"/>
      <c r="I198" s="5"/>
      <c r="J198" s="5"/>
      <c r="K198" s="5"/>
      <c r="L198" s="5"/>
    </row>
    <row r="199" customHeight="1" spans="1:12">
      <c r="A199" s="5"/>
      <c r="B199" s="5"/>
      <c r="C199" s="5"/>
      <c r="D199" s="5"/>
      <c r="E199" s="5"/>
      <c r="F199" s="5"/>
      <c r="H199" s="5"/>
      <c r="I199" s="5"/>
      <c r="J199" s="5"/>
      <c r="K199" s="5"/>
      <c r="L199" s="5"/>
    </row>
    <row r="200" customHeight="1" spans="1:12">
      <c r="A200" s="5"/>
      <c r="B200" s="5"/>
      <c r="C200" s="5"/>
      <c r="D200" s="5"/>
      <c r="E200" s="5"/>
      <c r="F200" s="5"/>
      <c r="H200" s="5"/>
      <c r="I200" s="5"/>
      <c r="J200" s="5"/>
      <c r="K200" s="5"/>
      <c r="L200" s="5"/>
    </row>
    <row r="201" customHeight="1" spans="1:12">
      <c r="A201" s="5"/>
      <c r="B201" s="5"/>
      <c r="C201" s="5"/>
      <c r="D201" s="5"/>
      <c r="E201" s="5"/>
      <c r="F201" s="5"/>
      <c r="H201" s="5"/>
      <c r="I201" s="5"/>
      <c r="J201" s="5"/>
      <c r="K201" s="5"/>
      <c r="L201" s="5"/>
    </row>
    <row r="202" customHeight="1" spans="1:12">
      <c r="A202" s="5"/>
      <c r="B202" s="5"/>
      <c r="C202" s="5"/>
      <c r="D202" s="5"/>
      <c r="E202" s="5"/>
      <c r="F202" s="5"/>
      <c r="H202" s="5"/>
      <c r="I202" s="5"/>
      <c r="J202" s="5"/>
      <c r="K202" s="5"/>
      <c r="L202" s="5"/>
    </row>
    <row r="203" customHeight="1" spans="1:12">
      <c r="A203" s="5"/>
      <c r="B203" s="5"/>
      <c r="C203" s="5"/>
      <c r="D203" s="5"/>
      <c r="E203" s="5"/>
      <c r="F203" s="5"/>
      <c r="H203" s="5"/>
      <c r="I203" s="5"/>
      <c r="J203" s="5"/>
      <c r="K203" s="5"/>
      <c r="L203" s="5"/>
    </row>
    <row r="204" customHeight="1" spans="1:12">
      <c r="A204" s="5"/>
      <c r="B204" s="5"/>
      <c r="C204" s="5"/>
      <c r="D204" s="5"/>
      <c r="E204" s="5"/>
      <c r="F204" s="5"/>
      <c r="H204" s="5"/>
      <c r="I204" s="5"/>
      <c r="J204" s="5"/>
      <c r="K204" s="5"/>
      <c r="L204" s="5"/>
    </row>
    <row r="205" customHeight="1" spans="1:12">
      <c r="A205" s="5"/>
      <c r="B205" s="5"/>
      <c r="C205" s="5"/>
      <c r="D205" s="5"/>
      <c r="E205" s="5"/>
      <c r="F205" s="5"/>
      <c r="H205" s="5"/>
      <c r="I205" s="5"/>
      <c r="J205" s="5"/>
      <c r="K205" s="5"/>
      <c r="L205" s="5"/>
    </row>
    <row r="206" customHeight="1" spans="1:12">
      <c r="A206" s="5"/>
      <c r="B206" s="5"/>
      <c r="C206" s="5"/>
      <c r="D206" s="5"/>
      <c r="E206" s="5"/>
      <c r="F206" s="5"/>
      <c r="H206" s="5"/>
      <c r="I206" s="5"/>
      <c r="J206" s="5"/>
      <c r="K206" s="5"/>
      <c r="L206" s="5"/>
    </row>
    <row r="207" customHeight="1" spans="1:12">
      <c r="A207" s="5"/>
      <c r="B207" s="5"/>
      <c r="C207" s="5"/>
      <c r="D207" s="5"/>
      <c r="E207" s="5"/>
      <c r="F207" s="5"/>
      <c r="H207" s="5"/>
      <c r="I207" s="5"/>
      <c r="J207" s="5"/>
      <c r="K207" s="5"/>
      <c r="L207" s="5"/>
    </row>
    <row r="208" customHeight="1" spans="1:12">
      <c r="A208" s="5"/>
      <c r="B208" s="5"/>
      <c r="C208" s="5"/>
      <c r="D208" s="5"/>
      <c r="E208" s="5"/>
      <c r="F208" s="5"/>
      <c r="H208" s="5"/>
      <c r="I208" s="5"/>
      <c r="J208" s="5"/>
      <c r="K208" s="5"/>
      <c r="L208" s="5"/>
    </row>
    <row r="209" customHeight="1" spans="1:12">
      <c r="A209" s="5"/>
      <c r="B209" s="5"/>
      <c r="C209" s="5"/>
      <c r="D209" s="5"/>
      <c r="E209" s="5"/>
      <c r="F209" s="5"/>
      <c r="H209" s="5"/>
      <c r="I209" s="5"/>
      <c r="J209" s="5"/>
      <c r="K209" s="5"/>
      <c r="L209" s="5"/>
    </row>
    <row r="210" customHeight="1" spans="1:12">
      <c r="A210" s="5"/>
      <c r="B210" s="5"/>
      <c r="C210" s="5"/>
      <c r="D210" s="5"/>
      <c r="E210" s="5"/>
      <c r="F210" s="5"/>
      <c r="H210" s="5"/>
      <c r="I210" s="5"/>
      <c r="J210" s="5"/>
      <c r="K210" s="5"/>
      <c r="L210" s="5"/>
    </row>
    <row r="211" customHeight="1" spans="1:12">
      <c r="A211" s="5"/>
      <c r="B211" s="5"/>
      <c r="C211" s="5"/>
      <c r="D211" s="5"/>
      <c r="E211" s="5"/>
      <c r="F211" s="5"/>
      <c r="H211" s="5"/>
      <c r="I211" s="5"/>
      <c r="J211" s="5"/>
      <c r="K211" s="5"/>
      <c r="L211" s="5"/>
    </row>
    <row r="212" customHeight="1" spans="1:12">
      <c r="A212" s="5"/>
      <c r="B212" s="5"/>
      <c r="C212" s="5"/>
      <c r="D212" s="5"/>
      <c r="E212" s="5"/>
      <c r="F212" s="5"/>
      <c r="H212" s="5"/>
      <c r="I212" s="5"/>
      <c r="J212" s="5"/>
      <c r="K212" s="5"/>
      <c r="L212" s="5"/>
    </row>
    <row r="213" customHeight="1" spans="1:12">
      <c r="A213" s="5"/>
      <c r="B213" s="5"/>
      <c r="C213" s="5"/>
      <c r="D213" s="5"/>
      <c r="E213" s="5"/>
      <c r="F213" s="5"/>
      <c r="H213" s="5"/>
      <c r="I213" s="5"/>
      <c r="J213" s="5"/>
      <c r="K213" s="5"/>
      <c r="L213" s="5"/>
    </row>
    <row r="214" customHeight="1" spans="1:12">
      <c r="A214" s="5"/>
      <c r="B214" s="5"/>
      <c r="C214" s="5"/>
      <c r="D214" s="5"/>
      <c r="E214" s="5"/>
      <c r="F214" s="5"/>
      <c r="H214" s="5"/>
      <c r="I214" s="5"/>
      <c r="J214" s="5"/>
      <c r="K214" s="5"/>
      <c r="L214" s="5"/>
    </row>
    <row r="215" customHeight="1" spans="1:12">
      <c r="A215" s="5"/>
      <c r="B215" s="5"/>
      <c r="C215" s="5"/>
      <c r="D215" s="5"/>
      <c r="E215" s="5"/>
      <c r="F215" s="5"/>
      <c r="H215" s="5"/>
      <c r="I215" s="5"/>
      <c r="J215" s="5"/>
      <c r="K215" s="5"/>
      <c r="L215" s="5"/>
    </row>
    <row r="216" customHeight="1" spans="1:12">
      <c r="A216" s="5"/>
      <c r="B216" s="5"/>
      <c r="C216" s="5"/>
      <c r="D216" s="5"/>
      <c r="E216" s="5"/>
      <c r="F216" s="5"/>
      <c r="H216" s="5"/>
      <c r="I216" s="5"/>
      <c r="J216" s="5"/>
      <c r="K216" s="5"/>
      <c r="L216" s="5"/>
    </row>
    <row r="217" customHeight="1" spans="1:12">
      <c r="A217" s="5"/>
      <c r="B217" s="5"/>
      <c r="C217" s="5"/>
      <c r="D217" s="5"/>
      <c r="E217" s="5"/>
      <c r="F217" s="5"/>
      <c r="H217" s="5"/>
      <c r="I217" s="5"/>
      <c r="J217" s="5"/>
      <c r="K217" s="5"/>
      <c r="L217" s="5"/>
    </row>
    <row r="218" customHeight="1" spans="1:12">
      <c r="A218" s="5"/>
      <c r="B218" s="5"/>
      <c r="C218" s="5"/>
      <c r="D218" s="5"/>
      <c r="E218" s="5"/>
      <c r="F218" s="5"/>
      <c r="H218" s="5"/>
      <c r="I218" s="5"/>
      <c r="J218" s="5"/>
      <c r="K218" s="5"/>
      <c r="L218" s="5"/>
    </row>
    <row r="219" customHeight="1" spans="1:12">
      <c r="A219" s="5"/>
      <c r="B219" s="5"/>
      <c r="C219" s="5"/>
      <c r="D219" s="5"/>
      <c r="E219" s="5"/>
      <c r="F219" s="5"/>
      <c r="H219" s="5"/>
      <c r="I219" s="5"/>
      <c r="J219" s="5"/>
      <c r="K219" s="5"/>
      <c r="L219" s="5"/>
    </row>
    <row r="220" customHeight="1" spans="1:12">
      <c r="A220" s="5"/>
      <c r="B220" s="5"/>
      <c r="C220" s="5"/>
      <c r="D220" s="5"/>
      <c r="E220" s="5"/>
      <c r="F220" s="5"/>
      <c r="H220" s="5"/>
      <c r="I220" s="5"/>
      <c r="J220" s="5"/>
      <c r="K220" s="5"/>
      <c r="L220" s="5"/>
    </row>
    <row r="221" customHeight="1" spans="1:12">
      <c r="A221" s="5"/>
      <c r="B221" s="5"/>
      <c r="C221" s="5"/>
      <c r="D221" s="5"/>
      <c r="E221" s="5"/>
      <c r="F221" s="5"/>
      <c r="H221" s="5"/>
      <c r="I221" s="5"/>
      <c r="J221" s="5"/>
      <c r="K221" s="5"/>
      <c r="L221" s="5"/>
    </row>
    <row r="222" customHeight="1" spans="1:12">
      <c r="A222" s="5"/>
      <c r="B222" s="5"/>
      <c r="C222" s="5"/>
      <c r="D222" s="5"/>
      <c r="E222" s="5"/>
      <c r="F222" s="5"/>
      <c r="H222" s="5"/>
      <c r="I222" s="5"/>
      <c r="J222" s="5"/>
      <c r="K222" s="5"/>
      <c r="L222" s="5"/>
    </row>
    <row r="223" customHeight="1" spans="1:12">
      <c r="A223" s="5"/>
      <c r="B223" s="5"/>
      <c r="C223" s="5"/>
      <c r="D223" s="5"/>
      <c r="E223" s="5"/>
      <c r="F223" s="5"/>
      <c r="H223" s="5"/>
      <c r="I223" s="5"/>
      <c r="J223" s="5"/>
      <c r="K223" s="5"/>
      <c r="L223" s="5"/>
    </row>
    <row r="224" customHeight="1" spans="1:12">
      <c r="A224" s="5"/>
      <c r="B224" s="5"/>
      <c r="C224" s="5"/>
      <c r="D224" s="5"/>
      <c r="E224" s="5"/>
      <c r="F224" s="5"/>
      <c r="H224" s="5"/>
      <c r="I224" s="5"/>
      <c r="J224" s="5"/>
      <c r="K224" s="5"/>
      <c r="L224" s="5"/>
    </row>
    <row r="225" customHeight="1" spans="1:12">
      <c r="A225" s="5"/>
      <c r="B225" s="5"/>
      <c r="C225" s="5"/>
      <c r="D225" s="5"/>
      <c r="E225" s="5"/>
      <c r="F225" s="5"/>
      <c r="H225" s="5"/>
      <c r="I225" s="5"/>
      <c r="J225" s="5"/>
      <c r="K225" s="5"/>
      <c r="L225" s="5"/>
    </row>
    <row r="226" customHeight="1" spans="1:12">
      <c r="A226" s="5"/>
      <c r="B226" s="5"/>
      <c r="C226" s="5"/>
      <c r="D226" s="5"/>
      <c r="E226" s="5"/>
      <c r="F226" s="5"/>
      <c r="H226" s="5"/>
      <c r="I226" s="5"/>
      <c r="J226" s="5"/>
      <c r="K226" s="5"/>
      <c r="L226" s="5"/>
    </row>
    <row r="227" customHeight="1" spans="1:12">
      <c r="A227" s="5"/>
      <c r="B227" s="5"/>
      <c r="C227" s="5"/>
      <c r="D227" s="5"/>
      <c r="E227" s="5"/>
      <c r="F227" s="5"/>
      <c r="H227" s="5"/>
      <c r="I227" s="5"/>
      <c r="J227" s="5"/>
      <c r="K227" s="5"/>
      <c r="L227" s="5"/>
    </row>
    <row r="228" customHeight="1" spans="1:12">
      <c r="A228" s="5"/>
      <c r="B228" s="5"/>
      <c r="C228" s="5"/>
      <c r="D228" s="5"/>
      <c r="E228" s="5"/>
      <c r="F228" s="5"/>
      <c r="H228" s="5"/>
      <c r="I228" s="5"/>
      <c r="J228" s="5"/>
      <c r="K228" s="5"/>
      <c r="L228" s="5"/>
    </row>
    <row r="229" customHeight="1" spans="1:12">
      <c r="A229" s="5"/>
      <c r="B229" s="5"/>
      <c r="C229" s="5"/>
      <c r="D229" s="5"/>
      <c r="E229" s="5"/>
      <c r="F229" s="5"/>
      <c r="H229" s="5"/>
      <c r="I229" s="5"/>
      <c r="J229" s="5"/>
      <c r="K229" s="5"/>
      <c r="L229" s="5"/>
    </row>
    <row r="230" customHeight="1" spans="1:12">
      <c r="A230" s="5"/>
      <c r="B230" s="5"/>
      <c r="C230" s="5"/>
      <c r="D230" s="5"/>
      <c r="E230" s="5"/>
      <c r="F230" s="5"/>
      <c r="H230" s="5"/>
      <c r="I230" s="5"/>
      <c r="J230" s="5"/>
      <c r="K230" s="5"/>
      <c r="L230" s="5"/>
    </row>
    <row r="231" customHeight="1" spans="1:12">
      <c r="A231" s="5"/>
      <c r="B231" s="5"/>
      <c r="C231" s="5"/>
      <c r="D231" s="5"/>
      <c r="E231" s="5"/>
      <c r="F231" s="5"/>
      <c r="H231" s="5"/>
      <c r="I231" s="5"/>
      <c r="J231" s="5"/>
      <c r="K231" s="5"/>
      <c r="L231" s="5"/>
    </row>
    <row r="232" customHeight="1" spans="1:12">
      <c r="A232" s="5"/>
      <c r="B232" s="5"/>
      <c r="C232" s="5"/>
      <c r="D232" s="5"/>
      <c r="E232" s="5"/>
      <c r="F232" s="5"/>
      <c r="H232" s="5"/>
      <c r="I232" s="5"/>
      <c r="J232" s="5"/>
      <c r="K232" s="5"/>
      <c r="L232" s="5"/>
    </row>
    <row r="233" customHeight="1" spans="1:12">
      <c r="A233" s="5"/>
      <c r="B233" s="5"/>
      <c r="C233" s="5"/>
      <c r="D233" s="5"/>
      <c r="E233" s="5"/>
      <c r="F233" s="5"/>
      <c r="H233" s="5"/>
      <c r="I233" s="5"/>
      <c r="J233" s="5"/>
      <c r="K233" s="5"/>
      <c r="L233" s="5"/>
    </row>
    <row r="234" customHeight="1" spans="1:12">
      <c r="A234" s="5"/>
      <c r="B234" s="5"/>
      <c r="C234" s="5"/>
      <c r="D234" s="5"/>
      <c r="E234" s="5"/>
      <c r="F234" s="5"/>
      <c r="H234" s="5"/>
      <c r="I234" s="5"/>
      <c r="J234" s="5"/>
      <c r="K234" s="5"/>
      <c r="L234" s="5"/>
    </row>
    <row r="235" customHeight="1" spans="1:12">
      <c r="A235" s="5"/>
      <c r="B235" s="5"/>
      <c r="C235" s="5"/>
      <c r="D235" s="5"/>
      <c r="E235" s="5"/>
      <c r="F235" s="5"/>
      <c r="H235" s="5"/>
      <c r="I235" s="5"/>
      <c r="J235" s="5"/>
      <c r="K235" s="5"/>
      <c r="L235" s="5"/>
    </row>
    <row r="236" customHeight="1" spans="1:12">
      <c r="A236" s="5"/>
      <c r="B236" s="5"/>
      <c r="C236" s="5"/>
      <c r="D236" s="5"/>
      <c r="E236" s="5"/>
      <c r="F236" s="5"/>
      <c r="H236" s="5"/>
      <c r="I236" s="5"/>
      <c r="J236" s="5"/>
      <c r="K236" s="5"/>
      <c r="L236" s="5"/>
    </row>
    <row r="237" customHeight="1" spans="1:12">
      <c r="A237" s="5"/>
      <c r="B237" s="5"/>
      <c r="C237" s="5"/>
      <c r="D237" s="5"/>
      <c r="E237" s="5"/>
      <c r="F237" s="5"/>
      <c r="H237" s="5"/>
      <c r="I237" s="5"/>
      <c r="J237" s="5"/>
      <c r="K237" s="5"/>
      <c r="L237" s="5"/>
    </row>
    <row r="238" customHeight="1" spans="1:12">
      <c r="A238" s="5"/>
      <c r="B238" s="5"/>
      <c r="C238" s="5"/>
      <c r="D238" s="5"/>
      <c r="E238" s="5"/>
      <c r="F238" s="5"/>
      <c r="H238" s="5"/>
      <c r="I238" s="5"/>
      <c r="J238" s="5"/>
      <c r="K238" s="5"/>
      <c r="L238" s="5"/>
    </row>
    <row r="239" customHeight="1" spans="1:12">
      <c r="A239" s="5"/>
      <c r="B239" s="5"/>
      <c r="C239" s="5"/>
      <c r="D239" s="5"/>
      <c r="E239" s="5"/>
      <c r="F239" s="5"/>
      <c r="H239" s="5"/>
      <c r="I239" s="5"/>
      <c r="J239" s="5"/>
      <c r="K239" s="5"/>
      <c r="L239" s="5"/>
    </row>
    <row r="240" customHeight="1" spans="1:12">
      <c r="A240" s="5"/>
      <c r="B240" s="5"/>
      <c r="C240" s="5"/>
      <c r="D240" s="5"/>
      <c r="E240" s="5"/>
      <c r="F240" s="5"/>
      <c r="H240" s="5"/>
      <c r="I240" s="5"/>
      <c r="J240" s="5"/>
      <c r="K240" s="5"/>
      <c r="L240" s="5"/>
    </row>
    <row r="241" customHeight="1" spans="1:12">
      <c r="A241" s="5"/>
      <c r="B241" s="5"/>
      <c r="C241" s="5"/>
      <c r="D241" s="5"/>
      <c r="E241" s="5"/>
      <c r="F241" s="5"/>
      <c r="H241" s="5"/>
      <c r="I241" s="5"/>
      <c r="J241" s="5"/>
      <c r="K241" s="5"/>
      <c r="L241" s="5"/>
    </row>
    <row r="242" customHeight="1" spans="1:12">
      <c r="A242" s="5"/>
      <c r="B242" s="5"/>
      <c r="C242" s="5"/>
      <c r="D242" s="5"/>
      <c r="E242" s="5"/>
      <c r="F242" s="5"/>
      <c r="H242" s="5"/>
      <c r="I242" s="5"/>
      <c r="J242" s="5"/>
      <c r="K242" s="5"/>
      <c r="L242" s="5"/>
    </row>
    <row r="243" customHeight="1" spans="1:12">
      <c r="A243" s="5"/>
      <c r="B243" s="5"/>
      <c r="C243" s="5"/>
      <c r="D243" s="5"/>
      <c r="E243" s="5"/>
      <c r="F243" s="5"/>
      <c r="H243" s="5"/>
      <c r="I243" s="5"/>
      <c r="J243" s="5"/>
      <c r="K243" s="5"/>
      <c r="L243" s="5"/>
    </row>
    <row r="244" customHeight="1" spans="1:12">
      <c r="A244" s="5"/>
      <c r="B244" s="5"/>
      <c r="C244" s="5"/>
      <c r="D244" s="5"/>
      <c r="E244" s="5"/>
      <c r="F244" s="5"/>
      <c r="H244" s="5"/>
      <c r="I244" s="5"/>
      <c r="J244" s="5"/>
      <c r="K244" s="5"/>
      <c r="L244" s="5"/>
    </row>
    <row r="245" customHeight="1" spans="1:12">
      <c r="A245" s="5"/>
      <c r="B245" s="5"/>
      <c r="C245" s="5"/>
      <c r="D245" s="5"/>
      <c r="E245" s="5"/>
      <c r="F245" s="5"/>
      <c r="H245" s="5"/>
      <c r="I245" s="5"/>
      <c r="J245" s="5"/>
      <c r="K245" s="5"/>
      <c r="L245" s="5"/>
    </row>
    <row r="246" customHeight="1" spans="1:12">
      <c r="A246" s="5"/>
      <c r="B246" s="5"/>
      <c r="C246" s="5"/>
      <c r="D246" s="5"/>
      <c r="E246" s="5"/>
      <c r="F246" s="5"/>
      <c r="H246" s="5"/>
      <c r="I246" s="5"/>
      <c r="J246" s="5"/>
      <c r="K246" s="5"/>
      <c r="L246" s="5"/>
    </row>
    <row r="247" customHeight="1" spans="1:12">
      <c r="A247" s="5"/>
      <c r="B247" s="5"/>
      <c r="C247" s="5"/>
      <c r="D247" s="5"/>
      <c r="E247" s="5"/>
      <c r="F247" s="5"/>
      <c r="H247" s="5"/>
      <c r="I247" s="5"/>
      <c r="J247" s="5"/>
      <c r="K247" s="5"/>
      <c r="L247" s="5"/>
    </row>
    <row r="248" customHeight="1" spans="1:12">
      <c r="A248" s="5"/>
      <c r="B248" s="5"/>
      <c r="C248" s="5"/>
      <c r="D248" s="5"/>
      <c r="E248" s="5"/>
      <c r="F248" s="5"/>
      <c r="H248" s="5"/>
      <c r="I248" s="5"/>
      <c r="J248" s="5"/>
      <c r="K248" s="5"/>
      <c r="L248" s="5"/>
    </row>
    <row r="249" customHeight="1" spans="1:12">
      <c r="A249" s="5"/>
      <c r="B249" s="5"/>
      <c r="C249" s="5"/>
      <c r="D249" s="5"/>
      <c r="E249" s="5"/>
      <c r="F249" s="5"/>
      <c r="H249" s="5"/>
      <c r="I249" s="5"/>
      <c r="J249" s="5"/>
      <c r="K249" s="5"/>
      <c r="L249" s="5"/>
    </row>
    <row r="250" customHeight="1" spans="1:12">
      <c r="A250" s="5"/>
      <c r="B250" s="5"/>
      <c r="C250" s="5"/>
      <c r="D250" s="5"/>
      <c r="E250" s="5"/>
      <c r="F250" s="5"/>
      <c r="H250" s="5"/>
      <c r="I250" s="5"/>
      <c r="J250" s="5"/>
      <c r="K250" s="5"/>
      <c r="L250" s="5"/>
    </row>
    <row r="251" customHeight="1" spans="1:12">
      <c r="A251" s="5"/>
      <c r="B251" s="5"/>
      <c r="C251" s="5"/>
      <c r="D251" s="5"/>
      <c r="E251" s="5"/>
      <c r="F251" s="5"/>
      <c r="H251" s="5"/>
      <c r="I251" s="5"/>
      <c r="J251" s="5"/>
      <c r="K251" s="5"/>
      <c r="L251" s="5"/>
    </row>
    <row r="252" customHeight="1" spans="1:12">
      <c r="A252" s="5"/>
      <c r="B252" s="5"/>
      <c r="C252" s="5"/>
      <c r="D252" s="5"/>
      <c r="E252" s="5"/>
      <c r="F252" s="5"/>
      <c r="H252" s="5"/>
      <c r="I252" s="5"/>
      <c r="J252" s="5"/>
      <c r="K252" s="5"/>
      <c r="L252" s="5"/>
    </row>
    <row r="253" customHeight="1" spans="1:12">
      <c r="A253" s="5"/>
      <c r="B253" s="5"/>
      <c r="C253" s="5"/>
      <c r="D253" s="5"/>
      <c r="E253" s="5"/>
      <c r="F253" s="5"/>
      <c r="H253" s="5"/>
      <c r="I253" s="5"/>
      <c r="J253" s="5"/>
      <c r="K253" s="5"/>
      <c r="L253" s="5"/>
    </row>
    <row r="254" customHeight="1" spans="1:12">
      <c r="A254" s="5"/>
      <c r="B254" s="5"/>
      <c r="C254" s="5"/>
      <c r="D254" s="5"/>
      <c r="E254" s="5"/>
      <c r="F254" s="5"/>
      <c r="H254" s="5"/>
      <c r="I254" s="5"/>
      <c r="J254" s="5"/>
      <c r="K254" s="5"/>
      <c r="L254" s="5"/>
    </row>
    <row r="255" customHeight="1" spans="1:12">
      <c r="A255" s="5"/>
      <c r="B255" s="5"/>
      <c r="C255" s="5"/>
      <c r="D255" s="5"/>
      <c r="E255" s="5"/>
      <c r="F255" s="5"/>
      <c r="H255" s="5"/>
      <c r="I255" s="5"/>
      <c r="J255" s="5"/>
      <c r="K255" s="5"/>
      <c r="L255" s="5"/>
    </row>
    <row r="256" customHeight="1" spans="1:12">
      <c r="A256" s="5"/>
      <c r="B256" s="5"/>
      <c r="C256" s="5"/>
      <c r="D256" s="5"/>
      <c r="E256" s="5"/>
      <c r="F256" s="5"/>
      <c r="H256" s="5"/>
      <c r="I256" s="5"/>
      <c r="J256" s="5"/>
      <c r="K256" s="5"/>
      <c r="L256" s="5"/>
    </row>
    <row r="257" customHeight="1" spans="1:12">
      <c r="A257" s="5"/>
      <c r="B257" s="5"/>
      <c r="C257" s="5"/>
      <c r="D257" s="5"/>
      <c r="E257" s="5"/>
      <c r="F257" s="5"/>
      <c r="H257" s="5"/>
      <c r="I257" s="5"/>
      <c r="J257" s="5"/>
      <c r="K257" s="5"/>
      <c r="L257" s="5"/>
    </row>
    <row r="258" customHeight="1" spans="1:12">
      <c r="A258" s="5"/>
      <c r="B258" s="5"/>
      <c r="C258" s="5"/>
      <c r="D258" s="5"/>
      <c r="E258" s="5"/>
      <c r="F258" s="5"/>
      <c r="H258" s="5"/>
      <c r="I258" s="5"/>
      <c r="J258" s="5"/>
      <c r="K258" s="5"/>
      <c r="L258" s="5"/>
    </row>
    <row r="259" customHeight="1" spans="1:12">
      <c r="A259" s="5"/>
      <c r="B259" s="5"/>
      <c r="C259" s="5"/>
      <c r="D259" s="5"/>
      <c r="E259" s="5"/>
      <c r="F259" s="5"/>
      <c r="H259" s="5"/>
      <c r="I259" s="5"/>
      <c r="J259" s="5"/>
      <c r="K259" s="5"/>
      <c r="L259" s="5"/>
    </row>
    <row r="260" customHeight="1" spans="1:12">
      <c r="A260" s="5"/>
      <c r="B260" s="5"/>
      <c r="C260" s="5"/>
      <c r="D260" s="5"/>
      <c r="E260" s="5"/>
      <c r="F260" s="5"/>
      <c r="H260" s="5"/>
      <c r="I260" s="5"/>
      <c r="J260" s="5"/>
      <c r="K260" s="5"/>
      <c r="L260" s="5"/>
    </row>
    <row r="261" customHeight="1" spans="1:12">
      <c r="A261" s="5"/>
      <c r="B261" s="5"/>
      <c r="C261" s="5"/>
      <c r="D261" s="5"/>
      <c r="E261" s="5"/>
      <c r="F261" s="5"/>
      <c r="H261" s="5"/>
      <c r="I261" s="5"/>
      <c r="J261" s="5"/>
      <c r="K261" s="5"/>
      <c r="L261" s="5"/>
    </row>
    <row r="262" customHeight="1" spans="1:12">
      <c r="A262" s="5"/>
      <c r="B262" s="5"/>
      <c r="C262" s="5"/>
      <c r="D262" s="5"/>
      <c r="E262" s="5"/>
      <c r="F262" s="5"/>
      <c r="H262" s="5"/>
      <c r="I262" s="5"/>
      <c r="J262" s="5"/>
      <c r="K262" s="5"/>
      <c r="L262" s="5"/>
    </row>
    <row r="263" customHeight="1" spans="1:12">
      <c r="A263" s="5"/>
      <c r="B263" s="5"/>
      <c r="C263" s="5"/>
      <c r="D263" s="5"/>
      <c r="E263" s="5"/>
      <c r="F263" s="5"/>
      <c r="H263" s="5"/>
      <c r="I263" s="5"/>
      <c r="J263" s="5"/>
      <c r="K263" s="5"/>
      <c r="L263" s="5"/>
    </row>
    <row r="264" customHeight="1" spans="1:12">
      <c r="A264" s="5"/>
      <c r="B264" s="5"/>
      <c r="C264" s="5"/>
      <c r="D264" s="5"/>
      <c r="E264" s="5"/>
      <c r="F264" s="5"/>
      <c r="H264" s="5"/>
      <c r="I264" s="5"/>
      <c r="J264" s="5"/>
      <c r="K264" s="5"/>
      <c r="L264" s="5"/>
    </row>
    <row r="265" customHeight="1" spans="1:12">
      <c r="A265" s="5"/>
      <c r="B265" s="5"/>
      <c r="C265" s="5"/>
      <c r="D265" s="5"/>
      <c r="E265" s="5"/>
      <c r="F265" s="5"/>
      <c r="H265" s="5"/>
      <c r="I265" s="5"/>
      <c r="J265" s="5"/>
      <c r="K265" s="5"/>
      <c r="L265" s="5"/>
    </row>
    <row r="266" customHeight="1" spans="1:12">
      <c r="A266" s="5"/>
      <c r="B266" s="5"/>
      <c r="C266" s="5"/>
      <c r="D266" s="5"/>
      <c r="E266" s="5"/>
      <c r="F266" s="5"/>
      <c r="H266" s="5"/>
      <c r="I266" s="5"/>
      <c r="J266" s="5"/>
      <c r="K266" s="5"/>
      <c r="L266" s="5"/>
    </row>
    <row r="267" customHeight="1" spans="1:12">
      <c r="A267" s="5"/>
      <c r="B267" s="5"/>
      <c r="C267" s="5"/>
      <c r="D267" s="5"/>
      <c r="E267" s="5"/>
      <c r="F267" s="5"/>
      <c r="H267" s="5"/>
      <c r="I267" s="5"/>
      <c r="J267" s="5"/>
      <c r="K267" s="5"/>
      <c r="L267" s="5"/>
    </row>
    <row r="268" customHeight="1" spans="1:12">
      <c r="A268" s="5"/>
      <c r="B268" s="5"/>
      <c r="C268" s="5"/>
      <c r="D268" s="5"/>
      <c r="E268" s="5"/>
      <c r="F268" s="5"/>
      <c r="H268" s="5"/>
      <c r="I268" s="5"/>
      <c r="J268" s="5"/>
      <c r="K268" s="5"/>
      <c r="L268" s="5"/>
    </row>
    <row r="269" customHeight="1" spans="1:12">
      <c r="A269" s="5"/>
      <c r="B269" s="5"/>
      <c r="C269" s="5"/>
      <c r="D269" s="5"/>
      <c r="E269" s="5"/>
      <c r="F269" s="5"/>
      <c r="H269" s="5"/>
      <c r="I269" s="5"/>
      <c r="J269" s="5"/>
      <c r="K269" s="5"/>
      <c r="L269" s="5"/>
    </row>
    <row r="270" customHeight="1" spans="1:12">
      <c r="A270" s="5"/>
      <c r="B270" s="5"/>
      <c r="C270" s="5"/>
      <c r="D270" s="5"/>
      <c r="E270" s="5"/>
      <c r="F270" s="5"/>
      <c r="H270" s="5"/>
      <c r="I270" s="5"/>
      <c r="J270" s="5"/>
      <c r="K270" s="5"/>
      <c r="L270" s="5"/>
    </row>
    <row r="271" customHeight="1" spans="1:12">
      <c r="A271" s="5"/>
      <c r="B271" s="5"/>
      <c r="C271" s="5"/>
      <c r="D271" s="5"/>
      <c r="E271" s="5"/>
      <c r="F271" s="5"/>
      <c r="H271" s="5"/>
      <c r="I271" s="5"/>
      <c r="J271" s="5"/>
      <c r="K271" s="5"/>
      <c r="L271" s="5"/>
    </row>
    <row r="272" customHeight="1" spans="1:12">
      <c r="A272" s="5"/>
      <c r="B272" s="5"/>
      <c r="C272" s="5"/>
      <c r="D272" s="5"/>
      <c r="E272" s="5"/>
      <c r="F272" s="5"/>
      <c r="H272" s="5"/>
      <c r="I272" s="5"/>
      <c r="J272" s="5"/>
      <c r="K272" s="5"/>
      <c r="L272" s="5"/>
    </row>
    <row r="273" customHeight="1" spans="1:12">
      <c r="A273" s="5"/>
      <c r="B273" s="5"/>
      <c r="C273" s="5"/>
      <c r="D273" s="5"/>
      <c r="E273" s="5"/>
      <c r="F273" s="5"/>
      <c r="H273" s="5"/>
      <c r="I273" s="5"/>
      <c r="J273" s="5"/>
      <c r="K273" s="5"/>
      <c r="L273" s="5"/>
    </row>
    <row r="274" customHeight="1" spans="1:12">
      <c r="A274" s="5"/>
      <c r="B274" s="5"/>
      <c r="C274" s="5"/>
      <c r="D274" s="5"/>
      <c r="E274" s="5"/>
      <c r="F274" s="5"/>
      <c r="H274" s="5"/>
      <c r="I274" s="5"/>
      <c r="J274" s="5"/>
      <c r="K274" s="5"/>
      <c r="L274" s="5"/>
    </row>
    <row r="275" customHeight="1" spans="1:12">
      <c r="A275" s="5"/>
      <c r="B275" s="5"/>
      <c r="C275" s="5"/>
      <c r="D275" s="5"/>
      <c r="E275" s="5"/>
      <c r="F275" s="5"/>
      <c r="H275" s="5"/>
      <c r="I275" s="5"/>
      <c r="J275" s="5"/>
      <c r="K275" s="5"/>
      <c r="L275" s="5"/>
    </row>
    <row r="276" customHeight="1" spans="1:12">
      <c r="A276" s="5"/>
      <c r="B276" s="5"/>
      <c r="C276" s="5"/>
      <c r="D276" s="5"/>
      <c r="E276" s="5"/>
      <c r="F276" s="5"/>
      <c r="H276" s="5"/>
      <c r="I276" s="5"/>
      <c r="J276" s="5"/>
      <c r="K276" s="5"/>
      <c r="L276" s="5"/>
    </row>
    <row r="277" customHeight="1" spans="1:12">
      <c r="A277" s="5"/>
      <c r="B277" s="5"/>
      <c r="C277" s="5"/>
      <c r="D277" s="5"/>
      <c r="E277" s="5"/>
      <c r="F277" s="5"/>
      <c r="H277" s="5"/>
      <c r="I277" s="5"/>
      <c r="J277" s="5"/>
      <c r="K277" s="5"/>
      <c r="L277" s="5"/>
    </row>
    <row r="278" customHeight="1" spans="1:12">
      <c r="A278" s="5"/>
      <c r="B278" s="5"/>
      <c r="C278" s="5"/>
      <c r="D278" s="5"/>
      <c r="E278" s="5"/>
      <c r="F278" s="5"/>
      <c r="H278" s="5"/>
      <c r="I278" s="5"/>
      <c r="J278" s="5"/>
      <c r="K278" s="5"/>
      <c r="L278" s="5"/>
    </row>
    <row r="279" customHeight="1" spans="1:12">
      <c r="A279" s="5"/>
      <c r="B279" s="5"/>
      <c r="C279" s="5"/>
      <c r="D279" s="5"/>
      <c r="E279" s="5"/>
      <c r="F279" s="5"/>
      <c r="H279" s="5"/>
      <c r="I279" s="5"/>
      <c r="J279" s="5"/>
      <c r="K279" s="5"/>
      <c r="L279" s="5"/>
    </row>
    <row r="280" customHeight="1" spans="1:12">
      <c r="A280" s="5"/>
      <c r="B280" s="5"/>
      <c r="C280" s="5"/>
      <c r="D280" s="5"/>
      <c r="E280" s="5"/>
      <c r="F280" s="5"/>
      <c r="H280" s="5"/>
      <c r="I280" s="5"/>
      <c r="J280" s="5"/>
      <c r="K280" s="5"/>
      <c r="L280" s="5"/>
    </row>
    <row r="281" customHeight="1" spans="1:12">
      <c r="A281" s="5"/>
      <c r="B281" s="5"/>
      <c r="C281" s="5"/>
      <c r="D281" s="5"/>
      <c r="E281" s="5"/>
      <c r="F281" s="5"/>
      <c r="H281" s="5"/>
      <c r="I281" s="5"/>
      <c r="J281" s="5"/>
      <c r="K281" s="5"/>
      <c r="L281" s="5"/>
    </row>
    <row r="282" customHeight="1" spans="1:12">
      <c r="A282" s="5"/>
      <c r="B282" s="5"/>
      <c r="C282" s="5"/>
      <c r="D282" s="5"/>
      <c r="E282" s="5"/>
      <c r="F282" s="5"/>
      <c r="H282" s="5"/>
      <c r="I282" s="5"/>
      <c r="J282" s="5"/>
      <c r="K282" s="5"/>
      <c r="L282" s="5"/>
    </row>
    <row r="283" customHeight="1" spans="1:12">
      <c r="A283" s="5"/>
      <c r="B283" s="5"/>
      <c r="C283" s="5"/>
      <c r="D283" s="5"/>
      <c r="E283" s="5"/>
      <c r="F283" s="5"/>
      <c r="H283" s="5"/>
      <c r="I283" s="5"/>
      <c r="J283" s="5"/>
      <c r="K283" s="5"/>
      <c r="L283" s="5"/>
    </row>
    <row r="284" customHeight="1" spans="1:12">
      <c r="A284" s="5"/>
      <c r="B284" s="5"/>
      <c r="C284" s="5"/>
      <c r="D284" s="5"/>
      <c r="E284" s="5"/>
      <c r="F284" s="5"/>
      <c r="H284" s="5"/>
      <c r="I284" s="5"/>
      <c r="J284" s="5"/>
      <c r="K284" s="5"/>
      <c r="L284" s="5"/>
    </row>
    <row r="285" customHeight="1" spans="1:12">
      <c r="A285" s="5"/>
      <c r="B285" s="5"/>
      <c r="C285" s="5"/>
      <c r="D285" s="5"/>
      <c r="E285" s="5"/>
      <c r="F285" s="5"/>
      <c r="H285" s="5"/>
      <c r="I285" s="5"/>
      <c r="J285" s="5"/>
      <c r="K285" s="5"/>
      <c r="L285" s="5"/>
    </row>
    <row r="286" customHeight="1" spans="1:12">
      <c r="A286" s="5"/>
      <c r="B286" s="5"/>
      <c r="C286" s="5"/>
      <c r="D286" s="5"/>
      <c r="E286" s="5"/>
      <c r="F286" s="5"/>
      <c r="H286" s="5"/>
      <c r="I286" s="5"/>
      <c r="J286" s="5"/>
      <c r="K286" s="5"/>
      <c r="L286" s="5"/>
    </row>
    <row r="287" customHeight="1" spans="1:12">
      <c r="A287" s="5"/>
      <c r="B287" s="5"/>
      <c r="C287" s="5"/>
      <c r="D287" s="5"/>
      <c r="E287" s="5"/>
      <c r="F287" s="5"/>
      <c r="H287" s="5"/>
      <c r="I287" s="5"/>
      <c r="J287" s="5"/>
      <c r="K287" s="5"/>
      <c r="L287" s="5"/>
    </row>
    <row r="288" customHeight="1" spans="1:12">
      <c r="A288" s="5"/>
      <c r="B288" s="5"/>
      <c r="C288" s="5"/>
      <c r="D288" s="5"/>
      <c r="E288" s="5"/>
      <c r="F288" s="5"/>
      <c r="H288" s="5"/>
      <c r="I288" s="5"/>
      <c r="J288" s="5"/>
      <c r="K288" s="5"/>
      <c r="L288" s="5"/>
    </row>
    <row r="289" customHeight="1" spans="1:12">
      <c r="A289" s="5"/>
      <c r="B289" s="5"/>
      <c r="C289" s="5"/>
      <c r="D289" s="5"/>
      <c r="E289" s="5"/>
      <c r="F289" s="5"/>
      <c r="H289" s="5"/>
      <c r="I289" s="5"/>
      <c r="J289" s="5"/>
      <c r="K289" s="5"/>
      <c r="L289" s="5"/>
    </row>
    <row r="290" customHeight="1" spans="1:12">
      <c r="A290" s="5"/>
      <c r="B290" s="5"/>
      <c r="C290" s="5"/>
      <c r="D290" s="5"/>
      <c r="E290" s="5"/>
      <c r="F290" s="5"/>
      <c r="H290" s="5"/>
      <c r="I290" s="5"/>
      <c r="J290" s="5"/>
      <c r="K290" s="5"/>
      <c r="L290" s="5"/>
    </row>
    <row r="291" customHeight="1" spans="1:12">
      <c r="A291" s="5"/>
      <c r="B291" s="5"/>
      <c r="C291" s="5"/>
      <c r="D291" s="5"/>
      <c r="E291" s="5"/>
      <c r="F291" s="5"/>
      <c r="H291" s="5"/>
      <c r="I291" s="5"/>
      <c r="J291" s="5"/>
      <c r="K291" s="5"/>
      <c r="L291" s="5"/>
    </row>
    <row r="292" customHeight="1" spans="1:12">
      <c r="A292" s="5"/>
      <c r="B292" s="5"/>
      <c r="C292" s="5"/>
      <c r="D292" s="5"/>
      <c r="E292" s="5"/>
      <c r="F292" s="5"/>
      <c r="H292" s="5"/>
      <c r="I292" s="5"/>
      <c r="J292" s="5"/>
      <c r="K292" s="5"/>
      <c r="L292" s="5"/>
    </row>
    <row r="293" customHeight="1" spans="1:12">
      <c r="A293" s="5"/>
      <c r="B293" s="5"/>
      <c r="C293" s="5"/>
      <c r="D293" s="5"/>
      <c r="E293" s="5"/>
      <c r="F293" s="5"/>
      <c r="H293" s="5"/>
      <c r="I293" s="5"/>
      <c r="J293" s="5"/>
      <c r="K293" s="5"/>
      <c r="L293" s="5"/>
    </row>
    <row r="294" customHeight="1" spans="1:12">
      <c r="A294" s="5"/>
      <c r="B294" s="5"/>
      <c r="C294" s="5"/>
      <c r="D294" s="5"/>
      <c r="E294" s="5"/>
      <c r="F294" s="5"/>
      <c r="H294" s="5"/>
      <c r="I294" s="5"/>
      <c r="J294" s="5"/>
      <c r="K294" s="5"/>
      <c r="L294" s="5"/>
    </row>
    <row r="295" customHeight="1" spans="1:12">
      <c r="A295" s="5"/>
      <c r="B295" s="5"/>
      <c r="C295" s="5"/>
      <c r="D295" s="5"/>
      <c r="E295" s="5"/>
      <c r="F295" s="5"/>
      <c r="H295" s="5"/>
      <c r="I295" s="5"/>
      <c r="J295" s="5"/>
      <c r="K295" s="5"/>
      <c r="L295" s="5"/>
    </row>
    <row r="296" customHeight="1" spans="1:12">
      <c r="A296" s="5"/>
      <c r="B296" s="5"/>
      <c r="C296" s="5"/>
      <c r="D296" s="5"/>
      <c r="E296" s="5"/>
      <c r="F296" s="5"/>
      <c r="H296" s="5"/>
      <c r="I296" s="5"/>
      <c r="J296" s="5"/>
      <c r="K296" s="5"/>
      <c r="L296" s="5"/>
    </row>
    <row r="297" customHeight="1" spans="1:12">
      <c r="A297" s="5"/>
      <c r="B297" s="5"/>
      <c r="C297" s="5"/>
      <c r="D297" s="5"/>
      <c r="E297" s="5"/>
      <c r="F297" s="5"/>
      <c r="H297" s="5"/>
      <c r="I297" s="5"/>
      <c r="J297" s="5"/>
      <c r="K297" s="5"/>
      <c r="L297" s="5"/>
    </row>
    <row r="298" customHeight="1" spans="1:12">
      <c r="A298" s="5"/>
      <c r="B298" s="5"/>
      <c r="C298" s="5"/>
      <c r="D298" s="5"/>
      <c r="E298" s="5"/>
      <c r="F298" s="5"/>
      <c r="H298" s="5"/>
      <c r="I298" s="5"/>
      <c r="J298" s="5"/>
      <c r="K298" s="5"/>
      <c r="L298" s="5"/>
    </row>
    <row r="299" customHeight="1" spans="1:12">
      <c r="A299" s="5"/>
      <c r="B299" s="5"/>
      <c r="C299" s="5"/>
      <c r="D299" s="5"/>
      <c r="E299" s="5"/>
      <c r="F299" s="5"/>
      <c r="H299" s="5"/>
      <c r="I299" s="5"/>
      <c r="J299" s="5"/>
      <c r="K299" s="5"/>
      <c r="L299" s="5"/>
    </row>
    <row r="300" customHeight="1" spans="1:12">
      <c r="A300" s="5"/>
      <c r="B300" s="5"/>
      <c r="C300" s="5"/>
      <c r="D300" s="5"/>
      <c r="E300" s="5"/>
      <c r="F300" s="5"/>
      <c r="H300" s="5"/>
      <c r="I300" s="5"/>
      <c r="J300" s="5"/>
      <c r="K300" s="5"/>
      <c r="L300" s="5"/>
    </row>
    <row r="301" customHeight="1" spans="1:12">
      <c r="A301" s="5"/>
      <c r="B301" s="5"/>
      <c r="C301" s="5"/>
      <c r="D301" s="5"/>
      <c r="E301" s="5"/>
      <c r="F301" s="5"/>
      <c r="H301" s="5"/>
      <c r="I301" s="5"/>
      <c r="J301" s="5"/>
      <c r="K301" s="5"/>
      <c r="L301" s="5"/>
    </row>
    <row r="302" customHeight="1" spans="1:12">
      <c r="A302" s="5"/>
      <c r="B302" s="5"/>
      <c r="C302" s="5"/>
      <c r="D302" s="5"/>
      <c r="E302" s="5"/>
      <c r="F302" s="5"/>
      <c r="H302" s="5"/>
      <c r="I302" s="5"/>
      <c r="J302" s="5"/>
      <c r="K302" s="5"/>
      <c r="L302" s="5"/>
    </row>
    <row r="303" customHeight="1" spans="1:12">
      <c r="A303" s="5"/>
      <c r="B303" s="5"/>
      <c r="C303" s="5"/>
      <c r="D303" s="5"/>
      <c r="E303" s="5"/>
      <c r="F303" s="5"/>
      <c r="H303" s="5"/>
      <c r="I303" s="5"/>
      <c r="J303" s="5"/>
      <c r="K303" s="5"/>
      <c r="L303" s="5"/>
    </row>
    <row r="304" customHeight="1" spans="1:12">
      <c r="A304" s="5"/>
      <c r="B304" s="5"/>
      <c r="C304" s="5"/>
      <c r="D304" s="5"/>
      <c r="E304" s="5"/>
      <c r="F304" s="5"/>
      <c r="H304" s="5"/>
      <c r="I304" s="5"/>
      <c r="J304" s="5"/>
      <c r="K304" s="5"/>
      <c r="L304" s="5"/>
    </row>
    <row r="305" customHeight="1" spans="1:12">
      <c r="A305" s="5"/>
      <c r="B305" s="5"/>
      <c r="C305" s="5"/>
      <c r="D305" s="5"/>
      <c r="E305" s="5"/>
      <c r="F305" s="5"/>
      <c r="H305" s="5"/>
      <c r="I305" s="5"/>
      <c r="J305" s="5"/>
      <c r="K305" s="5"/>
      <c r="L305" s="5"/>
    </row>
    <row r="306" customHeight="1" spans="1:12">
      <c r="A306" s="5"/>
      <c r="B306" s="5"/>
      <c r="C306" s="5"/>
      <c r="D306" s="5"/>
      <c r="E306" s="5"/>
      <c r="F306" s="5"/>
      <c r="H306" s="5"/>
      <c r="I306" s="5"/>
      <c r="J306" s="5"/>
      <c r="K306" s="5"/>
      <c r="L306" s="5"/>
    </row>
    <row r="307" customHeight="1" spans="1:12">
      <c r="A307" s="5"/>
      <c r="B307" s="5"/>
      <c r="C307" s="5"/>
      <c r="D307" s="5"/>
      <c r="E307" s="5"/>
      <c r="F307" s="5"/>
      <c r="H307" s="5"/>
      <c r="I307" s="5"/>
      <c r="J307" s="5"/>
      <c r="K307" s="5"/>
      <c r="L307" s="5"/>
    </row>
    <row r="308" customHeight="1" spans="1:12">
      <c r="A308" s="5"/>
      <c r="B308" s="5"/>
      <c r="C308" s="5"/>
      <c r="D308" s="5"/>
      <c r="E308" s="5"/>
      <c r="F308" s="5"/>
      <c r="H308" s="5"/>
      <c r="I308" s="5"/>
      <c r="J308" s="5"/>
      <c r="K308" s="5"/>
      <c r="L308" s="5"/>
    </row>
    <row r="309" customHeight="1" spans="1:12">
      <c r="A309" s="5"/>
      <c r="B309" s="5"/>
      <c r="C309" s="5"/>
      <c r="D309" s="5"/>
      <c r="E309" s="5"/>
      <c r="F309" s="5"/>
      <c r="H309" s="5"/>
      <c r="I309" s="5"/>
      <c r="J309" s="5"/>
      <c r="K309" s="5"/>
      <c r="L309" s="5"/>
    </row>
    <row r="310" customHeight="1" spans="1:12">
      <c r="A310" s="5"/>
      <c r="B310" s="5"/>
      <c r="C310" s="5"/>
      <c r="D310" s="5"/>
      <c r="E310" s="5"/>
      <c r="F310" s="5"/>
      <c r="H310" s="5"/>
      <c r="I310" s="5"/>
      <c r="J310" s="5"/>
      <c r="K310" s="5"/>
      <c r="L310" s="5"/>
    </row>
    <row r="311" customHeight="1" spans="1:12">
      <c r="A311" s="5"/>
      <c r="B311" s="5"/>
      <c r="C311" s="5"/>
      <c r="D311" s="5"/>
      <c r="E311" s="5"/>
      <c r="F311" s="5"/>
      <c r="H311" s="5"/>
      <c r="I311" s="5"/>
      <c r="J311" s="5"/>
      <c r="K311" s="5"/>
      <c r="L311" s="5"/>
    </row>
    <row r="312" customHeight="1" spans="1:12">
      <c r="A312" s="5"/>
      <c r="B312" s="5"/>
      <c r="C312" s="5"/>
      <c r="D312" s="5"/>
      <c r="E312" s="5"/>
      <c r="F312" s="5"/>
      <c r="H312" s="5"/>
      <c r="I312" s="5"/>
      <c r="J312" s="5"/>
      <c r="K312" s="5"/>
      <c r="L312" s="5"/>
    </row>
    <row r="313" customHeight="1" spans="1:12">
      <c r="A313" s="5"/>
      <c r="B313" s="5"/>
      <c r="C313" s="5"/>
      <c r="D313" s="5"/>
      <c r="E313" s="5"/>
      <c r="F313" s="5"/>
      <c r="H313" s="5"/>
      <c r="I313" s="5"/>
      <c r="J313" s="5"/>
      <c r="K313" s="5"/>
      <c r="L313" s="5"/>
    </row>
    <row r="314" customHeight="1" spans="1:12">
      <c r="A314" s="5"/>
      <c r="B314" s="5"/>
      <c r="C314" s="5"/>
      <c r="D314" s="5"/>
      <c r="E314" s="5"/>
      <c r="F314" s="5"/>
      <c r="H314" s="5"/>
      <c r="I314" s="5"/>
      <c r="J314" s="5"/>
      <c r="K314" s="5"/>
      <c r="L314" s="5"/>
    </row>
    <row r="315" customHeight="1" spans="1:12">
      <c r="A315" s="5"/>
      <c r="B315" s="5"/>
      <c r="C315" s="5"/>
      <c r="D315" s="5"/>
      <c r="E315" s="5"/>
      <c r="F315" s="5"/>
      <c r="H315" s="5"/>
      <c r="I315" s="5"/>
      <c r="J315" s="5"/>
      <c r="K315" s="5"/>
      <c r="L315" s="5"/>
    </row>
    <row r="316" customHeight="1" spans="1:12">
      <c r="A316" s="5"/>
      <c r="B316" s="5"/>
      <c r="C316" s="5"/>
      <c r="D316" s="5"/>
      <c r="E316" s="5"/>
      <c r="F316" s="5"/>
      <c r="H316" s="5"/>
      <c r="I316" s="5"/>
      <c r="J316" s="5"/>
      <c r="K316" s="5"/>
      <c r="L316" s="5"/>
    </row>
    <row r="317" customHeight="1" spans="1:12">
      <c r="A317" s="5"/>
      <c r="B317" s="5"/>
      <c r="C317" s="5"/>
      <c r="D317" s="5"/>
      <c r="E317" s="5"/>
      <c r="F317" s="5"/>
      <c r="H317" s="5"/>
      <c r="I317" s="5"/>
      <c r="J317" s="5"/>
      <c r="K317" s="5"/>
      <c r="L317" s="5"/>
    </row>
    <row r="318" customHeight="1" spans="1:12">
      <c r="A318" s="5"/>
      <c r="B318" s="5"/>
      <c r="C318" s="5"/>
      <c r="D318" s="5"/>
      <c r="E318" s="5"/>
      <c r="F318" s="5"/>
      <c r="H318" s="5"/>
      <c r="I318" s="5"/>
      <c r="J318" s="5"/>
      <c r="K318" s="5"/>
      <c r="L318" s="5"/>
    </row>
    <row r="319" customHeight="1" spans="1:12">
      <c r="A319" s="5"/>
      <c r="B319" s="5"/>
      <c r="C319" s="5"/>
      <c r="D319" s="5"/>
      <c r="E319" s="5"/>
      <c r="F319" s="5"/>
      <c r="H319" s="5"/>
      <c r="I319" s="5"/>
      <c r="J319" s="5"/>
      <c r="K319" s="5"/>
      <c r="L319" s="5"/>
    </row>
    <row r="320" customHeight="1" spans="1:12">
      <c r="A320" s="5"/>
      <c r="B320" s="5"/>
      <c r="C320" s="5"/>
      <c r="D320" s="5"/>
      <c r="E320" s="5"/>
      <c r="F320" s="5"/>
      <c r="H320" s="5"/>
      <c r="I320" s="5"/>
      <c r="J320" s="5"/>
      <c r="K320" s="5"/>
      <c r="L320" s="5"/>
    </row>
    <row r="321" customHeight="1" spans="1:12">
      <c r="A321" s="5"/>
      <c r="B321" s="5"/>
      <c r="C321" s="5"/>
      <c r="D321" s="5"/>
      <c r="E321" s="5"/>
      <c r="F321" s="5"/>
      <c r="H321" s="5"/>
      <c r="I321" s="5"/>
      <c r="J321" s="5"/>
      <c r="K321" s="5"/>
      <c r="L321" s="5"/>
    </row>
    <row r="322" customHeight="1" spans="1:12">
      <c r="A322" s="5"/>
      <c r="B322" s="5"/>
      <c r="C322" s="5"/>
      <c r="D322" s="5"/>
      <c r="E322" s="5"/>
      <c r="F322" s="5"/>
      <c r="H322" s="5"/>
      <c r="I322" s="5"/>
      <c r="J322" s="5"/>
      <c r="K322" s="5"/>
      <c r="L322" s="5"/>
    </row>
    <row r="323" customHeight="1" spans="1:12">
      <c r="A323" s="5"/>
      <c r="B323" s="5"/>
      <c r="C323" s="5"/>
      <c r="D323" s="5"/>
      <c r="E323" s="5"/>
      <c r="F323" s="5"/>
      <c r="H323" s="5"/>
      <c r="I323" s="5"/>
      <c r="J323" s="5"/>
      <c r="K323" s="5"/>
      <c r="L323" s="5"/>
    </row>
    <row r="324" customHeight="1" spans="1:12">
      <c r="A324" s="5"/>
      <c r="B324" s="5"/>
      <c r="C324" s="5"/>
      <c r="D324" s="5"/>
      <c r="E324" s="5"/>
      <c r="F324" s="5"/>
      <c r="H324" s="5"/>
      <c r="I324" s="5"/>
      <c r="J324" s="5"/>
      <c r="K324" s="5"/>
      <c r="L324" s="5"/>
    </row>
    <row r="325" customHeight="1" spans="1:12">
      <c r="A325" s="5"/>
      <c r="B325" s="5"/>
      <c r="C325" s="5"/>
      <c r="D325" s="5"/>
      <c r="E325" s="5"/>
      <c r="F325" s="5"/>
      <c r="H325" s="5"/>
      <c r="I325" s="5"/>
      <c r="J325" s="5"/>
      <c r="K325" s="5"/>
      <c r="L325" s="5"/>
    </row>
    <row r="326" customHeight="1" spans="1:12">
      <c r="A326" s="5"/>
      <c r="B326" s="5"/>
      <c r="C326" s="5"/>
      <c r="D326" s="5"/>
      <c r="E326" s="5"/>
      <c r="F326" s="5"/>
      <c r="H326" s="5"/>
      <c r="I326" s="5"/>
      <c r="J326" s="5"/>
      <c r="K326" s="5"/>
      <c r="L326" s="5"/>
    </row>
    <row r="327" customHeight="1" spans="1:12">
      <c r="A327" s="5"/>
      <c r="B327" s="5"/>
      <c r="C327" s="5"/>
      <c r="D327" s="5"/>
      <c r="E327" s="5"/>
      <c r="F327" s="5"/>
      <c r="H327" s="5"/>
      <c r="I327" s="5"/>
      <c r="J327" s="5"/>
      <c r="K327" s="5"/>
      <c r="L327" s="5"/>
    </row>
    <row r="328" customHeight="1" spans="1:12">
      <c r="A328" s="5"/>
      <c r="B328" s="5"/>
      <c r="C328" s="5"/>
      <c r="D328" s="5"/>
      <c r="E328" s="5"/>
      <c r="F328" s="5"/>
      <c r="H328" s="5"/>
      <c r="I328" s="5"/>
      <c r="J328" s="5"/>
      <c r="K328" s="5"/>
      <c r="L328" s="5"/>
    </row>
    <row r="329" customHeight="1" spans="1:12">
      <c r="A329" s="5"/>
      <c r="B329" s="5"/>
      <c r="C329" s="5"/>
      <c r="D329" s="5"/>
      <c r="E329" s="5"/>
      <c r="F329" s="5"/>
      <c r="H329" s="5"/>
      <c r="I329" s="5"/>
      <c r="J329" s="5"/>
      <c r="K329" s="5"/>
      <c r="L329" s="5"/>
    </row>
    <row r="330" customHeight="1" spans="1:12">
      <c r="A330" s="5"/>
      <c r="B330" s="5"/>
      <c r="C330" s="5"/>
      <c r="D330" s="5"/>
      <c r="E330" s="5"/>
      <c r="F330" s="5"/>
      <c r="H330" s="5"/>
      <c r="I330" s="5"/>
      <c r="J330" s="5"/>
      <c r="K330" s="5"/>
      <c r="L330" s="5"/>
    </row>
    <row r="331" customHeight="1" spans="1:12">
      <c r="A331" s="5"/>
      <c r="B331" s="5"/>
      <c r="C331" s="5"/>
      <c r="D331" s="5"/>
      <c r="E331" s="5"/>
      <c r="F331" s="5"/>
      <c r="H331" s="5"/>
      <c r="I331" s="5"/>
      <c r="J331" s="5"/>
      <c r="K331" s="5"/>
      <c r="L331" s="5"/>
    </row>
    <row r="332" customHeight="1" spans="1:12">
      <c r="A332" s="5"/>
      <c r="B332" s="5"/>
      <c r="C332" s="5"/>
      <c r="D332" s="5"/>
      <c r="E332" s="5"/>
      <c r="F332" s="5"/>
      <c r="H332" s="5"/>
      <c r="I332" s="5"/>
      <c r="J332" s="5"/>
      <c r="K332" s="5"/>
      <c r="L332" s="5"/>
    </row>
    <row r="333" customHeight="1" spans="1:12">
      <c r="A333" s="5"/>
      <c r="B333" s="5"/>
      <c r="C333" s="5"/>
      <c r="D333" s="5"/>
      <c r="E333" s="5"/>
      <c r="F333" s="5"/>
      <c r="H333" s="5"/>
      <c r="I333" s="5"/>
      <c r="J333" s="5"/>
      <c r="K333" s="5"/>
      <c r="L333" s="5"/>
    </row>
    <row r="334" customHeight="1" spans="1:12">
      <c r="A334" s="5"/>
      <c r="B334" s="5"/>
      <c r="C334" s="5"/>
      <c r="D334" s="5"/>
      <c r="E334" s="5"/>
      <c r="F334" s="5"/>
      <c r="H334" s="5"/>
      <c r="I334" s="5"/>
      <c r="J334" s="5"/>
      <c r="K334" s="5"/>
      <c r="L334" s="5"/>
    </row>
    <row r="335" customHeight="1" spans="1:12">
      <c r="A335" s="5"/>
      <c r="B335" s="5"/>
      <c r="C335" s="5"/>
      <c r="D335" s="5"/>
      <c r="E335" s="5"/>
      <c r="F335" s="5"/>
      <c r="H335" s="5"/>
      <c r="I335" s="5"/>
      <c r="J335" s="5"/>
      <c r="K335" s="5"/>
      <c r="L335" s="5"/>
    </row>
    <row r="336" customHeight="1" spans="1:12">
      <c r="A336" s="5"/>
      <c r="B336" s="5"/>
      <c r="C336" s="5"/>
      <c r="D336" s="5"/>
      <c r="E336" s="5"/>
      <c r="F336" s="5"/>
      <c r="H336" s="5"/>
      <c r="I336" s="5"/>
      <c r="J336" s="5"/>
      <c r="K336" s="5"/>
      <c r="L336" s="5"/>
    </row>
    <row r="337" customHeight="1" spans="1:12">
      <c r="A337" s="5"/>
      <c r="B337" s="5"/>
      <c r="C337" s="5"/>
      <c r="D337" s="5"/>
      <c r="E337" s="5"/>
      <c r="F337" s="5"/>
      <c r="H337" s="5"/>
      <c r="I337" s="5"/>
      <c r="J337" s="5"/>
      <c r="K337" s="5"/>
      <c r="L337" s="5"/>
    </row>
    <row r="338" customHeight="1" spans="1:12">
      <c r="A338" s="5"/>
      <c r="B338" s="5"/>
      <c r="C338" s="5"/>
      <c r="D338" s="5"/>
      <c r="E338" s="5"/>
      <c r="F338" s="5"/>
      <c r="H338" s="5"/>
      <c r="I338" s="5"/>
      <c r="J338" s="5"/>
      <c r="K338" s="5"/>
      <c r="L338" s="5"/>
    </row>
    <row r="339" customHeight="1" spans="1:12">
      <c r="A339" s="5"/>
      <c r="B339" s="5"/>
      <c r="C339" s="5"/>
      <c r="D339" s="5"/>
      <c r="E339" s="5"/>
      <c r="F339" s="5"/>
      <c r="H339" s="5"/>
      <c r="I339" s="5"/>
      <c r="J339" s="5"/>
      <c r="K339" s="5"/>
      <c r="L339" s="5"/>
    </row>
    <row r="340" customHeight="1" spans="1:12">
      <c r="A340" s="5"/>
      <c r="B340" s="5"/>
      <c r="C340" s="5"/>
      <c r="D340" s="5"/>
      <c r="E340" s="5"/>
      <c r="F340" s="5"/>
      <c r="H340" s="5"/>
      <c r="I340" s="5"/>
      <c r="J340" s="5"/>
      <c r="K340" s="5"/>
      <c r="L340" s="5"/>
    </row>
    <row r="341" customHeight="1" spans="1:12">
      <c r="A341" s="5"/>
      <c r="B341" s="5"/>
      <c r="C341" s="5"/>
      <c r="D341" s="5"/>
      <c r="E341" s="5"/>
      <c r="F341" s="5"/>
      <c r="H341" s="5"/>
      <c r="I341" s="5"/>
      <c r="J341" s="5"/>
      <c r="K341" s="5"/>
      <c r="L341" s="5"/>
    </row>
    <row r="342" customHeight="1" spans="1:12">
      <c r="A342" s="5"/>
      <c r="B342" s="5"/>
      <c r="C342" s="5"/>
      <c r="D342" s="5"/>
      <c r="E342" s="5"/>
      <c r="F342" s="5"/>
      <c r="H342" s="5"/>
      <c r="I342" s="5"/>
      <c r="J342" s="5"/>
      <c r="K342" s="5"/>
      <c r="L342" s="5"/>
    </row>
    <row r="343" customHeight="1" spans="1:12">
      <c r="A343" s="5"/>
      <c r="B343" s="5"/>
      <c r="C343" s="5"/>
      <c r="D343" s="5"/>
      <c r="E343" s="5"/>
      <c r="F343" s="5"/>
      <c r="H343" s="5"/>
      <c r="I343" s="5"/>
      <c r="J343" s="5"/>
      <c r="K343" s="5"/>
      <c r="L343" s="5"/>
    </row>
    <row r="344" customHeight="1" spans="1:12">
      <c r="A344" s="5"/>
      <c r="B344" s="5"/>
      <c r="C344" s="5"/>
      <c r="D344" s="5"/>
      <c r="E344" s="5"/>
      <c r="F344" s="5"/>
      <c r="H344" s="5"/>
      <c r="I344" s="5"/>
      <c r="J344" s="5"/>
      <c r="K344" s="5"/>
      <c r="L344" s="5"/>
    </row>
    <row r="345" customHeight="1" spans="1:12">
      <c r="A345" s="5"/>
      <c r="B345" s="5"/>
      <c r="C345" s="5"/>
      <c r="D345" s="5"/>
      <c r="E345" s="5"/>
      <c r="F345" s="5"/>
      <c r="H345" s="5"/>
      <c r="I345" s="5"/>
      <c r="J345" s="5"/>
      <c r="K345" s="5"/>
      <c r="L345" s="5"/>
    </row>
    <row r="346" customHeight="1" spans="1:12">
      <c r="A346" s="5"/>
      <c r="B346" s="5"/>
      <c r="C346" s="5"/>
      <c r="D346" s="5"/>
      <c r="E346" s="5"/>
      <c r="F346" s="5"/>
      <c r="H346" s="5"/>
      <c r="I346" s="5"/>
      <c r="J346" s="5"/>
      <c r="K346" s="5"/>
      <c r="L346" s="5"/>
    </row>
    <row r="347" customHeight="1" spans="1:12">
      <c r="A347" s="5"/>
      <c r="B347" s="5"/>
      <c r="C347" s="5"/>
      <c r="D347" s="5"/>
      <c r="E347" s="5"/>
      <c r="F347" s="5"/>
      <c r="H347" s="5"/>
      <c r="I347" s="5"/>
      <c r="J347" s="5"/>
      <c r="K347" s="5"/>
      <c r="L347" s="5"/>
    </row>
    <row r="348" customHeight="1" spans="1:12">
      <c r="A348" s="5"/>
      <c r="B348" s="5"/>
      <c r="C348" s="5"/>
      <c r="D348" s="5"/>
      <c r="E348" s="5"/>
      <c r="F348" s="5"/>
      <c r="H348" s="5"/>
      <c r="I348" s="5"/>
      <c r="J348" s="5"/>
      <c r="K348" s="5"/>
      <c r="L348" s="5"/>
    </row>
    <row r="349" customHeight="1" spans="1:12">
      <c r="A349" s="5"/>
      <c r="B349" s="5"/>
      <c r="C349" s="5"/>
      <c r="D349" s="5"/>
      <c r="E349" s="5"/>
      <c r="F349" s="5"/>
      <c r="H349" s="5"/>
      <c r="I349" s="5"/>
      <c r="J349" s="5"/>
      <c r="K349" s="5"/>
      <c r="L349" s="5"/>
    </row>
    <row r="350" customHeight="1" spans="1:12">
      <c r="A350" s="5"/>
      <c r="B350" s="5"/>
      <c r="C350" s="5"/>
      <c r="D350" s="5"/>
      <c r="E350" s="5"/>
      <c r="F350" s="5"/>
      <c r="H350" s="5"/>
      <c r="I350" s="5"/>
      <c r="J350" s="5"/>
      <c r="K350" s="5"/>
      <c r="L350" s="5"/>
    </row>
    <row r="351" customHeight="1" spans="1:12">
      <c r="A351" s="5"/>
      <c r="B351" s="5"/>
      <c r="C351" s="5"/>
      <c r="D351" s="5"/>
      <c r="E351" s="5"/>
      <c r="F351" s="5"/>
      <c r="H351" s="5"/>
      <c r="I351" s="5"/>
      <c r="J351" s="5"/>
      <c r="K351" s="5"/>
      <c r="L351" s="5"/>
    </row>
    <row r="352" customHeight="1" spans="1:12">
      <c r="A352" s="5"/>
      <c r="B352" s="5"/>
      <c r="C352" s="5"/>
      <c r="D352" s="5"/>
      <c r="E352" s="5"/>
      <c r="F352" s="5"/>
      <c r="H352" s="5"/>
      <c r="I352" s="5"/>
      <c r="J352" s="5"/>
      <c r="K352" s="5"/>
      <c r="L352" s="5"/>
    </row>
    <row r="353" customHeight="1" spans="1:12">
      <c r="A353" s="5"/>
      <c r="B353" s="5"/>
      <c r="C353" s="5"/>
      <c r="D353" s="5"/>
      <c r="E353" s="5"/>
      <c r="F353" s="5"/>
      <c r="H353" s="5"/>
      <c r="I353" s="5"/>
      <c r="J353" s="5"/>
      <c r="K353" s="5"/>
      <c r="L353" s="5"/>
    </row>
    <row r="354" customHeight="1" spans="1:12">
      <c r="A354" s="5"/>
      <c r="B354" s="5"/>
      <c r="C354" s="5"/>
      <c r="D354" s="5"/>
      <c r="E354" s="5"/>
      <c r="F354" s="5"/>
      <c r="H354" s="5"/>
      <c r="I354" s="5"/>
      <c r="J354" s="5"/>
      <c r="K354" s="5"/>
      <c r="L354" s="5"/>
    </row>
    <row r="355" customHeight="1" spans="1:12">
      <c r="A355" s="5"/>
      <c r="B355" s="5"/>
      <c r="C355" s="5"/>
      <c r="D355" s="5"/>
      <c r="E355" s="5"/>
      <c r="F355" s="5"/>
      <c r="H355" s="5"/>
      <c r="I355" s="5"/>
      <c r="J355" s="5"/>
      <c r="K355" s="5"/>
      <c r="L355" s="5"/>
    </row>
    <row r="356" customHeight="1" spans="1:12">
      <c r="A356" s="5"/>
      <c r="B356" s="5"/>
      <c r="C356" s="5"/>
      <c r="D356" s="5"/>
      <c r="E356" s="5"/>
      <c r="F356" s="5"/>
      <c r="H356" s="5"/>
      <c r="I356" s="5"/>
      <c r="J356" s="5"/>
      <c r="K356" s="5"/>
      <c r="L356" s="5"/>
    </row>
    <row r="357" customHeight="1" spans="1:12">
      <c r="A357" s="5"/>
      <c r="B357" s="5"/>
      <c r="C357" s="5"/>
      <c r="D357" s="5"/>
      <c r="E357" s="5"/>
      <c r="F357" s="5"/>
      <c r="H357" s="5"/>
      <c r="I357" s="5"/>
      <c r="J357" s="5"/>
      <c r="K357" s="5"/>
      <c r="L357" s="5"/>
    </row>
    <row r="358" customHeight="1" spans="1:12">
      <c r="A358" s="5"/>
      <c r="B358" s="5"/>
      <c r="C358" s="5"/>
      <c r="D358" s="5"/>
      <c r="E358" s="5"/>
      <c r="F358" s="5"/>
      <c r="H358" s="5"/>
      <c r="I358" s="5"/>
      <c r="J358" s="5"/>
      <c r="K358" s="5"/>
      <c r="L358" s="5"/>
    </row>
    <row r="359" customHeight="1" spans="1:12">
      <c r="A359" s="5"/>
      <c r="B359" s="5"/>
      <c r="C359" s="5"/>
      <c r="D359" s="5"/>
      <c r="E359" s="5"/>
      <c r="F359" s="5"/>
      <c r="H359" s="5"/>
      <c r="I359" s="5"/>
      <c r="J359" s="5"/>
      <c r="K359" s="5"/>
      <c r="L359" s="5"/>
    </row>
    <row r="360" customHeight="1" spans="1:12">
      <c r="A360" s="5"/>
      <c r="B360" s="5"/>
      <c r="C360" s="5"/>
      <c r="D360" s="5"/>
      <c r="E360" s="5"/>
      <c r="F360" s="5"/>
      <c r="H360" s="5"/>
      <c r="I360" s="5"/>
      <c r="J360" s="5"/>
      <c r="K360" s="5"/>
      <c r="L360" s="5"/>
    </row>
    <row r="361" customHeight="1" spans="1:12">
      <c r="A361" s="5"/>
      <c r="B361" s="5"/>
      <c r="C361" s="5"/>
      <c r="D361" s="5"/>
      <c r="E361" s="5"/>
      <c r="F361" s="5"/>
      <c r="H361" s="5"/>
      <c r="I361" s="5"/>
      <c r="J361" s="5"/>
      <c r="K361" s="5"/>
      <c r="L361" s="5"/>
    </row>
    <row r="362" customHeight="1" spans="1:12">
      <c r="A362" s="5"/>
      <c r="B362" s="5"/>
      <c r="C362" s="5"/>
      <c r="D362" s="5"/>
      <c r="E362" s="5"/>
      <c r="F362" s="5"/>
      <c r="H362" s="5"/>
      <c r="I362" s="5"/>
      <c r="J362" s="5"/>
      <c r="K362" s="5"/>
      <c r="L362" s="5"/>
    </row>
    <row r="363" customHeight="1" spans="1:12">
      <c r="A363" s="5"/>
      <c r="B363" s="5"/>
      <c r="C363" s="5"/>
      <c r="D363" s="5"/>
      <c r="E363" s="5"/>
      <c r="F363" s="5"/>
      <c r="H363" s="5"/>
      <c r="I363" s="5"/>
      <c r="J363" s="5"/>
      <c r="K363" s="5"/>
      <c r="L363" s="5"/>
    </row>
    <row r="364" customHeight="1" spans="1:12">
      <c r="A364" s="5"/>
      <c r="B364" s="5"/>
      <c r="C364" s="5"/>
      <c r="D364" s="5"/>
      <c r="E364" s="5"/>
      <c r="F364" s="5"/>
      <c r="H364" s="5"/>
      <c r="I364" s="5"/>
      <c r="J364" s="5"/>
      <c r="K364" s="5"/>
      <c r="L364" s="5"/>
    </row>
    <row r="365" customHeight="1" spans="1:12">
      <c r="A365" s="5"/>
      <c r="B365" s="5"/>
      <c r="C365" s="5"/>
      <c r="D365" s="5"/>
      <c r="E365" s="5"/>
      <c r="F365" s="5"/>
      <c r="H365" s="5"/>
      <c r="I365" s="5"/>
      <c r="J365" s="5"/>
      <c r="K365" s="5"/>
      <c r="L365" s="5"/>
    </row>
    <row r="366" customHeight="1" spans="1:12">
      <c r="A366" s="5"/>
      <c r="B366" s="5"/>
      <c r="C366" s="5"/>
      <c r="D366" s="5"/>
      <c r="E366" s="5"/>
      <c r="F366" s="5"/>
      <c r="H366" s="5"/>
      <c r="I366" s="5"/>
      <c r="J366" s="5"/>
      <c r="K366" s="5"/>
      <c r="L366" s="5"/>
    </row>
    <row r="367" customHeight="1" spans="1:12">
      <c r="A367" s="5"/>
      <c r="B367" s="5"/>
      <c r="C367" s="5"/>
      <c r="D367" s="5"/>
      <c r="E367" s="5"/>
      <c r="F367" s="5"/>
      <c r="H367" s="5"/>
      <c r="I367" s="5"/>
      <c r="J367" s="5"/>
      <c r="K367" s="5"/>
      <c r="L367" s="5"/>
    </row>
    <row r="368" customHeight="1" spans="1:12">
      <c r="A368" s="5"/>
      <c r="B368" s="5"/>
      <c r="C368" s="5"/>
      <c r="D368" s="5"/>
      <c r="E368" s="5"/>
      <c r="F368" s="5"/>
      <c r="H368" s="5"/>
      <c r="I368" s="5"/>
      <c r="J368" s="5"/>
      <c r="K368" s="5"/>
      <c r="L368" s="5"/>
    </row>
    <row r="369" customHeight="1" spans="1:12">
      <c r="A369" s="5"/>
      <c r="B369" s="5"/>
      <c r="C369" s="5"/>
      <c r="D369" s="5"/>
      <c r="E369" s="5"/>
      <c r="F369" s="5"/>
      <c r="H369" s="5"/>
      <c r="I369" s="5"/>
      <c r="J369" s="5"/>
      <c r="K369" s="5"/>
      <c r="L369" s="5"/>
    </row>
    <row r="370" customHeight="1" spans="1:12">
      <c r="A370" s="5"/>
      <c r="B370" s="5"/>
      <c r="C370" s="5"/>
      <c r="D370" s="5"/>
      <c r="E370" s="5"/>
      <c r="F370" s="5"/>
      <c r="H370" s="5"/>
      <c r="I370" s="5"/>
      <c r="J370" s="5"/>
      <c r="K370" s="5"/>
      <c r="L370" s="5"/>
    </row>
    <row r="371" customHeight="1" spans="1:12">
      <c r="A371" s="5"/>
      <c r="B371" s="5"/>
      <c r="C371" s="5"/>
      <c r="D371" s="5"/>
      <c r="E371" s="5"/>
      <c r="F371" s="5"/>
      <c r="H371" s="5"/>
      <c r="I371" s="5"/>
      <c r="J371" s="5"/>
      <c r="K371" s="5"/>
      <c r="L371" s="5"/>
    </row>
    <row r="372" customHeight="1" spans="1:12">
      <c r="A372" s="5"/>
      <c r="B372" s="5"/>
      <c r="C372" s="5"/>
      <c r="D372" s="5"/>
      <c r="E372" s="5"/>
      <c r="F372" s="5"/>
      <c r="H372" s="5"/>
      <c r="I372" s="5"/>
      <c r="J372" s="5"/>
      <c r="K372" s="5"/>
      <c r="L372" s="5"/>
    </row>
    <row r="373" customHeight="1" spans="1:12">
      <c r="A373" s="5"/>
      <c r="B373" s="5"/>
      <c r="C373" s="5"/>
      <c r="D373" s="5"/>
      <c r="E373" s="5"/>
      <c r="F373" s="5"/>
      <c r="H373" s="5"/>
      <c r="I373" s="5"/>
      <c r="J373" s="5"/>
      <c r="K373" s="5"/>
      <c r="L373" s="5"/>
    </row>
    <row r="374" customHeight="1" spans="1:12">
      <c r="A374" s="5"/>
      <c r="B374" s="5"/>
      <c r="C374" s="5"/>
      <c r="D374" s="5"/>
      <c r="E374" s="5"/>
      <c r="F374" s="5"/>
      <c r="H374" s="5"/>
      <c r="I374" s="5"/>
      <c r="J374" s="5"/>
      <c r="K374" s="5"/>
      <c r="L374" s="5"/>
    </row>
    <row r="375" customHeight="1" spans="1:12">
      <c r="A375" s="5"/>
      <c r="B375" s="5"/>
      <c r="C375" s="5"/>
      <c r="D375" s="5"/>
      <c r="E375" s="5"/>
      <c r="F375" s="5"/>
      <c r="H375" s="5"/>
      <c r="I375" s="5"/>
      <c r="J375" s="5"/>
      <c r="K375" s="5"/>
      <c r="L375" s="5"/>
    </row>
    <row r="376" customHeight="1" spans="1:12">
      <c r="A376" s="5"/>
      <c r="B376" s="5"/>
      <c r="C376" s="5"/>
      <c r="D376" s="5"/>
      <c r="E376" s="5"/>
      <c r="F376" s="5"/>
      <c r="H376" s="5"/>
      <c r="I376" s="5"/>
      <c r="J376" s="5"/>
      <c r="K376" s="5"/>
      <c r="L376" s="5"/>
    </row>
    <row r="377" customHeight="1" spans="1:12">
      <c r="A377" s="5"/>
      <c r="B377" s="5"/>
      <c r="C377" s="5"/>
      <c r="D377" s="5"/>
      <c r="E377" s="5"/>
      <c r="F377" s="5"/>
      <c r="H377" s="5"/>
      <c r="I377" s="5"/>
      <c r="J377" s="5"/>
      <c r="K377" s="5"/>
      <c r="L377" s="5"/>
    </row>
    <row r="378" customHeight="1" spans="1:12">
      <c r="A378" s="5"/>
      <c r="B378" s="5"/>
      <c r="C378" s="5"/>
      <c r="D378" s="5"/>
      <c r="E378" s="5"/>
      <c r="F378" s="5"/>
      <c r="H378" s="5"/>
      <c r="I378" s="5"/>
      <c r="J378" s="5"/>
      <c r="K378" s="5"/>
      <c r="L378" s="5"/>
    </row>
    <row r="379" customHeight="1" spans="1:12">
      <c r="A379" s="5"/>
      <c r="B379" s="5"/>
      <c r="C379" s="5"/>
      <c r="D379" s="5"/>
      <c r="E379" s="5"/>
      <c r="F379" s="5"/>
      <c r="H379" s="5"/>
      <c r="I379" s="5"/>
      <c r="J379" s="5"/>
      <c r="K379" s="5"/>
      <c r="L379" s="5"/>
    </row>
    <row r="380" customHeight="1" spans="1:12">
      <c r="A380" s="5"/>
      <c r="B380" s="5"/>
      <c r="C380" s="5"/>
      <c r="D380" s="5"/>
      <c r="E380" s="5"/>
      <c r="F380" s="5"/>
      <c r="H380" s="5"/>
      <c r="I380" s="5"/>
      <c r="J380" s="5"/>
      <c r="K380" s="5"/>
      <c r="L380" s="5"/>
    </row>
    <row r="381" customHeight="1" spans="1:12">
      <c r="A381" s="5"/>
      <c r="B381" s="5"/>
      <c r="C381" s="5"/>
      <c r="D381" s="5"/>
      <c r="E381" s="5"/>
      <c r="F381" s="5"/>
      <c r="H381" s="5"/>
      <c r="I381" s="5"/>
      <c r="J381" s="5"/>
      <c r="K381" s="5"/>
      <c r="L381" s="5"/>
    </row>
    <row r="382" customHeight="1" spans="1:12">
      <c r="A382" s="5"/>
      <c r="B382" s="5"/>
      <c r="C382" s="5"/>
      <c r="D382" s="5"/>
      <c r="E382" s="5"/>
      <c r="F382" s="5"/>
      <c r="H382" s="5"/>
      <c r="I382" s="5"/>
      <c r="J382" s="5"/>
      <c r="K382" s="5"/>
      <c r="L382" s="5"/>
    </row>
    <row r="383" customHeight="1" spans="1:12">
      <c r="A383" s="5"/>
      <c r="B383" s="5"/>
      <c r="C383" s="5"/>
      <c r="D383" s="5"/>
      <c r="E383" s="5"/>
      <c r="F383" s="5"/>
      <c r="H383" s="5"/>
      <c r="I383" s="5"/>
      <c r="J383" s="5"/>
      <c r="K383" s="5"/>
      <c r="L383" s="5"/>
    </row>
    <row r="384" customHeight="1" spans="1:12">
      <c r="A384" s="5"/>
      <c r="B384" s="5"/>
      <c r="C384" s="5"/>
      <c r="D384" s="5"/>
      <c r="E384" s="5"/>
      <c r="F384" s="5"/>
      <c r="H384" s="5"/>
      <c r="I384" s="5"/>
      <c r="J384" s="5"/>
      <c r="K384" s="5"/>
      <c r="L384" s="5"/>
    </row>
    <row r="385" customHeight="1" spans="1:12">
      <c r="A385" s="5"/>
      <c r="B385" s="5"/>
      <c r="C385" s="5"/>
      <c r="D385" s="5"/>
      <c r="E385" s="5"/>
      <c r="F385" s="5"/>
      <c r="H385" s="5"/>
      <c r="I385" s="5"/>
      <c r="J385" s="5"/>
      <c r="K385" s="5"/>
      <c r="L385" s="5"/>
    </row>
    <row r="386" customHeight="1" spans="1:12">
      <c r="A386" s="5"/>
      <c r="B386" s="5"/>
      <c r="C386" s="5"/>
      <c r="D386" s="5"/>
      <c r="E386" s="5"/>
      <c r="F386" s="5"/>
      <c r="H386" s="5"/>
      <c r="I386" s="5"/>
      <c r="J386" s="5"/>
      <c r="K386" s="5"/>
      <c r="L386" s="5"/>
    </row>
    <row r="387" customHeight="1" spans="1:12">
      <c r="A387" s="5"/>
      <c r="B387" s="5"/>
      <c r="C387" s="5"/>
      <c r="D387" s="5"/>
      <c r="E387" s="5"/>
      <c r="F387" s="5"/>
      <c r="H387" s="5"/>
      <c r="I387" s="5"/>
      <c r="J387" s="5"/>
      <c r="K387" s="5"/>
      <c r="L387" s="5"/>
    </row>
    <row r="388" customHeight="1" spans="1:12">
      <c r="A388" s="5"/>
      <c r="B388" s="5"/>
      <c r="C388" s="5"/>
      <c r="D388" s="5"/>
      <c r="E388" s="5"/>
      <c r="F388" s="5"/>
      <c r="H388" s="5"/>
      <c r="I388" s="5"/>
      <c r="J388" s="5"/>
      <c r="K388" s="5"/>
      <c r="L388" s="5"/>
    </row>
    <row r="389" customHeight="1" spans="1:12">
      <c r="A389" s="5"/>
      <c r="B389" s="5"/>
      <c r="C389" s="5"/>
      <c r="D389" s="5"/>
      <c r="E389" s="5"/>
      <c r="F389" s="5"/>
      <c r="H389" s="5"/>
      <c r="I389" s="5"/>
      <c r="J389" s="5"/>
      <c r="K389" s="5"/>
      <c r="L389" s="5"/>
    </row>
    <row r="390" customHeight="1" spans="1:12">
      <c r="A390" s="5"/>
      <c r="B390" s="5"/>
      <c r="C390" s="5"/>
      <c r="D390" s="5"/>
      <c r="E390" s="5"/>
      <c r="F390" s="5"/>
      <c r="H390" s="5"/>
      <c r="I390" s="5"/>
      <c r="J390" s="5"/>
      <c r="K390" s="5"/>
      <c r="L390" s="5"/>
    </row>
    <row r="391" customHeight="1" spans="1:12">
      <c r="A391" s="5"/>
      <c r="B391" s="5"/>
      <c r="C391" s="5"/>
      <c r="D391" s="5"/>
      <c r="E391" s="5"/>
      <c r="F391" s="5"/>
      <c r="H391" s="5"/>
      <c r="I391" s="5"/>
      <c r="J391" s="5"/>
      <c r="K391" s="5"/>
      <c r="L391" s="5"/>
    </row>
    <row r="392" customHeight="1" spans="1:12">
      <c r="A392" s="5"/>
      <c r="B392" s="5"/>
      <c r="C392" s="5"/>
      <c r="D392" s="5"/>
      <c r="E392" s="5"/>
      <c r="F392" s="5"/>
      <c r="H392" s="5"/>
      <c r="I392" s="5"/>
      <c r="J392" s="5"/>
      <c r="K392" s="5"/>
      <c r="L392" s="5"/>
    </row>
    <row r="393" customHeight="1" spans="1:12">
      <c r="A393" s="5"/>
      <c r="B393" s="5"/>
      <c r="C393" s="5"/>
      <c r="D393" s="5"/>
      <c r="E393" s="5"/>
      <c r="F393" s="5"/>
      <c r="H393" s="5"/>
      <c r="I393" s="5"/>
      <c r="J393" s="5"/>
      <c r="K393" s="5"/>
      <c r="L393" s="5"/>
    </row>
    <row r="394" customHeight="1" spans="1:12">
      <c r="A394" s="5"/>
      <c r="B394" s="5"/>
      <c r="C394" s="5"/>
      <c r="D394" s="5"/>
      <c r="E394" s="5"/>
      <c r="F394" s="5"/>
      <c r="H394" s="5"/>
      <c r="I394" s="5"/>
      <c r="J394" s="5"/>
      <c r="K394" s="5"/>
      <c r="L394" s="5"/>
    </row>
    <row r="395" customHeight="1" spans="1:12">
      <c r="A395" s="5"/>
      <c r="B395" s="5"/>
      <c r="C395" s="5"/>
      <c r="D395" s="5"/>
      <c r="E395" s="5"/>
      <c r="F395" s="5"/>
      <c r="H395" s="5"/>
      <c r="I395" s="5"/>
      <c r="J395" s="5"/>
      <c r="K395" s="5"/>
      <c r="L395" s="5"/>
    </row>
    <row r="396" customHeight="1" spans="1:12">
      <c r="A396" s="5"/>
      <c r="B396" s="5"/>
      <c r="C396" s="5"/>
      <c r="D396" s="5"/>
      <c r="E396" s="5"/>
      <c r="F396" s="5"/>
      <c r="H396" s="5"/>
      <c r="I396" s="5"/>
      <c r="J396" s="5"/>
      <c r="K396" s="5"/>
      <c r="L396" s="5"/>
    </row>
    <row r="397" customHeight="1" spans="1:12">
      <c r="A397" s="5"/>
      <c r="B397" s="5"/>
      <c r="C397" s="5"/>
      <c r="D397" s="5"/>
      <c r="E397" s="5"/>
      <c r="F397" s="5"/>
      <c r="H397" s="5"/>
      <c r="I397" s="5"/>
      <c r="J397" s="5"/>
      <c r="K397" s="5"/>
      <c r="L397" s="5"/>
    </row>
    <row r="398" customHeight="1" spans="1:12">
      <c r="A398" s="5"/>
      <c r="B398" s="5"/>
      <c r="C398" s="5"/>
      <c r="D398" s="5"/>
      <c r="E398" s="5"/>
      <c r="F398" s="5"/>
      <c r="H398" s="5"/>
      <c r="I398" s="5"/>
      <c r="J398" s="5"/>
      <c r="K398" s="5"/>
      <c r="L398" s="5"/>
    </row>
    <row r="399" customHeight="1" spans="1:12">
      <c r="A399" s="5"/>
      <c r="B399" s="5"/>
      <c r="C399" s="5"/>
      <c r="D399" s="5"/>
      <c r="E399" s="5"/>
      <c r="F399" s="5"/>
      <c r="H399" s="5"/>
      <c r="I399" s="5"/>
      <c r="J399" s="5"/>
      <c r="K399" s="5"/>
      <c r="L399" s="5"/>
    </row>
    <row r="400" customHeight="1" spans="1:12">
      <c r="A400" s="5"/>
      <c r="B400" s="5"/>
      <c r="C400" s="5"/>
      <c r="D400" s="5"/>
      <c r="E400" s="5"/>
      <c r="F400" s="5"/>
      <c r="H400" s="5"/>
      <c r="I400" s="5"/>
      <c r="J400" s="5"/>
      <c r="K400" s="5"/>
      <c r="L400" s="5"/>
    </row>
    <row r="401" customHeight="1" spans="1:12">
      <c r="A401" s="5"/>
      <c r="B401" s="5"/>
      <c r="C401" s="5"/>
      <c r="D401" s="5"/>
      <c r="E401" s="5"/>
      <c r="F401" s="5"/>
      <c r="H401" s="5"/>
      <c r="I401" s="5"/>
      <c r="J401" s="5"/>
      <c r="K401" s="5"/>
      <c r="L401" s="5"/>
    </row>
    <row r="402" customHeight="1" spans="1:12">
      <c r="A402" s="5"/>
      <c r="B402" s="5"/>
      <c r="C402" s="5"/>
      <c r="D402" s="5"/>
      <c r="E402" s="5"/>
      <c r="F402" s="5"/>
      <c r="H402" s="5"/>
      <c r="I402" s="5"/>
      <c r="J402" s="5"/>
      <c r="K402" s="5"/>
      <c r="L402" s="5"/>
    </row>
    <row r="403" customHeight="1" spans="1:12">
      <c r="A403" s="5"/>
      <c r="B403" s="5"/>
      <c r="C403" s="5"/>
      <c r="D403" s="5"/>
      <c r="E403" s="5"/>
      <c r="F403" s="5"/>
      <c r="H403" s="5"/>
      <c r="I403" s="5"/>
      <c r="J403" s="5"/>
      <c r="K403" s="5"/>
      <c r="L403" s="5"/>
    </row>
    <row r="404" customHeight="1" spans="1:12">
      <c r="A404" s="5"/>
      <c r="B404" s="5"/>
      <c r="C404" s="5"/>
      <c r="D404" s="5"/>
      <c r="E404" s="5"/>
      <c r="F404" s="5"/>
      <c r="H404" s="5"/>
      <c r="I404" s="5"/>
      <c r="J404" s="5"/>
      <c r="K404" s="5"/>
      <c r="L404" s="5"/>
    </row>
    <row r="405" customHeight="1" spans="1:12">
      <c r="A405" s="5"/>
      <c r="B405" s="5"/>
      <c r="C405" s="5"/>
      <c r="D405" s="5"/>
      <c r="E405" s="5"/>
      <c r="F405" s="5"/>
      <c r="H405" s="5"/>
      <c r="I405" s="5"/>
      <c r="J405" s="5"/>
      <c r="K405" s="5"/>
      <c r="L405" s="5"/>
    </row>
    <row r="406" customHeight="1" spans="1:12">
      <c r="A406" s="5"/>
      <c r="B406" s="5"/>
      <c r="C406" s="5"/>
      <c r="D406" s="5"/>
      <c r="E406" s="5"/>
      <c r="F406" s="5"/>
      <c r="H406" s="5"/>
      <c r="I406" s="5"/>
      <c r="J406" s="5"/>
      <c r="K406" s="5"/>
      <c r="L406" s="5"/>
    </row>
    <row r="407" customHeight="1" spans="1:12">
      <c r="A407" s="5"/>
      <c r="B407" s="5"/>
      <c r="C407" s="5"/>
      <c r="D407" s="5"/>
      <c r="E407" s="5"/>
      <c r="F407" s="5"/>
      <c r="H407" s="5"/>
      <c r="I407" s="5"/>
      <c r="J407" s="5"/>
      <c r="K407" s="5"/>
      <c r="L407" s="5"/>
    </row>
    <row r="408" customHeight="1" spans="1:12">
      <c r="A408" s="5"/>
      <c r="B408" s="5"/>
      <c r="C408" s="5"/>
      <c r="D408" s="5"/>
      <c r="E408" s="5"/>
      <c r="F408" s="5"/>
      <c r="H408" s="5"/>
      <c r="I408" s="5"/>
      <c r="J408" s="5"/>
      <c r="K408" s="5"/>
      <c r="L408" s="5"/>
    </row>
    <row r="409" customHeight="1" spans="1:12">
      <c r="A409" s="5"/>
      <c r="B409" s="5"/>
      <c r="C409" s="5"/>
      <c r="D409" s="5"/>
      <c r="E409" s="5"/>
      <c r="F409" s="5"/>
      <c r="H409" s="5"/>
      <c r="I409" s="5"/>
      <c r="J409" s="5"/>
      <c r="K409" s="5"/>
      <c r="L409" s="5"/>
    </row>
    <row r="410" customHeight="1" spans="1:12">
      <c r="A410" s="5"/>
      <c r="B410" s="5"/>
      <c r="C410" s="5"/>
      <c r="D410" s="5"/>
      <c r="E410" s="5"/>
      <c r="F410" s="5"/>
      <c r="H410" s="5"/>
      <c r="I410" s="5"/>
      <c r="J410" s="5"/>
      <c r="K410" s="5"/>
      <c r="L410" s="5"/>
    </row>
    <row r="411" customHeight="1" spans="1:12">
      <c r="A411" s="5"/>
      <c r="B411" s="5"/>
      <c r="C411" s="5"/>
      <c r="D411" s="5"/>
      <c r="E411" s="5"/>
      <c r="F411" s="5"/>
      <c r="H411" s="5"/>
      <c r="I411" s="5"/>
      <c r="J411" s="5"/>
      <c r="K411" s="5"/>
      <c r="L411" s="5"/>
    </row>
    <row r="412" customHeight="1" spans="1:12">
      <c r="A412" s="5"/>
      <c r="B412" s="5"/>
      <c r="C412" s="5"/>
      <c r="D412" s="5"/>
      <c r="E412" s="5"/>
      <c r="F412" s="5"/>
      <c r="H412" s="5"/>
      <c r="I412" s="5"/>
      <c r="J412" s="5"/>
      <c r="K412" s="5"/>
      <c r="L412" s="5"/>
    </row>
    <row r="413" customHeight="1" spans="1:12">
      <c r="A413" s="5"/>
      <c r="B413" s="5"/>
      <c r="C413" s="5"/>
      <c r="D413" s="5"/>
      <c r="E413" s="5"/>
      <c r="F413" s="5"/>
      <c r="H413" s="5"/>
      <c r="I413" s="5"/>
      <c r="J413" s="5"/>
      <c r="K413" s="5"/>
      <c r="L413" s="5"/>
    </row>
    <row r="414" customHeight="1" spans="1:12">
      <c r="A414" s="5"/>
      <c r="B414" s="5"/>
      <c r="C414" s="5"/>
      <c r="D414" s="5"/>
      <c r="E414" s="5"/>
      <c r="F414" s="5"/>
      <c r="H414" s="5"/>
      <c r="I414" s="5"/>
      <c r="J414" s="5"/>
      <c r="K414" s="5"/>
      <c r="L414" s="5"/>
    </row>
    <row r="415" customHeight="1" spans="1:12">
      <c r="A415" s="5"/>
      <c r="B415" s="5"/>
      <c r="C415" s="5"/>
      <c r="D415" s="5"/>
      <c r="E415" s="5"/>
      <c r="F415" s="5"/>
      <c r="H415" s="5"/>
      <c r="I415" s="5"/>
      <c r="J415" s="5"/>
      <c r="K415" s="5"/>
      <c r="L415" s="5"/>
    </row>
    <row r="416" customHeight="1" spans="1:12">
      <c r="A416" s="5"/>
      <c r="B416" s="5"/>
      <c r="C416" s="5"/>
      <c r="D416" s="5"/>
      <c r="E416" s="5"/>
      <c r="F416" s="5"/>
      <c r="H416" s="5"/>
      <c r="I416" s="5"/>
      <c r="J416" s="5"/>
      <c r="K416" s="5"/>
      <c r="L416" s="5"/>
    </row>
    <row r="417" customHeight="1" spans="1:12">
      <c r="A417" s="5"/>
      <c r="B417" s="5"/>
      <c r="C417" s="5"/>
      <c r="D417" s="5"/>
      <c r="E417" s="5"/>
      <c r="F417" s="5"/>
      <c r="H417" s="5"/>
      <c r="I417" s="5"/>
      <c r="J417" s="5"/>
      <c r="K417" s="5"/>
      <c r="L417" s="5"/>
    </row>
    <row r="418" customHeight="1" spans="1:12">
      <c r="A418" s="5"/>
      <c r="B418" s="5"/>
      <c r="C418" s="5"/>
      <c r="D418" s="5"/>
      <c r="E418" s="5"/>
      <c r="F418" s="5"/>
      <c r="H418" s="5"/>
      <c r="I418" s="5"/>
      <c r="J418" s="5"/>
      <c r="K418" s="5"/>
      <c r="L418" s="5"/>
    </row>
    <row r="419" customHeight="1" spans="1:12">
      <c r="A419" s="5"/>
      <c r="B419" s="5"/>
      <c r="C419" s="5"/>
      <c r="D419" s="5"/>
      <c r="E419" s="5"/>
      <c r="F419" s="5"/>
      <c r="H419" s="5"/>
      <c r="I419" s="5"/>
      <c r="J419" s="5"/>
      <c r="K419" s="5"/>
      <c r="L419" s="5"/>
    </row>
    <row r="420" customHeight="1" spans="1:12">
      <c r="A420" s="5"/>
      <c r="B420" s="5"/>
      <c r="C420" s="5"/>
      <c r="D420" s="5"/>
      <c r="E420" s="5"/>
      <c r="F420" s="5"/>
      <c r="H420" s="5"/>
      <c r="I420" s="5"/>
      <c r="J420" s="5"/>
      <c r="K420" s="5"/>
      <c r="L420" s="5"/>
    </row>
    <row r="421" customHeight="1" spans="1:12">
      <c r="A421" s="5"/>
      <c r="B421" s="5"/>
      <c r="C421" s="5"/>
      <c r="D421" s="5"/>
      <c r="E421" s="5"/>
      <c r="F421" s="5"/>
      <c r="H421" s="5"/>
      <c r="I421" s="5"/>
      <c r="J421" s="5"/>
      <c r="K421" s="5"/>
      <c r="L421" s="5"/>
    </row>
    <row r="422" customHeight="1" spans="1:12">
      <c r="A422" s="5"/>
      <c r="B422" s="5"/>
      <c r="C422" s="5"/>
      <c r="D422" s="5"/>
      <c r="E422" s="5"/>
      <c r="F422" s="5"/>
      <c r="H422" s="5"/>
      <c r="I422" s="5"/>
      <c r="J422" s="5"/>
      <c r="K422" s="5"/>
      <c r="L422" s="5"/>
    </row>
    <row r="423" customHeight="1" spans="1:12">
      <c r="A423" s="5"/>
      <c r="B423" s="5"/>
      <c r="C423" s="5"/>
      <c r="D423" s="5"/>
      <c r="E423" s="5"/>
      <c r="F423" s="5"/>
      <c r="H423" s="5"/>
      <c r="I423" s="5"/>
      <c r="J423" s="5"/>
      <c r="K423" s="5"/>
      <c r="L423" s="5"/>
    </row>
    <row r="424" customHeight="1" spans="1:12">
      <c r="A424" s="5"/>
      <c r="B424" s="5"/>
      <c r="C424" s="5"/>
      <c r="D424" s="5"/>
      <c r="E424" s="5"/>
      <c r="F424" s="5"/>
      <c r="H424" s="5"/>
      <c r="I424" s="5"/>
      <c r="J424" s="5"/>
      <c r="K424" s="5"/>
      <c r="L424" s="5"/>
    </row>
    <row r="425" customHeight="1" spans="1:12">
      <c r="A425" s="5"/>
      <c r="B425" s="5"/>
      <c r="C425" s="5"/>
      <c r="D425" s="5"/>
      <c r="E425" s="5"/>
      <c r="F425" s="5"/>
      <c r="H425" s="5"/>
      <c r="I425" s="5"/>
      <c r="J425" s="5"/>
      <c r="K425" s="5"/>
      <c r="L425" s="5"/>
    </row>
    <row r="426" customHeight="1" spans="1:12">
      <c r="A426" s="5"/>
      <c r="B426" s="5"/>
      <c r="C426" s="5"/>
      <c r="D426" s="5"/>
      <c r="E426" s="5"/>
      <c r="F426" s="5"/>
      <c r="H426" s="5"/>
      <c r="I426" s="5"/>
      <c r="J426" s="5"/>
      <c r="K426" s="5"/>
      <c r="L426" s="5"/>
    </row>
    <row r="427" customHeight="1" spans="1:12">
      <c r="A427" s="5"/>
      <c r="B427" s="5"/>
      <c r="C427" s="5"/>
      <c r="D427" s="5"/>
      <c r="E427" s="5"/>
      <c r="F427" s="5"/>
      <c r="H427" s="5"/>
      <c r="I427" s="5"/>
      <c r="J427" s="5"/>
      <c r="K427" s="5"/>
      <c r="L427" s="5"/>
    </row>
    <row r="428" customHeight="1" spans="1:12">
      <c r="A428" s="5"/>
      <c r="B428" s="5"/>
      <c r="C428" s="5"/>
      <c r="D428" s="5"/>
      <c r="E428" s="5"/>
      <c r="F428" s="5"/>
      <c r="H428" s="5"/>
      <c r="I428" s="5"/>
      <c r="J428" s="5"/>
      <c r="K428" s="5"/>
      <c r="L428" s="5"/>
    </row>
    <row r="429" customHeight="1" spans="1:12">
      <c r="A429" s="5"/>
      <c r="B429" s="5"/>
      <c r="C429" s="5"/>
      <c r="D429" s="5"/>
      <c r="E429" s="5"/>
      <c r="F429" s="5"/>
      <c r="H429" s="5"/>
      <c r="I429" s="5"/>
      <c r="J429" s="5"/>
      <c r="K429" s="5"/>
      <c r="L429" s="5"/>
    </row>
    <row r="430" customHeight="1" spans="1:12">
      <c r="A430" s="5"/>
      <c r="B430" s="5"/>
      <c r="C430" s="5"/>
      <c r="D430" s="5"/>
      <c r="E430" s="5"/>
      <c r="F430" s="5"/>
      <c r="H430" s="5"/>
      <c r="I430" s="5"/>
      <c r="J430" s="5"/>
      <c r="K430" s="5"/>
      <c r="L430" s="5"/>
    </row>
    <row r="431" customHeight="1" spans="1:12">
      <c r="A431" s="5"/>
      <c r="B431" s="5"/>
      <c r="C431" s="5"/>
      <c r="D431" s="5"/>
      <c r="E431" s="5"/>
      <c r="F431" s="5"/>
      <c r="H431" s="5"/>
      <c r="I431" s="5"/>
      <c r="J431" s="5"/>
      <c r="K431" s="5"/>
      <c r="L431" s="5"/>
    </row>
    <row r="432" customHeight="1" spans="1:12">
      <c r="A432" s="5"/>
      <c r="B432" s="5"/>
      <c r="C432" s="5"/>
      <c r="D432" s="5"/>
      <c r="E432" s="5"/>
      <c r="F432" s="5"/>
      <c r="H432" s="5"/>
      <c r="I432" s="5"/>
      <c r="J432" s="5"/>
      <c r="K432" s="5"/>
      <c r="L432" s="5"/>
    </row>
    <row r="433" customHeight="1" spans="1:12">
      <c r="A433" s="5"/>
      <c r="B433" s="5"/>
      <c r="C433" s="5"/>
      <c r="D433" s="5"/>
      <c r="E433" s="5"/>
      <c r="F433" s="5"/>
      <c r="H433" s="5"/>
      <c r="I433" s="5"/>
      <c r="J433" s="5"/>
      <c r="K433" s="5"/>
      <c r="L433" s="5"/>
    </row>
    <row r="434" customHeight="1" spans="1:12">
      <c r="A434" s="5"/>
      <c r="B434" s="5"/>
      <c r="C434" s="5"/>
      <c r="D434" s="5"/>
      <c r="E434" s="5"/>
      <c r="F434" s="5"/>
      <c r="H434" s="5"/>
      <c r="I434" s="5"/>
      <c r="J434" s="5"/>
      <c r="K434" s="5"/>
      <c r="L434" s="5"/>
    </row>
    <row r="435" customHeight="1" spans="1:12">
      <c r="A435" s="5"/>
      <c r="B435" s="5"/>
      <c r="C435" s="5"/>
      <c r="D435" s="5"/>
      <c r="E435" s="5"/>
      <c r="F435" s="5"/>
      <c r="H435" s="5"/>
      <c r="I435" s="5"/>
      <c r="J435" s="5"/>
      <c r="K435" s="5"/>
      <c r="L435" s="5"/>
    </row>
    <row r="436" customHeight="1" spans="1:12">
      <c r="A436" s="5"/>
      <c r="B436" s="5"/>
      <c r="C436" s="5"/>
      <c r="D436" s="5"/>
      <c r="E436" s="5"/>
      <c r="F436" s="5"/>
      <c r="H436" s="5"/>
      <c r="I436" s="5"/>
      <c r="J436" s="5"/>
      <c r="K436" s="5"/>
      <c r="L436" s="5"/>
    </row>
    <row r="437" customHeight="1" spans="1:12">
      <c r="A437" s="5"/>
      <c r="B437" s="5"/>
      <c r="C437" s="5"/>
      <c r="D437" s="5"/>
      <c r="E437" s="5"/>
      <c r="F437" s="5"/>
      <c r="H437" s="5"/>
      <c r="I437" s="5"/>
      <c r="J437" s="5"/>
      <c r="K437" s="5"/>
      <c r="L437" s="5"/>
    </row>
    <row r="438" customHeight="1" spans="1:12">
      <c r="A438" s="5"/>
      <c r="B438" s="5"/>
      <c r="C438" s="5"/>
      <c r="D438" s="5"/>
      <c r="E438" s="5"/>
      <c r="F438" s="5"/>
      <c r="H438" s="5"/>
      <c r="I438" s="5"/>
      <c r="J438" s="5"/>
      <c r="K438" s="5"/>
      <c r="L438" s="5"/>
    </row>
    <row r="439" customHeight="1" spans="1:12">
      <c r="A439" s="5"/>
      <c r="B439" s="5"/>
      <c r="C439" s="5"/>
      <c r="D439" s="5"/>
      <c r="E439" s="5"/>
      <c r="F439" s="5"/>
      <c r="H439" s="5"/>
      <c r="I439" s="5"/>
      <c r="J439" s="5"/>
      <c r="K439" s="5"/>
      <c r="L439" s="5"/>
    </row>
    <row r="440" customHeight="1" spans="1:12">
      <c r="A440" s="5"/>
      <c r="B440" s="5"/>
      <c r="C440" s="5"/>
      <c r="D440" s="5"/>
      <c r="E440" s="5"/>
      <c r="F440" s="5"/>
      <c r="H440" s="5"/>
      <c r="I440" s="5"/>
      <c r="J440" s="5"/>
      <c r="K440" s="5"/>
      <c r="L440" s="5"/>
    </row>
    <row r="441" customHeight="1" spans="1:12">
      <c r="A441" s="5"/>
      <c r="B441" s="5"/>
      <c r="C441" s="5"/>
      <c r="D441" s="5"/>
      <c r="E441" s="5"/>
      <c r="F441" s="5"/>
      <c r="H441" s="5"/>
      <c r="I441" s="5"/>
      <c r="J441" s="5"/>
      <c r="K441" s="5"/>
      <c r="L441" s="5"/>
    </row>
    <row r="442" customHeight="1" spans="1:12">
      <c r="A442" s="5"/>
      <c r="B442" s="5"/>
      <c r="C442" s="5"/>
      <c r="D442" s="5"/>
      <c r="E442" s="5"/>
      <c r="F442" s="5"/>
      <c r="H442" s="5"/>
      <c r="I442" s="5"/>
      <c r="J442" s="5"/>
      <c r="K442" s="5"/>
      <c r="L442" s="5"/>
    </row>
    <row r="443" customHeight="1" spans="1:12">
      <c r="A443" s="5"/>
      <c r="B443" s="5"/>
      <c r="C443" s="5"/>
      <c r="D443" s="5"/>
      <c r="E443" s="5"/>
      <c r="F443" s="5"/>
      <c r="H443" s="5"/>
      <c r="I443" s="5"/>
      <c r="J443" s="5"/>
      <c r="K443" s="5"/>
      <c r="L443" s="5"/>
    </row>
    <row r="444" customHeight="1" spans="1:12">
      <c r="A444" s="5"/>
      <c r="B444" s="5"/>
      <c r="C444" s="5"/>
      <c r="D444" s="5"/>
      <c r="E444" s="5"/>
      <c r="F444" s="5"/>
      <c r="H444" s="5"/>
      <c r="I444" s="5"/>
      <c r="J444" s="5"/>
      <c r="K444" s="5"/>
      <c r="L444" s="5"/>
    </row>
    <row r="445" customHeight="1" spans="1:12">
      <c r="A445" s="5"/>
      <c r="B445" s="5"/>
      <c r="C445" s="5"/>
      <c r="D445" s="5"/>
      <c r="E445" s="5"/>
      <c r="F445" s="5"/>
      <c r="H445" s="5"/>
      <c r="I445" s="5"/>
      <c r="J445" s="5"/>
      <c r="K445" s="5"/>
      <c r="L445" s="5"/>
    </row>
    <row r="446" customHeight="1" spans="1:12">
      <c r="A446" s="5"/>
      <c r="B446" s="5"/>
      <c r="C446" s="5"/>
      <c r="D446" s="5"/>
      <c r="E446" s="5"/>
      <c r="F446" s="5"/>
      <c r="H446" s="5"/>
      <c r="I446" s="5"/>
      <c r="J446" s="5"/>
      <c r="K446" s="5"/>
      <c r="L446" s="5"/>
    </row>
    <row r="447" customHeight="1" spans="1:12">
      <c r="A447" s="5"/>
      <c r="B447" s="5"/>
      <c r="C447" s="5"/>
      <c r="D447" s="5"/>
      <c r="E447" s="5"/>
      <c r="F447" s="5"/>
      <c r="H447" s="5"/>
      <c r="I447" s="5"/>
      <c r="J447" s="5"/>
      <c r="K447" s="5"/>
      <c r="L447" s="5"/>
    </row>
    <row r="448" customHeight="1" spans="1:12">
      <c r="A448" s="5"/>
      <c r="B448" s="5"/>
      <c r="C448" s="5"/>
      <c r="D448" s="5"/>
      <c r="E448" s="5"/>
      <c r="F448" s="5"/>
      <c r="H448" s="5"/>
      <c r="I448" s="5"/>
      <c r="J448" s="5"/>
      <c r="K448" s="5"/>
      <c r="L448" s="5"/>
    </row>
    <row r="449" customHeight="1" spans="1:12">
      <c r="A449" s="5"/>
      <c r="B449" s="5"/>
      <c r="C449" s="5"/>
      <c r="D449" s="5"/>
      <c r="E449" s="5"/>
      <c r="F449" s="5"/>
      <c r="H449" s="5"/>
      <c r="I449" s="5"/>
      <c r="J449" s="5"/>
      <c r="K449" s="5"/>
      <c r="L449" s="5"/>
    </row>
    <row r="450" customHeight="1" spans="1:12">
      <c r="A450" s="5"/>
      <c r="B450" s="5"/>
      <c r="C450" s="5"/>
      <c r="D450" s="5"/>
      <c r="E450" s="5"/>
      <c r="F450" s="5"/>
      <c r="H450" s="5"/>
      <c r="I450" s="5"/>
      <c r="J450" s="5"/>
      <c r="K450" s="5"/>
      <c r="L450" s="5"/>
    </row>
    <row r="451" customHeight="1" spans="1:12">
      <c r="A451" s="5"/>
      <c r="B451" s="5"/>
      <c r="C451" s="5"/>
      <c r="D451" s="5"/>
      <c r="E451" s="5"/>
      <c r="F451" s="5"/>
      <c r="H451" s="5"/>
      <c r="I451" s="5"/>
      <c r="J451" s="5"/>
      <c r="K451" s="5"/>
      <c r="L451" s="5"/>
    </row>
    <row r="452" customHeight="1" spans="1:12">
      <c r="A452" s="5"/>
      <c r="B452" s="5"/>
      <c r="C452" s="5"/>
      <c r="D452" s="5"/>
      <c r="E452" s="5"/>
      <c r="F452" s="5"/>
      <c r="H452" s="5"/>
      <c r="I452" s="5"/>
      <c r="J452" s="5"/>
      <c r="K452" s="5"/>
      <c r="L452" s="5"/>
    </row>
    <row r="453" customHeight="1" spans="1:12">
      <c r="A453" s="5"/>
      <c r="B453" s="5"/>
      <c r="C453" s="5"/>
      <c r="D453" s="5"/>
      <c r="E453" s="5"/>
      <c r="F453" s="5"/>
      <c r="H453" s="5"/>
      <c r="I453" s="5"/>
      <c r="J453" s="5"/>
      <c r="K453" s="5"/>
      <c r="L453" s="5"/>
    </row>
    <row r="454" customHeight="1" spans="1:12">
      <c r="A454" s="5"/>
      <c r="B454" s="5"/>
      <c r="C454" s="5"/>
      <c r="D454" s="5"/>
      <c r="E454" s="5"/>
      <c r="F454" s="5"/>
      <c r="H454" s="5"/>
      <c r="I454" s="5"/>
      <c r="J454" s="5"/>
      <c r="K454" s="5"/>
      <c r="L454" s="5"/>
    </row>
    <row r="455" customHeight="1" spans="1:12">
      <c r="A455" s="5"/>
      <c r="B455" s="5"/>
      <c r="C455" s="5"/>
      <c r="D455" s="5"/>
      <c r="E455" s="5"/>
      <c r="F455" s="5"/>
      <c r="H455" s="5"/>
      <c r="I455" s="5"/>
      <c r="J455" s="5"/>
      <c r="K455" s="5"/>
      <c r="L455" s="5"/>
    </row>
    <row r="456" customHeight="1" spans="1:12">
      <c r="A456" s="5"/>
      <c r="B456" s="5"/>
      <c r="C456" s="5"/>
      <c r="D456" s="5"/>
      <c r="E456" s="5"/>
      <c r="F456" s="5"/>
      <c r="H456" s="5"/>
      <c r="I456" s="5"/>
      <c r="J456" s="5"/>
      <c r="K456" s="5"/>
      <c r="L456" s="5"/>
    </row>
    <row r="457" customHeight="1" spans="1:12">
      <c r="A457" s="5"/>
      <c r="B457" s="5"/>
      <c r="C457" s="5"/>
      <c r="D457" s="5"/>
      <c r="E457" s="5"/>
      <c r="F457" s="5"/>
      <c r="H457" s="5"/>
      <c r="I457" s="5"/>
      <c r="J457" s="5"/>
      <c r="K457" s="5"/>
      <c r="L457" s="5"/>
    </row>
    <row r="458" customHeight="1" spans="1:12">
      <c r="A458" s="5"/>
      <c r="B458" s="5"/>
      <c r="C458" s="5"/>
      <c r="D458" s="5"/>
      <c r="E458" s="5"/>
      <c r="F458" s="5"/>
      <c r="H458" s="5"/>
      <c r="I458" s="5"/>
      <c r="J458" s="5"/>
      <c r="K458" s="5"/>
      <c r="L458" s="5"/>
    </row>
    <row r="459" customHeight="1" spans="1:12">
      <c r="A459" s="5"/>
      <c r="B459" s="5"/>
      <c r="C459" s="5"/>
      <c r="D459" s="5"/>
      <c r="E459" s="5"/>
      <c r="F459" s="5"/>
      <c r="H459" s="5"/>
      <c r="I459" s="5"/>
      <c r="J459" s="5"/>
      <c r="K459" s="5"/>
      <c r="L459" s="5"/>
    </row>
    <row r="460" customHeight="1" spans="1:12">
      <c r="A460" s="5"/>
      <c r="B460" s="5"/>
      <c r="C460" s="5"/>
      <c r="D460" s="5"/>
      <c r="E460" s="5"/>
      <c r="F460" s="5"/>
      <c r="H460" s="5"/>
      <c r="I460" s="5"/>
      <c r="J460" s="5"/>
      <c r="K460" s="5"/>
      <c r="L460" s="5"/>
    </row>
    <row r="461" customHeight="1" spans="1:12">
      <c r="A461" s="5"/>
      <c r="B461" s="5"/>
      <c r="C461" s="5"/>
      <c r="D461" s="5"/>
      <c r="E461" s="5"/>
      <c r="F461" s="5"/>
      <c r="H461" s="5"/>
      <c r="I461" s="5"/>
      <c r="J461" s="5"/>
      <c r="K461" s="5"/>
      <c r="L461" s="5"/>
    </row>
    <row r="462" customHeight="1" spans="1:12">
      <c r="A462" s="5"/>
      <c r="B462" s="5"/>
      <c r="C462" s="5"/>
      <c r="D462" s="5"/>
      <c r="E462" s="5"/>
      <c r="F462" s="5"/>
      <c r="H462" s="5"/>
      <c r="I462" s="5"/>
      <c r="J462" s="5"/>
      <c r="K462" s="5"/>
      <c r="L462" s="5"/>
    </row>
    <row r="463" customHeight="1" spans="1:12">
      <c r="A463" s="5"/>
      <c r="B463" s="5"/>
      <c r="C463" s="5"/>
      <c r="D463" s="5"/>
      <c r="E463" s="5"/>
      <c r="F463" s="5"/>
      <c r="H463" s="5"/>
      <c r="I463" s="5"/>
      <c r="J463" s="5"/>
      <c r="K463" s="5"/>
      <c r="L463" s="5"/>
    </row>
    <row r="464" customHeight="1" spans="1:12">
      <c r="A464" s="5"/>
      <c r="B464" s="5"/>
      <c r="C464" s="5"/>
      <c r="D464" s="5"/>
      <c r="E464" s="5"/>
      <c r="F464" s="5"/>
      <c r="H464" s="5"/>
      <c r="I464" s="5"/>
      <c r="J464" s="5"/>
      <c r="K464" s="5"/>
      <c r="L464" s="5"/>
    </row>
    <row r="465" customHeight="1" spans="1:12">
      <c r="A465" s="5"/>
      <c r="B465" s="5"/>
      <c r="C465" s="5"/>
      <c r="D465" s="5"/>
      <c r="E465" s="5"/>
      <c r="F465" s="5"/>
      <c r="H465" s="5"/>
      <c r="I465" s="5"/>
      <c r="J465" s="5"/>
      <c r="K465" s="5"/>
      <c r="L465" s="5"/>
    </row>
    <row r="466" customHeight="1" spans="1:12">
      <c r="A466" s="5"/>
      <c r="B466" s="5"/>
      <c r="C466" s="5"/>
      <c r="D466" s="5"/>
      <c r="E466" s="5"/>
      <c r="F466" s="5"/>
      <c r="H466" s="5"/>
      <c r="I466" s="5"/>
      <c r="J466" s="5"/>
      <c r="K466" s="5"/>
      <c r="L466" s="5"/>
    </row>
    <row r="467" customHeight="1" spans="1:12">
      <c r="A467" s="5"/>
      <c r="B467" s="5"/>
      <c r="C467" s="5"/>
      <c r="D467" s="5"/>
      <c r="E467" s="5"/>
      <c r="F467" s="5"/>
      <c r="H467" s="5"/>
      <c r="I467" s="5"/>
      <c r="J467" s="5"/>
      <c r="K467" s="5"/>
      <c r="L467" s="5"/>
    </row>
    <row r="468" customHeight="1" spans="1:12">
      <c r="A468" s="5"/>
      <c r="B468" s="5"/>
      <c r="C468" s="5"/>
      <c r="D468" s="5"/>
      <c r="E468" s="5"/>
      <c r="F468" s="5"/>
      <c r="H468" s="5"/>
      <c r="I468" s="5"/>
      <c r="J468" s="5"/>
      <c r="K468" s="5"/>
      <c r="L468" s="5"/>
    </row>
    <row r="469" customHeight="1" spans="1:12">
      <c r="A469" s="5"/>
      <c r="B469" s="5"/>
      <c r="C469" s="5"/>
      <c r="D469" s="5"/>
      <c r="E469" s="5"/>
      <c r="F469" s="5"/>
      <c r="H469" s="5"/>
      <c r="I469" s="5"/>
      <c r="J469" s="5"/>
      <c r="K469" s="5"/>
      <c r="L469" s="5"/>
    </row>
    <row r="470" customHeight="1" spans="1:12">
      <c r="A470" s="5"/>
      <c r="B470" s="5"/>
      <c r="C470" s="5"/>
      <c r="D470" s="5"/>
      <c r="E470" s="5"/>
      <c r="F470" s="5"/>
      <c r="H470" s="5"/>
      <c r="I470" s="5"/>
      <c r="J470" s="5"/>
      <c r="K470" s="5"/>
      <c r="L470" s="5"/>
    </row>
    <row r="471" customHeight="1" spans="1:12">
      <c r="A471" s="5"/>
      <c r="B471" s="5"/>
      <c r="C471" s="5"/>
      <c r="D471" s="5"/>
      <c r="E471" s="5"/>
      <c r="F471" s="5"/>
      <c r="H471" s="5"/>
      <c r="I471" s="5"/>
      <c r="J471" s="5"/>
      <c r="K471" s="5"/>
      <c r="L471" s="5"/>
    </row>
    <row r="472" customHeight="1" spans="1:12">
      <c r="A472" s="5"/>
      <c r="B472" s="5"/>
      <c r="C472" s="5"/>
      <c r="D472" s="5"/>
      <c r="E472" s="5"/>
      <c r="F472" s="5"/>
      <c r="H472" s="5"/>
      <c r="I472" s="5"/>
      <c r="J472" s="5"/>
      <c r="K472" s="5"/>
      <c r="L472" s="5"/>
    </row>
    <row r="473" customHeight="1" spans="1:12">
      <c r="A473" s="5"/>
      <c r="B473" s="5"/>
      <c r="C473" s="5"/>
      <c r="D473" s="5"/>
      <c r="E473" s="5"/>
      <c r="F473" s="5"/>
      <c r="H473" s="5"/>
      <c r="I473" s="5"/>
      <c r="J473" s="5"/>
      <c r="K473" s="5"/>
      <c r="L473" s="5"/>
    </row>
    <row r="474" customHeight="1" spans="1:12">
      <c r="A474" s="5"/>
      <c r="B474" s="5"/>
      <c r="C474" s="5"/>
      <c r="D474" s="5"/>
      <c r="E474" s="5"/>
      <c r="F474" s="5"/>
      <c r="H474" s="5"/>
      <c r="I474" s="5"/>
      <c r="J474" s="5"/>
      <c r="K474" s="5"/>
      <c r="L474" s="5"/>
    </row>
    <row r="475" customHeight="1" spans="1:12">
      <c r="A475" s="5"/>
      <c r="B475" s="5"/>
      <c r="C475" s="5"/>
      <c r="D475" s="5"/>
      <c r="E475" s="5"/>
      <c r="F475" s="5"/>
      <c r="H475" s="5"/>
      <c r="I475" s="5"/>
      <c r="J475" s="5"/>
      <c r="K475" s="5"/>
      <c r="L475" s="5"/>
    </row>
    <row r="476" customHeight="1" spans="1:12">
      <c r="A476" s="5"/>
      <c r="B476" s="5"/>
      <c r="C476" s="5"/>
      <c r="D476" s="5"/>
      <c r="E476" s="5"/>
      <c r="F476" s="5"/>
      <c r="H476" s="5"/>
      <c r="I476" s="5"/>
      <c r="J476" s="5"/>
      <c r="K476" s="5"/>
      <c r="L476" s="5"/>
    </row>
    <row r="477" customHeight="1" spans="1:12">
      <c r="A477" s="5"/>
      <c r="B477" s="5"/>
      <c r="C477" s="5"/>
      <c r="D477" s="5"/>
      <c r="E477" s="5"/>
      <c r="F477" s="5"/>
      <c r="H477" s="5"/>
      <c r="I477" s="5"/>
      <c r="J477" s="5"/>
      <c r="K477" s="5"/>
      <c r="L477" s="5"/>
    </row>
    <row r="478" customHeight="1" spans="1:12">
      <c r="A478" s="5"/>
      <c r="B478" s="5"/>
      <c r="C478" s="5"/>
      <c r="D478" s="5"/>
      <c r="E478" s="5"/>
      <c r="F478" s="5"/>
      <c r="H478" s="5"/>
      <c r="I478" s="5"/>
      <c r="J478" s="5"/>
      <c r="K478" s="5"/>
      <c r="L478" s="5"/>
    </row>
    <row r="479" customHeight="1" spans="1:12">
      <c r="A479" s="5"/>
      <c r="B479" s="5"/>
      <c r="C479" s="5"/>
      <c r="D479" s="5"/>
      <c r="E479" s="5"/>
      <c r="F479" s="5"/>
      <c r="H479" s="5"/>
      <c r="I479" s="5"/>
      <c r="J479" s="5"/>
      <c r="K479" s="5"/>
      <c r="L479" s="5"/>
    </row>
    <row r="480" customHeight="1" spans="1:12">
      <c r="A480" s="5"/>
      <c r="B480" s="5"/>
      <c r="C480" s="5"/>
      <c r="D480" s="5"/>
      <c r="E480" s="5"/>
      <c r="F480" s="5"/>
      <c r="H480" s="5"/>
      <c r="I480" s="5"/>
      <c r="J480" s="5"/>
      <c r="K480" s="5"/>
      <c r="L480" s="5"/>
    </row>
    <row r="481" customHeight="1" spans="1:12">
      <c r="A481" s="5"/>
      <c r="B481" s="5"/>
      <c r="C481" s="5"/>
      <c r="D481" s="5"/>
      <c r="E481" s="5"/>
      <c r="F481" s="5"/>
      <c r="H481" s="5"/>
      <c r="I481" s="5"/>
      <c r="J481" s="5"/>
      <c r="K481" s="5"/>
      <c r="L481" s="5"/>
    </row>
    <row r="482" customHeight="1" spans="1:12">
      <c r="A482" s="5"/>
      <c r="B482" s="5"/>
      <c r="C482" s="5"/>
      <c r="D482" s="5"/>
      <c r="E482" s="5"/>
      <c r="F482" s="5"/>
      <c r="H482" s="5"/>
      <c r="I482" s="5"/>
      <c r="J482" s="5"/>
      <c r="K482" s="5"/>
      <c r="L482" s="5"/>
    </row>
    <row r="483" customHeight="1" spans="1:12">
      <c r="A483" s="5"/>
      <c r="B483" s="5"/>
      <c r="C483" s="5"/>
      <c r="D483" s="5"/>
      <c r="E483" s="5"/>
      <c r="F483" s="5"/>
      <c r="H483" s="5"/>
      <c r="I483" s="5"/>
      <c r="J483" s="5"/>
      <c r="K483" s="5"/>
      <c r="L483" s="5"/>
    </row>
    <row r="484" customHeight="1" spans="1:12">
      <c r="A484" s="5"/>
      <c r="B484" s="5"/>
      <c r="C484" s="5"/>
      <c r="D484" s="5"/>
      <c r="E484" s="5"/>
      <c r="F484" s="5"/>
      <c r="H484" s="5"/>
      <c r="I484" s="5"/>
      <c r="J484" s="5"/>
      <c r="K484" s="5"/>
      <c r="L484" s="5"/>
    </row>
    <row r="485" customHeight="1" spans="1:12">
      <c r="A485" s="5"/>
      <c r="B485" s="5"/>
      <c r="C485" s="5"/>
      <c r="D485" s="5"/>
      <c r="E485" s="5"/>
      <c r="F485" s="5"/>
      <c r="H485" s="5"/>
      <c r="I485" s="5"/>
      <c r="J485" s="5"/>
      <c r="K485" s="5"/>
      <c r="L485" s="5"/>
    </row>
    <row r="486" customHeight="1" spans="1:12">
      <c r="A486" s="5"/>
      <c r="B486" s="5"/>
      <c r="C486" s="5"/>
      <c r="D486" s="5"/>
      <c r="E486" s="5"/>
      <c r="F486" s="5"/>
      <c r="H486" s="5"/>
      <c r="I486" s="5"/>
      <c r="J486" s="5"/>
      <c r="K486" s="5"/>
      <c r="L486" s="5"/>
    </row>
    <row r="487" customHeight="1" spans="1:12">
      <c r="A487" s="5"/>
      <c r="B487" s="5"/>
      <c r="C487" s="5"/>
      <c r="D487" s="5"/>
      <c r="E487" s="5"/>
      <c r="F487" s="5"/>
      <c r="H487" s="5"/>
      <c r="I487" s="5"/>
      <c r="J487" s="5"/>
      <c r="K487" s="5"/>
      <c r="L487" s="5"/>
    </row>
    <row r="488" customHeight="1" spans="1:12">
      <c r="A488" s="5"/>
      <c r="B488" s="5"/>
      <c r="C488" s="5"/>
      <c r="D488" s="5"/>
      <c r="E488" s="5"/>
      <c r="F488" s="5"/>
      <c r="H488" s="5"/>
      <c r="I488" s="5"/>
      <c r="J488" s="5"/>
      <c r="K488" s="5"/>
      <c r="L488" s="5"/>
    </row>
    <row r="489" customHeight="1" spans="1:12">
      <c r="A489" s="5"/>
      <c r="B489" s="5"/>
      <c r="C489" s="5"/>
      <c r="D489" s="5"/>
      <c r="E489" s="5"/>
      <c r="F489" s="5"/>
      <c r="H489" s="5"/>
      <c r="I489" s="5"/>
      <c r="J489" s="5"/>
      <c r="K489" s="5"/>
      <c r="L489" s="5"/>
    </row>
    <row r="490" customHeight="1" spans="1:12">
      <c r="A490" s="5"/>
      <c r="B490" s="5"/>
      <c r="C490" s="5"/>
      <c r="D490" s="5"/>
      <c r="E490" s="5"/>
      <c r="F490" s="5"/>
      <c r="H490" s="5"/>
      <c r="I490" s="5"/>
      <c r="J490" s="5"/>
      <c r="K490" s="5"/>
      <c r="L490" s="5"/>
    </row>
    <row r="491" customHeight="1" spans="1:12">
      <c r="A491" s="5"/>
      <c r="B491" s="5"/>
      <c r="C491" s="5"/>
      <c r="D491" s="5"/>
      <c r="E491" s="5"/>
      <c r="F491" s="5"/>
      <c r="H491" s="5"/>
      <c r="I491" s="5"/>
      <c r="J491" s="5"/>
      <c r="K491" s="5"/>
      <c r="L491" s="5"/>
    </row>
    <row r="492" customHeight="1" spans="1:12">
      <c r="A492" s="5"/>
      <c r="B492" s="5"/>
      <c r="C492" s="5"/>
      <c r="D492" s="5"/>
      <c r="E492" s="5"/>
      <c r="F492" s="5"/>
      <c r="H492" s="5"/>
      <c r="I492" s="5"/>
      <c r="J492" s="5"/>
      <c r="K492" s="5"/>
      <c r="L492" s="5"/>
    </row>
    <row r="493" customHeight="1" spans="1:12">
      <c r="A493" s="5"/>
      <c r="B493" s="5"/>
      <c r="C493" s="5"/>
      <c r="D493" s="5"/>
      <c r="E493" s="5"/>
      <c r="F493" s="5"/>
      <c r="H493" s="5"/>
      <c r="I493" s="5"/>
      <c r="J493" s="5"/>
      <c r="K493" s="5"/>
      <c r="L493" s="5"/>
    </row>
    <row r="494" customHeight="1" spans="1:12">
      <c r="A494" s="5"/>
      <c r="B494" s="5"/>
      <c r="C494" s="5"/>
      <c r="D494" s="5"/>
      <c r="E494" s="5"/>
      <c r="F494" s="5"/>
      <c r="H494" s="5"/>
      <c r="I494" s="5"/>
      <c r="J494" s="5"/>
      <c r="K494" s="5"/>
      <c r="L494" s="5"/>
    </row>
    <row r="495" customHeight="1" spans="1:12">
      <c r="A495" s="5"/>
      <c r="B495" s="5"/>
      <c r="C495" s="5"/>
      <c r="D495" s="5"/>
      <c r="E495" s="5"/>
      <c r="F495" s="5"/>
      <c r="H495" s="5"/>
      <c r="I495" s="5"/>
      <c r="J495" s="5"/>
      <c r="K495" s="5"/>
      <c r="L495" s="5"/>
    </row>
    <row r="496" customHeight="1" spans="1:12">
      <c r="A496" s="5"/>
      <c r="B496" s="5"/>
      <c r="C496" s="5"/>
      <c r="D496" s="5"/>
      <c r="E496" s="5"/>
      <c r="F496" s="5"/>
      <c r="H496" s="5"/>
      <c r="I496" s="5"/>
      <c r="J496" s="5"/>
      <c r="K496" s="5"/>
      <c r="L496" s="5"/>
    </row>
    <row r="497" customHeight="1" spans="1:12">
      <c r="A497" s="5"/>
      <c r="B497" s="5"/>
      <c r="C497" s="5"/>
      <c r="D497" s="5"/>
      <c r="E497" s="5"/>
      <c r="F497" s="5"/>
      <c r="H497" s="5"/>
      <c r="I497" s="5"/>
      <c r="J497" s="5"/>
      <c r="K497" s="5"/>
      <c r="L497" s="5"/>
    </row>
    <row r="498" customHeight="1" spans="1:12">
      <c r="A498" s="5"/>
      <c r="B498" s="5"/>
      <c r="C498" s="5"/>
      <c r="D498" s="5"/>
      <c r="E498" s="5"/>
      <c r="F498" s="5"/>
      <c r="H498" s="5"/>
      <c r="I498" s="5"/>
      <c r="J498" s="5"/>
      <c r="K498" s="5"/>
      <c r="L498" s="5"/>
    </row>
    <row r="499" customHeight="1" spans="1:12">
      <c r="A499" s="5"/>
      <c r="B499" s="5"/>
      <c r="C499" s="5"/>
      <c r="D499" s="5"/>
      <c r="E499" s="5"/>
      <c r="F499" s="5"/>
      <c r="H499" s="5"/>
      <c r="I499" s="5"/>
      <c r="J499" s="5"/>
      <c r="K499" s="5"/>
      <c r="L499" s="5"/>
    </row>
    <row r="500" customHeight="1" spans="1:12">
      <c r="A500" s="5"/>
      <c r="B500" s="5"/>
      <c r="C500" s="5"/>
      <c r="D500" s="5"/>
      <c r="E500" s="5"/>
      <c r="F500" s="5"/>
      <c r="H500" s="5"/>
      <c r="I500" s="5"/>
      <c r="J500" s="5"/>
      <c r="K500" s="5"/>
      <c r="L500" s="5"/>
    </row>
    <row r="501" customHeight="1" spans="1:12">
      <c r="A501" s="5"/>
      <c r="B501" s="5"/>
      <c r="C501" s="5"/>
      <c r="D501" s="5"/>
      <c r="E501" s="5"/>
      <c r="F501" s="5"/>
      <c r="H501" s="5"/>
      <c r="I501" s="5"/>
      <c r="J501" s="5"/>
      <c r="K501" s="5"/>
      <c r="L501" s="5"/>
    </row>
    <row r="502" customHeight="1" spans="1:12">
      <c r="A502" s="5"/>
      <c r="B502" s="5"/>
      <c r="C502" s="5"/>
      <c r="D502" s="5"/>
      <c r="E502" s="5"/>
      <c r="F502" s="5"/>
      <c r="H502" s="5"/>
      <c r="I502" s="5"/>
      <c r="J502" s="5"/>
      <c r="K502" s="5"/>
      <c r="L502" s="5"/>
    </row>
    <row r="503" customHeight="1" spans="1:12">
      <c r="A503" s="5"/>
      <c r="B503" s="5"/>
      <c r="C503" s="5"/>
      <c r="D503" s="5"/>
      <c r="E503" s="5"/>
      <c r="F503" s="5"/>
      <c r="H503" s="5"/>
      <c r="I503" s="5"/>
      <c r="J503" s="5"/>
      <c r="K503" s="5"/>
      <c r="L503" s="5"/>
    </row>
    <row r="504" customHeight="1" spans="1:12">
      <c r="A504" s="5"/>
      <c r="B504" s="5"/>
      <c r="C504" s="5"/>
      <c r="D504" s="5"/>
      <c r="E504" s="5"/>
      <c r="F504" s="5"/>
      <c r="H504" s="5"/>
      <c r="I504" s="5"/>
      <c r="J504" s="5"/>
      <c r="K504" s="5"/>
      <c r="L504" s="5"/>
    </row>
    <row r="505" customHeight="1" spans="1:12">
      <c r="A505" s="5"/>
      <c r="B505" s="5"/>
      <c r="C505" s="5"/>
      <c r="D505" s="5"/>
      <c r="E505" s="5"/>
      <c r="F505" s="5"/>
      <c r="H505" s="5"/>
      <c r="I505" s="5"/>
      <c r="J505" s="5"/>
      <c r="K505" s="5"/>
      <c r="L505" s="5"/>
    </row>
    <row r="506" customHeight="1" spans="1:12">
      <c r="A506" s="5"/>
      <c r="B506" s="5"/>
      <c r="C506" s="5"/>
      <c r="D506" s="5"/>
      <c r="E506" s="5"/>
      <c r="F506" s="5"/>
      <c r="H506" s="5"/>
      <c r="I506" s="5"/>
      <c r="J506" s="5"/>
      <c r="K506" s="5"/>
      <c r="L506" s="5"/>
    </row>
    <row r="507" customHeight="1" spans="1:12">
      <c r="A507" s="5"/>
      <c r="B507" s="5"/>
      <c r="C507" s="5"/>
      <c r="D507" s="5"/>
      <c r="E507" s="5"/>
      <c r="F507" s="5"/>
      <c r="H507" s="5"/>
      <c r="I507" s="5"/>
      <c r="J507" s="5"/>
      <c r="K507" s="5"/>
      <c r="L507" s="5"/>
    </row>
    <row r="508" customHeight="1" spans="1:12">
      <c r="A508" s="5"/>
      <c r="B508" s="5"/>
      <c r="C508" s="5"/>
      <c r="D508" s="5"/>
      <c r="E508" s="5"/>
      <c r="F508" s="5"/>
      <c r="H508" s="5"/>
      <c r="I508" s="5"/>
      <c r="J508" s="5"/>
      <c r="K508" s="5"/>
      <c r="L508" s="5"/>
    </row>
    <row r="509" customHeight="1" spans="1:12">
      <c r="A509" s="5"/>
      <c r="B509" s="5"/>
      <c r="C509" s="5"/>
      <c r="D509" s="5"/>
      <c r="E509" s="5"/>
      <c r="F509" s="5"/>
      <c r="H509" s="5"/>
      <c r="I509" s="5"/>
      <c r="J509" s="5"/>
      <c r="K509" s="5"/>
      <c r="L509" s="5"/>
    </row>
    <row r="510" customHeight="1" spans="1:12">
      <c r="A510" s="5"/>
      <c r="B510" s="5"/>
      <c r="C510" s="5"/>
      <c r="D510" s="5"/>
      <c r="E510" s="5"/>
      <c r="F510" s="5"/>
      <c r="H510" s="5"/>
      <c r="I510" s="5"/>
      <c r="J510" s="5"/>
      <c r="K510" s="5"/>
      <c r="L510" s="5"/>
    </row>
    <row r="511" customHeight="1" spans="1:12">
      <c r="A511" s="5"/>
      <c r="B511" s="5"/>
      <c r="C511" s="5"/>
      <c r="D511" s="5"/>
      <c r="E511" s="5"/>
      <c r="F511" s="5"/>
      <c r="H511" s="5"/>
      <c r="I511" s="5"/>
      <c r="J511" s="5"/>
      <c r="K511" s="5"/>
      <c r="L511" s="5"/>
    </row>
    <row r="512" customHeight="1" spans="1:12">
      <c r="A512" s="5"/>
      <c r="B512" s="5"/>
      <c r="C512" s="5"/>
      <c r="D512" s="5"/>
      <c r="E512" s="5"/>
      <c r="F512" s="5"/>
      <c r="H512" s="5"/>
      <c r="I512" s="5"/>
      <c r="J512" s="5"/>
      <c r="K512" s="5"/>
      <c r="L512" s="5"/>
    </row>
    <row r="513" customHeight="1" spans="1:12">
      <c r="A513" s="5"/>
      <c r="B513" s="5"/>
      <c r="C513" s="5"/>
      <c r="D513" s="5"/>
      <c r="E513" s="5"/>
      <c r="F513" s="5"/>
      <c r="H513" s="5"/>
      <c r="I513" s="5"/>
      <c r="J513" s="5"/>
      <c r="K513" s="5"/>
      <c r="L513" s="5"/>
    </row>
    <row r="514" customHeight="1" spans="1:12">
      <c r="A514" s="5"/>
      <c r="B514" s="5"/>
      <c r="C514" s="5"/>
      <c r="D514" s="5"/>
      <c r="E514" s="5"/>
      <c r="F514" s="5"/>
      <c r="H514" s="5"/>
      <c r="I514" s="5"/>
      <c r="J514" s="5"/>
      <c r="K514" s="5"/>
      <c r="L514" s="5"/>
    </row>
    <row r="515" customHeight="1" spans="1:12">
      <c r="A515" s="5"/>
      <c r="B515" s="5"/>
      <c r="C515" s="5"/>
      <c r="D515" s="5"/>
      <c r="E515" s="5"/>
      <c r="F515" s="5"/>
      <c r="H515" s="5"/>
      <c r="I515" s="5"/>
      <c r="J515" s="5"/>
      <c r="K515" s="5"/>
      <c r="L515" s="5"/>
    </row>
    <row r="516" customHeight="1" spans="1:12">
      <c r="A516" s="5"/>
      <c r="B516" s="5"/>
      <c r="C516" s="5"/>
      <c r="D516" s="5"/>
      <c r="E516" s="5"/>
      <c r="F516" s="5"/>
      <c r="H516" s="5"/>
      <c r="I516" s="5"/>
      <c r="J516" s="5"/>
      <c r="K516" s="5"/>
      <c r="L516" s="5"/>
    </row>
    <row r="517" customHeight="1" spans="1:12">
      <c r="A517" s="5"/>
      <c r="B517" s="5"/>
      <c r="C517" s="5"/>
      <c r="D517" s="5"/>
      <c r="E517" s="5"/>
      <c r="F517" s="5"/>
      <c r="H517" s="5"/>
      <c r="I517" s="5"/>
      <c r="J517" s="5"/>
      <c r="K517" s="5"/>
      <c r="L517" s="5"/>
    </row>
    <row r="518" customHeight="1" spans="1:12">
      <c r="A518" s="5"/>
      <c r="B518" s="5"/>
      <c r="C518" s="5"/>
      <c r="D518" s="5"/>
      <c r="E518" s="5"/>
      <c r="F518" s="5"/>
      <c r="H518" s="5"/>
      <c r="I518" s="5"/>
      <c r="J518" s="5"/>
      <c r="K518" s="5"/>
      <c r="L518" s="5"/>
    </row>
    <row r="519" customHeight="1" spans="1:12">
      <c r="A519" s="5"/>
      <c r="B519" s="5"/>
      <c r="C519" s="5"/>
      <c r="D519" s="5"/>
      <c r="E519" s="5"/>
      <c r="F519" s="5"/>
      <c r="H519" s="5"/>
      <c r="I519" s="5"/>
      <c r="J519" s="5"/>
      <c r="K519" s="5"/>
      <c r="L519" s="5"/>
    </row>
    <row r="520" customHeight="1" spans="1:12">
      <c r="A520" s="5"/>
      <c r="B520" s="5"/>
      <c r="C520" s="5"/>
      <c r="D520" s="5"/>
      <c r="E520" s="5"/>
      <c r="F520" s="5"/>
      <c r="H520" s="5"/>
      <c r="I520" s="5"/>
      <c r="J520" s="5"/>
      <c r="K520" s="5"/>
      <c r="L520" s="5"/>
    </row>
    <row r="521" customHeight="1" spans="1:12">
      <c r="A521" s="5"/>
      <c r="B521" s="5"/>
      <c r="C521" s="5"/>
      <c r="D521" s="5"/>
      <c r="E521" s="5"/>
      <c r="F521" s="5"/>
      <c r="H521" s="5"/>
      <c r="I521" s="5"/>
      <c r="J521" s="5"/>
      <c r="K521" s="5"/>
      <c r="L521" s="5"/>
    </row>
    <row r="522" customHeight="1" spans="1:12">
      <c r="A522" s="5"/>
      <c r="B522" s="5"/>
      <c r="C522" s="5"/>
      <c r="D522" s="5"/>
      <c r="E522" s="5"/>
      <c r="F522" s="5"/>
      <c r="H522" s="5"/>
      <c r="I522" s="5"/>
      <c r="J522" s="5"/>
      <c r="K522" s="5"/>
      <c r="L522" s="5"/>
    </row>
    <row r="523" customHeight="1" spans="1:12">
      <c r="A523" s="5"/>
      <c r="B523" s="5"/>
      <c r="C523" s="5"/>
      <c r="D523" s="5"/>
      <c r="E523" s="5"/>
      <c r="F523" s="5"/>
      <c r="H523" s="5"/>
      <c r="I523" s="5"/>
      <c r="J523" s="5"/>
      <c r="K523" s="5"/>
      <c r="L523" s="5"/>
    </row>
    <row r="524" customHeight="1" spans="1:12">
      <c r="A524" s="5"/>
      <c r="B524" s="5"/>
      <c r="C524" s="5"/>
      <c r="D524" s="5"/>
      <c r="E524" s="5"/>
      <c r="F524" s="5"/>
      <c r="H524" s="5"/>
      <c r="I524" s="5"/>
      <c r="J524" s="5"/>
      <c r="K524" s="5"/>
      <c r="L524" s="5"/>
    </row>
    <row r="525" customHeight="1" spans="1:12">
      <c r="A525" s="5"/>
      <c r="B525" s="5"/>
      <c r="C525" s="5"/>
      <c r="D525" s="5"/>
      <c r="E525" s="5"/>
      <c r="F525" s="5"/>
      <c r="H525" s="5"/>
      <c r="I525" s="5"/>
      <c r="J525" s="5"/>
      <c r="K525" s="5"/>
      <c r="L525" s="5"/>
    </row>
    <row r="526" customHeight="1" spans="1:12">
      <c r="A526" s="5"/>
      <c r="B526" s="5"/>
      <c r="C526" s="5"/>
      <c r="D526" s="5"/>
      <c r="E526" s="5"/>
      <c r="F526" s="5"/>
      <c r="H526" s="5"/>
      <c r="I526" s="5"/>
      <c r="J526" s="5"/>
      <c r="K526" s="5"/>
      <c r="L526" s="5"/>
    </row>
    <row r="527" customHeight="1" spans="1:12">
      <c r="A527" s="5"/>
      <c r="B527" s="5"/>
      <c r="C527" s="5"/>
      <c r="D527" s="5"/>
      <c r="E527" s="5"/>
      <c r="F527" s="5"/>
      <c r="H527" s="5"/>
      <c r="I527" s="5"/>
      <c r="J527" s="5"/>
      <c r="K527" s="5"/>
      <c r="L527" s="5"/>
    </row>
    <row r="528" customHeight="1" spans="1:12">
      <c r="A528" s="5"/>
      <c r="B528" s="5"/>
      <c r="C528" s="5"/>
      <c r="D528" s="5"/>
      <c r="E528" s="5"/>
      <c r="F528" s="5"/>
      <c r="H528" s="5"/>
      <c r="I528" s="5"/>
      <c r="J528" s="5"/>
      <c r="K528" s="5"/>
      <c r="L528" s="5"/>
    </row>
    <row r="529" customHeight="1" spans="1:12">
      <c r="A529" s="5"/>
      <c r="B529" s="5"/>
      <c r="C529" s="5"/>
      <c r="D529" s="5"/>
      <c r="E529" s="5"/>
      <c r="F529" s="5"/>
      <c r="H529" s="5"/>
      <c r="I529" s="5"/>
      <c r="J529" s="5"/>
      <c r="K529" s="5"/>
      <c r="L529" s="5"/>
    </row>
    <row r="530" customHeight="1" spans="1:12">
      <c r="A530" s="5"/>
      <c r="B530" s="5"/>
      <c r="C530" s="5"/>
      <c r="D530" s="5"/>
      <c r="E530" s="5"/>
      <c r="F530" s="5"/>
      <c r="H530" s="5"/>
      <c r="I530" s="5"/>
      <c r="J530" s="5"/>
      <c r="K530" s="5"/>
      <c r="L530" s="5"/>
    </row>
    <row r="531" customHeight="1" spans="1:12">
      <c r="A531" s="5"/>
      <c r="B531" s="5"/>
      <c r="C531" s="5"/>
      <c r="D531" s="5"/>
      <c r="E531" s="5"/>
      <c r="F531" s="5"/>
      <c r="H531" s="5"/>
      <c r="I531" s="5"/>
      <c r="J531" s="5"/>
      <c r="K531" s="5"/>
      <c r="L531" s="5"/>
    </row>
    <row r="532" customHeight="1" spans="1:12">
      <c r="A532" s="5"/>
      <c r="B532" s="5"/>
      <c r="C532" s="5"/>
      <c r="D532" s="5"/>
      <c r="E532" s="5"/>
      <c r="F532" s="5"/>
      <c r="H532" s="5"/>
      <c r="I532" s="5"/>
      <c r="J532" s="5"/>
      <c r="K532" s="5"/>
      <c r="L532" s="5"/>
    </row>
    <row r="533" customHeight="1" spans="1:12">
      <c r="A533" s="5"/>
      <c r="B533" s="5"/>
      <c r="C533" s="5"/>
      <c r="D533" s="5"/>
      <c r="E533" s="5"/>
      <c r="F533" s="5"/>
      <c r="H533" s="5"/>
      <c r="I533" s="5"/>
      <c r="J533" s="5"/>
      <c r="K533" s="5"/>
      <c r="L533" s="5"/>
    </row>
    <row r="534" customHeight="1" spans="1:12">
      <c r="A534" s="5"/>
      <c r="B534" s="5"/>
      <c r="C534" s="5"/>
      <c r="D534" s="5"/>
      <c r="E534" s="5"/>
      <c r="F534" s="5"/>
      <c r="H534" s="5"/>
      <c r="I534" s="5"/>
      <c r="J534" s="5"/>
      <c r="K534" s="5"/>
      <c r="L534" s="5"/>
    </row>
    <row r="535" customHeight="1" spans="1:12">
      <c r="A535" s="5"/>
      <c r="B535" s="5"/>
      <c r="C535" s="5"/>
      <c r="D535" s="5"/>
      <c r="E535" s="5"/>
      <c r="F535" s="5"/>
      <c r="H535" s="5"/>
      <c r="I535" s="5"/>
      <c r="J535" s="5"/>
      <c r="K535" s="5"/>
      <c r="L535" s="5"/>
    </row>
    <row r="536" customHeight="1" spans="1:12">
      <c r="A536" s="5"/>
      <c r="B536" s="5"/>
      <c r="C536" s="5"/>
      <c r="D536" s="5"/>
      <c r="E536" s="5"/>
      <c r="F536" s="5"/>
      <c r="H536" s="5"/>
      <c r="I536" s="5"/>
      <c r="J536" s="5"/>
      <c r="K536" s="5"/>
      <c r="L536" s="5"/>
    </row>
    <row r="537" customHeight="1" spans="1:12">
      <c r="A537" s="5"/>
      <c r="B537" s="5"/>
      <c r="C537" s="5"/>
      <c r="D537" s="5"/>
      <c r="E537" s="5"/>
      <c r="F537" s="5"/>
      <c r="H537" s="5"/>
      <c r="I537" s="5"/>
      <c r="J537" s="5"/>
      <c r="K537" s="5"/>
      <c r="L537" s="5"/>
    </row>
    <row r="538" customHeight="1" spans="1:12">
      <c r="A538" s="5"/>
      <c r="B538" s="5"/>
      <c r="C538" s="5"/>
      <c r="D538" s="5"/>
      <c r="E538" s="5"/>
      <c r="F538" s="5"/>
      <c r="H538" s="5"/>
      <c r="I538" s="5"/>
      <c r="J538" s="5"/>
      <c r="K538" s="5"/>
      <c r="L538" s="5"/>
    </row>
    <row r="539" customHeight="1" spans="1:12">
      <c r="A539" s="5"/>
      <c r="B539" s="5"/>
      <c r="C539" s="5"/>
      <c r="D539" s="5"/>
      <c r="E539" s="5"/>
      <c r="F539" s="5"/>
      <c r="H539" s="5"/>
      <c r="I539" s="5"/>
      <c r="J539" s="5"/>
      <c r="K539" s="5"/>
      <c r="L539" s="5"/>
    </row>
    <row r="540" customHeight="1" spans="1:12">
      <c r="A540" s="5"/>
      <c r="B540" s="5"/>
      <c r="C540" s="5"/>
      <c r="D540" s="5"/>
      <c r="E540" s="5"/>
      <c r="F540" s="5"/>
      <c r="H540" s="5"/>
      <c r="I540" s="5"/>
      <c r="J540" s="5"/>
      <c r="K540" s="5"/>
      <c r="L540" s="5"/>
    </row>
    <row r="541" customHeight="1" spans="1:12">
      <c r="A541" s="5"/>
      <c r="B541" s="5"/>
      <c r="C541" s="5"/>
      <c r="D541" s="5"/>
      <c r="E541" s="5"/>
      <c r="F541" s="5"/>
      <c r="H541" s="5"/>
      <c r="I541" s="5"/>
      <c r="J541" s="5"/>
      <c r="K541" s="5"/>
      <c r="L541" s="5"/>
    </row>
    <row r="542" customHeight="1" spans="1:12">
      <c r="A542" s="5"/>
      <c r="B542" s="5"/>
      <c r="C542" s="5"/>
      <c r="D542" s="5"/>
      <c r="E542" s="5"/>
      <c r="F542" s="5"/>
      <c r="H542" s="5"/>
      <c r="I542" s="5"/>
      <c r="J542" s="5"/>
      <c r="K542" s="5"/>
      <c r="L542" s="5"/>
    </row>
    <row r="543" customHeight="1" spans="1:12">
      <c r="A543" s="5"/>
      <c r="B543" s="5"/>
      <c r="C543" s="5"/>
      <c r="D543" s="5"/>
      <c r="E543" s="5"/>
      <c r="F543" s="5"/>
      <c r="H543" s="5"/>
      <c r="I543" s="5"/>
      <c r="J543" s="5"/>
      <c r="K543" s="5"/>
      <c r="L543" s="5"/>
    </row>
    <row r="544" customHeight="1" spans="1:12">
      <c r="A544" s="5"/>
      <c r="B544" s="5"/>
      <c r="C544" s="5"/>
      <c r="D544" s="5"/>
      <c r="E544" s="5"/>
      <c r="F544" s="5"/>
      <c r="H544" s="5"/>
      <c r="I544" s="5"/>
      <c r="J544" s="5"/>
      <c r="K544" s="5"/>
      <c r="L544" s="5"/>
    </row>
    <row r="545" customHeight="1" spans="1:12">
      <c r="A545" s="5"/>
      <c r="B545" s="5"/>
      <c r="C545" s="5"/>
      <c r="D545" s="5"/>
      <c r="E545" s="5"/>
      <c r="F545" s="5"/>
      <c r="H545" s="5"/>
      <c r="I545" s="5"/>
      <c r="J545" s="5"/>
      <c r="K545" s="5"/>
      <c r="L545" s="5"/>
    </row>
    <row r="546" customHeight="1" spans="1:12">
      <c r="A546" s="5"/>
      <c r="B546" s="5"/>
      <c r="C546" s="5"/>
      <c r="D546" s="5"/>
      <c r="E546" s="5"/>
      <c r="F546" s="5"/>
      <c r="H546" s="5"/>
      <c r="I546" s="5"/>
      <c r="J546" s="5"/>
      <c r="K546" s="5"/>
      <c r="L546" s="5"/>
    </row>
    <row r="547" customHeight="1" spans="1:12">
      <c r="A547" s="5"/>
      <c r="B547" s="5"/>
      <c r="C547" s="5"/>
      <c r="D547" s="5"/>
      <c r="E547" s="5"/>
      <c r="F547" s="5"/>
      <c r="H547" s="5"/>
      <c r="I547" s="5"/>
      <c r="J547" s="5"/>
      <c r="K547" s="5"/>
      <c r="L547" s="5"/>
    </row>
    <row r="548" customHeight="1" spans="1:12">
      <c r="A548" s="5"/>
      <c r="B548" s="5"/>
      <c r="C548" s="5"/>
      <c r="D548" s="5"/>
      <c r="E548" s="5"/>
      <c r="F548" s="5"/>
      <c r="H548" s="5"/>
      <c r="I548" s="5"/>
      <c r="J548" s="5"/>
      <c r="K548" s="5"/>
      <c r="L548" s="5"/>
    </row>
    <row r="549" customHeight="1" spans="1:12">
      <c r="A549" s="5"/>
      <c r="B549" s="5"/>
      <c r="C549" s="5"/>
      <c r="D549" s="5"/>
      <c r="E549" s="5"/>
      <c r="F549" s="5"/>
      <c r="H549" s="5"/>
      <c r="I549" s="5"/>
      <c r="J549" s="5"/>
      <c r="K549" s="5"/>
      <c r="L549" s="5"/>
    </row>
    <row r="550" customHeight="1" spans="1:12">
      <c r="A550" s="5"/>
      <c r="B550" s="5"/>
      <c r="C550" s="5"/>
      <c r="D550" s="5"/>
      <c r="E550" s="5"/>
      <c r="F550" s="5"/>
      <c r="H550" s="5"/>
      <c r="I550" s="5"/>
      <c r="J550" s="5"/>
      <c r="K550" s="5"/>
      <c r="L550" s="5"/>
    </row>
    <row r="551" customHeight="1" spans="1:12">
      <c r="A551" s="5"/>
      <c r="B551" s="5"/>
      <c r="C551" s="5"/>
      <c r="D551" s="5"/>
      <c r="E551" s="5"/>
      <c r="F551" s="5"/>
      <c r="H551" s="5"/>
      <c r="I551" s="5"/>
      <c r="J551" s="5"/>
      <c r="K551" s="5"/>
      <c r="L551" s="5"/>
    </row>
    <row r="552" customHeight="1" spans="1:12">
      <c r="A552" s="5"/>
      <c r="B552" s="5"/>
      <c r="C552" s="5"/>
      <c r="D552" s="5"/>
      <c r="E552" s="5"/>
      <c r="F552" s="5"/>
      <c r="H552" s="5"/>
      <c r="I552" s="5"/>
      <c r="J552" s="5"/>
      <c r="K552" s="5"/>
      <c r="L552" s="5"/>
    </row>
    <row r="553" customHeight="1" spans="1:12">
      <c r="A553" s="5"/>
      <c r="B553" s="5"/>
      <c r="C553" s="5"/>
      <c r="D553" s="5"/>
      <c r="E553" s="5"/>
      <c r="F553" s="5"/>
      <c r="H553" s="5"/>
      <c r="I553" s="5"/>
      <c r="J553" s="5"/>
      <c r="K553" s="5"/>
      <c r="L553" s="5"/>
    </row>
    <row r="554" customHeight="1" spans="1:12">
      <c r="A554" s="5"/>
      <c r="B554" s="5"/>
      <c r="C554" s="5"/>
      <c r="D554" s="5"/>
      <c r="E554" s="5"/>
      <c r="F554" s="5"/>
      <c r="H554" s="5"/>
      <c r="I554" s="5"/>
      <c r="J554" s="5"/>
      <c r="K554" s="5"/>
      <c r="L554" s="5"/>
    </row>
    <row r="555" customHeight="1" spans="1:12">
      <c r="A555" s="5"/>
      <c r="B555" s="5"/>
      <c r="C555" s="5"/>
      <c r="D555" s="5"/>
      <c r="E555" s="5"/>
      <c r="F555" s="5"/>
      <c r="H555" s="5"/>
      <c r="I555" s="5"/>
      <c r="J555" s="5"/>
      <c r="K555" s="5"/>
      <c r="L555" s="5"/>
    </row>
    <row r="556" customHeight="1" spans="1:12">
      <c r="A556" s="5"/>
      <c r="B556" s="5"/>
      <c r="C556" s="5"/>
      <c r="D556" s="5"/>
      <c r="E556" s="5"/>
      <c r="F556" s="5"/>
      <c r="H556" s="5"/>
      <c r="I556" s="5"/>
      <c r="J556" s="5"/>
      <c r="K556" s="5"/>
      <c r="L556" s="5"/>
    </row>
    <row r="557" customHeight="1" spans="1:12">
      <c r="A557" s="5"/>
      <c r="B557" s="5"/>
      <c r="C557" s="5"/>
      <c r="D557" s="5"/>
      <c r="E557" s="5"/>
      <c r="F557" s="5"/>
      <c r="H557" s="5"/>
      <c r="I557" s="5"/>
      <c r="J557" s="5"/>
      <c r="K557" s="5"/>
      <c r="L557" s="5"/>
    </row>
    <row r="558" customHeight="1" spans="1:12">
      <c r="A558" s="5"/>
      <c r="B558" s="5"/>
      <c r="C558" s="5"/>
      <c r="D558" s="5"/>
      <c r="E558" s="5"/>
      <c r="F558" s="5"/>
      <c r="H558" s="5"/>
      <c r="I558" s="5"/>
      <c r="J558" s="5"/>
      <c r="K558" s="5"/>
      <c r="L558" s="5"/>
    </row>
    <row r="559" customHeight="1" spans="1:12">
      <c r="A559" s="5"/>
      <c r="B559" s="5"/>
      <c r="C559" s="5"/>
      <c r="D559" s="5"/>
      <c r="E559" s="5"/>
      <c r="F559" s="5"/>
      <c r="H559" s="5"/>
      <c r="I559" s="5"/>
      <c r="J559" s="5"/>
      <c r="K559" s="5"/>
      <c r="L559" s="5"/>
    </row>
    <row r="560" customHeight="1" spans="1:12">
      <c r="A560" s="5"/>
      <c r="B560" s="5"/>
      <c r="C560" s="5"/>
      <c r="D560" s="5"/>
      <c r="E560" s="5"/>
      <c r="F560" s="5"/>
      <c r="H560" s="5"/>
      <c r="I560" s="5"/>
      <c r="J560" s="5"/>
      <c r="K560" s="5"/>
      <c r="L560" s="5"/>
    </row>
    <row r="561" customHeight="1" spans="1:12">
      <c r="A561" s="5"/>
      <c r="B561" s="5"/>
      <c r="C561" s="5"/>
      <c r="D561" s="5"/>
      <c r="E561" s="5"/>
      <c r="F561" s="5"/>
      <c r="H561" s="5"/>
      <c r="I561" s="5"/>
      <c r="J561" s="5"/>
      <c r="K561" s="5"/>
      <c r="L561" s="5"/>
    </row>
    <row r="562" customHeight="1" spans="1:12">
      <c r="A562" s="5"/>
      <c r="B562" s="5"/>
      <c r="C562" s="5"/>
      <c r="D562" s="5"/>
      <c r="E562" s="5"/>
      <c r="F562" s="5"/>
      <c r="H562" s="5"/>
      <c r="I562" s="5"/>
      <c r="J562" s="5"/>
      <c r="K562" s="5"/>
      <c r="L562" s="5"/>
    </row>
    <row r="563" customHeight="1" spans="1:12">
      <c r="A563" s="5"/>
      <c r="B563" s="5"/>
      <c r="C563" s="5"/>
      <c r="D563" s="5"/>
      <c r="E563" s="5"/>
      <c r="F563" s="5"/>
      <c r="H563" s="5"/>
      <c r="I563" s="5"/>
      <c r="J563" s="5"/>
      <c r="K563" s="5"/>
      <c r="L563" s="5"/>
    </row>
    <row r="564" customHeight="1" spans="1:12">
      <c r="A564" s="5"/>
      <c r="B564" s="5"/>
      <c r="C564" s="5"/>
      <c r="D564" s="5"/>
      <c r="E564" s="5"/>
      <c r="F564" s="5"/>
      <c r="H564" s="5"/>
      <c r="I564" s="5"/>
      <c r="J564" s="5"/>
      <c r="K564" s="5"/>
      <c r="L564" s="5"/>
    </row>
    <row r="565" customHeight="1" spans="1:12">
      <c r="A565" s="5"/>
      <c r="B565" s="5"/>
      <c r="C565" s="5"/>
      <c r="D565" s="5"/>
      <c r="E565" s="5"/>
      <c r="F565" s="5"/>
      <c r="H565" s="5"/>
      <c r="I565" s="5"/>
      <c r="J565" s="5"/>
      <c r="K565" s="5"/>
      <c r="L565" s="5"/>
    </row>
    <row r="566" customHeight="1" spans="1:12">
      <c r="A566" s="5"/>
      <c r="B566" s="5"/>
      <c r="C566" s="5"/>
      <c r="D566" s="5"/>
      <c r="E566" s="5"/>
      <c r="F566" s="5"/>
      <c r="H566" s="5"/>
      <c r="I566" s="5"/>
      <c r="J566" s="5"/>
      <c r="K566" s="5"/>
      <c r="L566" s="5"/>
    </row>
    <row r="567" customHeight="1" spans="1:12">
      <c r="A567" s="5"/>
      <c r="B567" s="5"/>
      <c r="C567" s="5"/>
      <c r="D567" s="5"/>
      <c r="E567" s="5"/>
      <c r="F567" s="5"/>
      <c r="H567" s="5"/>
      <c r="I567" s="5"/>
      <c r="J567" s="5"/>
      <c r="K567" s="5"/>
      <c r="L567" s="5"/>
    </row>
    <row r="568" customHeight="1" spans="1:12">
      <c r="A568" s="5"/>
      <c r="B568" s="5"/>
      <c r="C568" s="5"/>
      <c r="D568" s="5"/>
      <c r="E568" s="5"/>
      <c r="F568" s="5"/>
      <c r="H568" s="5"/>
      <c r="I568" s="5"/>
      <c r="J568" s="5"/>
      <c r="K568" s="5"/>
      <c r="L568" s="5"/>
    </row>
    <row r="569" customHeight="1" spans="1:12">
      <c r="A569" s="5"/>
      <c r="B569" s="5"/>
      <c r="C569" s="5"/>
      <c r="D569" s="5"/>
      <c r="E569" s="5"/>
      <c r="F569" s="5"/>
      <c r="H569" s="5"/>
      <c r="I569" s="5"/>
      <c r="J569" s="5"/>
      <c r="K569" s="5"/>
      <c r="L569" s="5"/>
    </row>
    <row r="570" customHeight="1" spans="1:12">
      <c r="A570" s="5"/>
      <c r="B570" s="5"/>
      <c r="C570" s="5"/>
      <c r="D570" s="5"/>
      <c r="E570" s="5"/>
      <c r="F570" s="5"/>
      <c r="H570" s="5"/>
      <c r="I570" s="5"/>
      <c r="J570" s="5"/>
      <c r="K570" s="5"/>
      <c r="L570" s="5"/>
    </row>
    <row r="571" customHeight="1" spans="1:12">
      <c r="A571" s="5"/>
      <c r="B571" s="5"/>
      <c r="C571" s="5"/>
      <c r="D571" s="5"/>
      <c r="E571" s="5"/>
      <c r="F571" s="5"/>
      <c r="H571" s="5"/>
      <c r="I571" s="5"/>
      <c r="J571" s="5"/>
      <c r="K571" s="5"/>
      <c r="L571" s="5"/>
    </row>
    <row r="572" customHeight="1" spans="1:12">
      <c r="A572" s="5"/>
      <c r="B572" s="5"/>
      <c r="C572" s="5"/>
      <c r="D572" s="5"/>
      <c r="E572" s="5"/>
      <c r="F572" s="5"/>
      <c r="H572" s="5"/>
      <c r="I572" s="5"/>
      <c r="J572" s="5"/>
      <c r="K572" s="5"/>
      <c r="L572" s="5"/>
    </row>
    <row r="573" customHeight="1" spans="1:12">
      <c r="A573" s="5"/>
      <c r="B573" s="5"/>
      <c r="C573" s="5"/>
      <c r="D573" s="5"/>
      <c r="E573" s="5"/>
      <c r="F573" s="5"/>
      <c r="H573" s="5"/>
      <c r="I573" s="5"/>
      <c r="J573" s="5"/>
      <c r="K573" s="5"/>
      <c r="L573" s="5"/>
    </row>
    <row r="574" customHeight="1" spans="1:12">
      <c r="A574" s="5"/>
      <c r="B574" s="5"/>
      <c r="C574" s="5"/>
      <c r="D574" s="5"/>
      <c r="E574" s="5"/>
      <c r="F574" s="5"/>
      <c r="H574" s="5"/>
      <c r="I574" s="5"/>
      <c r="J574" s="5"/>
      <c r="K574" s="5"/>
      <c r="L574" s="5"/>
    </row>
    <row r="575" customHeight="1" spans="1:12">
      <c r="A575" s="5"/>
      <c r="B575" s="5"/>
      <c r="C575" s="5"/>
      <c r="D575" s="5"/>
      <c r="E575" s="5"/>
      <c r="F575" s="5"/>
      <c r="H575" s="5"/>
      <c r="I575" s="5"/>
      <c r="J575" s="5"/>
      <c r="K575" s="5"/>
      <c r="L575" s="5"/>
    </row>
    <row r="576" customHeight="1" spans="1:12">
      <c r="A576" s="5"/>
      <c r="B576" s="5"/>
      <c r="C576" s="5"/>
      <c r="D576" s="5"/>
      <c r="E576" s="5"/>
      <c r="F576" s="5"/>
      <c r="H576" s="5"/>
      <c r="I576" s="5"/>
      <c r="J576" s="5"/>
      <c r="K576" s="5"/>
      <c r="L576" s="5"/>
    </row>
    <row r="577" customHeight="1" spans="1:12">
      <c r="A577" s="5"/>
      <c r="B577" s="5"/>
      <c r="C577" s="5"/>
      <c r="D577" s="5"/>
      <c r="E577" s="5"/>
      <c r="F577" s="5"/>
      <c r="H577" s="5"/>
      <c r="I577" s="5"/>
      <c r="J577" s="5"/>
      <c r="K577" s="5"/>
      <c r="L577" s="5"/>
    </row>
    <row r="578" customHeight="1" spans="1:12">
      <c r="A578" s="5"/>
      <c r="B578" s="5"/>
      <c r="C578" s="5"/>
      <c r="D578" s="5"/>
      <c r="E578" s="5"/>
      <c r="F578" s="5"/>
      <c r="H578" s="5"/>
      <c r="I578" s="5"/>
      <c r="J578" s="5"/>
      <c r="K578" s="5"/>
      <c r="L578" s="5"/>
    </row>
    <row r="579" customHeight="1" spans="1:12">
      <c r="A579" s="5"/>
      <c r="B579" s="5"/>
      <c r="C579" s="5"/>
      <c r="D579" s="5"/>
      <c r="E579" s="5"/>
      <c r="F579" s="5"/>
      <c r="H579" s="5"/>
      <c r="I579" s="5"/>
      <c r="J579" s="5"/>
      <c r="K579" s="5"/>
      <c r="L579" s="5"/>
    </row>
    <row r="580" customHeight="1" spans="1:12">
      <c r="A580" s="5"/>
      <c r="B580" s="5"/>
      <c r="C580" s="5"/>
      <c r="D580" s="5"/>
      <c r="E580" s="5"/>
      <c r="F580" s="5"/>
      <c r="H580" s="5"/>
      <c r="I580" s="5"/>
      <c r="J580" s="5"/>
      <c r="K580" s="5"/>
      <c r="L580" s="5"/>
    </row>
    <row r="581" customHeight="1" spans="1:12">
      <c r="A581" s="5"/>
      <c r="B581" s="5"/>
      <c r="C581" s="5"/>
      <c r="D581" s="5"/>
      <c r="E581" s="5"/>
      <c r="F581" s="5"/>
      <c r="H581" s="5"/>
      <c r="I581" s="5"/>
      <c r="J581" s="5"/>
      <c r="K581" s="5"/>
      <c r="L581" s="5"/>
    </row>
    <row r="582" customHeight="1" spans="1:12">
      <c r="A582" s="5"/>
      <c r="B582" s="5"/>
      <c r="C582" s="5"/>
      <c r="D582" s="5"/>
      <c r="E582" s="5"/>
      <c r="F582" s="5"/>
      <c r="H582" s="5"/>
      <c r="I582" s="5"/>
      <c r="J582" s="5"/>
      <c r="K582" s="5"/>
      <c r="L582" s="5"/>
    </row>
    <row r="583" customHeight="1" spans="1:12">
      <c r="A583" s="5"/>
      <c r="B583" s="5"/>
      <c r="C583" s="5"/>
      <c r="D583" s="5"/>
      <c r="E583" s="5"/>
      <c r="F583" s="5"/>
      <c r="H583" s="5"/>
      <c r="I583" s="5"/>
      <c r="J583" s="5"/>
      <c r="K583" s="5"/>
      <c r="L583" s="5"/>
    </row>
    <row r="584" customHeight="1" spans="1:12">
      <c r="A584" s="5"/>
      <c r="B584" s="5"/>
      <c r="C584" s="5"/>
      <c r="D584" s="5"/>
      <c r="E584" s="5"/>
      <c r="F584" s="5"/>
      <c r="H584" s="5"/>
      <c r="I584" s="5"/>
      <c r="J584" s="5"/>
      <c r="K584" s="5"/>
      <c r="L584" s="5"/>
    </row>
    <row r="585" customHeight="1" spans="1:12">
      <c r="A585" s="5"/>
      <c r="B585" s="5"/>
      <c r="C585" s="5"/>
      <c r="D585" s="5"/>
      <c r="E585" s="5"/>
      <c r="F585" s="5"/>
      <c r="H585" s="5"/>
      <c r="I585" s="5"/>
      <c r="J585" s="5"/>
      <c r="K585" s="5"/>
      <c r="L585" s="5"/>
    </row>
    <row r="586" customHeight="1" spans="1:12">
      <c r="A586" s="5"/>
      <c r="B586" s="5"/>
      <c r="C586" s="5"/>
      <c r="D586" s="5"/>
      <c r="E586" s="5"/>
      <c r="F586" s="5"/>
      <c r="H586" s="5"/>
      <c r="I586" s="5"/>
      <c r="J586" s="5"/>
      <c r="K586" s="5"/>
      <c r="L586" s="5"/>
    </row>
    <row r="587" customHeight="1" spans="1:12">
      <c r="A587" s="5"/>
      <c r="B587" s="5"/>
      <c r="C587" s="5"/>
      <c r="D587" s="5"/>
      <c r="E587" s="5"/>
      <c r="F587" s="5"/>
      <c r="H587" s="5"/>
      <c r="I587" s="5"/>
      <c r="J587" s="5"/>
      <c r="K587" s="5"/>
      <c r="L587" s="5"/>
    </row>
    <row r="588" customHeight="1" spans="1:12">
      <c r="A588" s="5"/>
      <c r="B588" s="5"/>
      <c r="C588" s="5"/>
      <c r="D588" s="5"/>
      <c r="E588" s="5"/>
      <c r="F588" s="5"/>
      <c r="H588" s="5"/>
      <c r="I588" s="5"/>
      <c r="J588" s="5"/>
      <c r="K588" s="5"/>
      <c r="L588" s="5"/>
    </row>
    <row r="589" customHeight="1" spans="1:12">
      <c r="A589" s="5"/>
      <c r="B589" s="5"/>
      <c r="C589" s="5"/>
      <c r="D589" s="5"/>
      <c r="E589" s="5"/>
      <c r="F589" s="5"/>
      <c r="H589" s="5"/>
      <c r="I589" s="5"/>
      <c r="J589" s="5"/>
      <c r="K589" s="5"/>
      <c r="L589" s="5"/>
    </row>
    <row r="590" customHeight="1" spans="1:12">
      <c r="A590" s="5"/>
      <c r="B590" s="5"/>
      <c r="C590" s="5"/>
      <c r="D590" s="5"/>
      <c r="E590" s="5"/>
      <c r="F590" s="5"/>
      <c r="H590" s="5"/>
      <c r="I590" s="5"/>
      <c r="J590" s="5"/>
      <c r="K590" s="5"/>
      <c r="L590" s="5"/>
    </row>
    <row r="591" customHeight="1" spans="1:12">
      <c r="A591" s="5"/>
      <c r="B591" s="5"/>
      <c r="C591" s="5"/>
      <c r="D591" s="5"/>
      <c r="E591" s="5"/>
      <c r="F591" s="5"/>
      <c r="H591" s="5"/>
      <c r="I591" s="5"/>
      <c r="J591" s="5"/>
      <c r="K591" s="5"/>
      <c r="L591" s="5"/>
    </row>
    <row r="592" customHeight="1" spans="1:12">
      <c r="A592" s="5"/>
      <c r="B592" s="5"/>
      <c r="C592" s="5"/>
      <c r="D592" s="5"/>
      <c r="E592" s="5"/>
      <c r="F592" s="5"/>
      <c r="H592" s="5"/>
      <c r="I592" s="5"/>
      <c r="J592" s="5"/>
      <c r="K592" s="5"/>
      <c r="L592" s="5"/>
    </row>
    <row r="593" customHeight="1" spans="1:12">
      <c r="A593" s="5"/>
      <c r="B593" s="5"/>
      <c r="C593" s="5"/>
      <c r="D593" s="5"/>
      <c r="E593" s="5"/>
      <c r="F593" s="5"/>
      <c r="H593" s="5"/>
      <c r="I593" s="5"/>
      <c r="J593" s="5"/>
      <c r="K593" s="5"/>
      <c r="L593" s="5"/>
    </row>
    <row r="594" customHeight="1" spans="1:12">
      <c r="A594" s="5"/>
      <c r="B594" s="5"/>
      <c r="C594" s="5"/>
      <c r="D594" s="5"/>
      <c r="E594" s="5"/>
      <c r="F594" s="5"/>
      <c r="H594" s="5"/>
      <c r="I594" s="5"/>
      <c r="J594" s="5"/>
      <c r="K594" s="5"/>
      <c r="L594" s="5"/>
    </row>
    <row r="595" customHeight="1" spans="1:12">
      <c r="A595" s="5"/>
      <c r="B595" s="5"/>
      <c r="C595" s="5"/>
      <c r="D595" s="5"/>
      <c r="E595" s="5"/>
      <c r="F595" s="5"/>
      <c r="H595" s="5"/>
      <c r="I595" s="5"/>
      <c r="J595" s="5"/>
      <c r="K595" s="5"/>
      <c r="L595" s="5"/>
    </row>
    <row r="596" customHeight="1" spans="1:12">
      <c r="A596" s="5"/>
      <c r="B596" s="5"/>
      <c r="C596" s="5"/>
      <c r="D596" s="5"/>
      <c r="E596" s="5"/>
      <c r="F596" s="5"/>
      <c r="H596" s="5"/>
      <c r="I596" s="5"/>
      <c r="J596" s="5"/>
      <c r="K596" s="5"/>
      <c r="L596" s="5"/>
    </row>
    <row r="597" customHeight="1" spans="1:12">
      <c r="A597" s="5"/>
      <c r="B597" s="5"/>
      <c r="C597" s="5"/>
      <c r="D597" s="5"/>
      <c r="E597" s="5"/>
      <c r="F597" s="5"/>
      <c r="H597" s="5"/>
      <c r="I597" s="5"/>
      <c r="J597" s="5"/>
      <c r="K597" s="5"/>
      <c r="L597" s="5"/>
    </row>
    <row r="598" customHeight="1" spans="1:12">
      <c r="A598" s="5"/>
      <c r="B598" s="5"/>
      <c r="C598" s="5"/>
      <c r="D598" s="5"/>
      <c r="E598" s="5"/>
      <c r="F598" s="5"/>
      <c r="H598" s="5"/>
      <c r="I598" s="5"/>
      <c r="J598" s="5"/>
      <c r="K598" s="5"/>
      <c r="L598" s="5"/>
    </row>
    <row r="599" customHeight="1" spans="1:12">
      <c r="A599" s="5"/>
      <c r="B599" s="5"/>
      <c r="C599" s="5"/>
      <c r="D599" s="5"/>
      <c r="E599" s="5"/>
      <c r="F599" s="5"/>
      <c r="H599" s="5"/>
      <c r="I599" s="5"/>
      <c r="J599" s="5"/>
      <c r="K599" s="5"/>
      <c r="L599" s="5"/>
    </row>
    <row r="600" customHeight="1" spans="1:12">
      <c r="A600" s="5"/>
      <c r="B600" s="5"/>
      <c r="C600" s="5"/>
      <c r="D600" s="5"/>
      <c r="E600" s="5"/>
      <c r="F600" s="5"/>
      <c r="H600" s="5"/>
      <c r="I600" s="5"/>
      <c r="J600" s="5"/>
      <c r="K600" s="5"/>
      <c r="L600" s="5"/>
    </row>
    <row r="601" customHeight="1" spans="1:12">
      <c r="A601" s="5"/>
      <c r="B601" s="5"/>
      <c r="C601" s="5"/>
      <c r="D601" s="5"/>
      <c r="E601" s="5"/>
      <c r="F601" s="5"/>
      <c r="H601" s="5"/>
      <c r="I601" s="5"/>
      <c r="J601" s="5"/>
      <c r="K601" s="5"/>
      <c r="L601" s="5"/>
    </row>
    <row r="602" customHeight="1" spans="1:12">
      <c r="A602" s="5"/>
      <c r="B602" s="5"/>
      <c r="C602" s="5"/>
      <c r="D602" s="5"/>
      <c r="E602" s="5"/>
      <c r="F602" s="5"/>
      <c r="H602" s="5"/>
      <c r="I602" s="5"/>
      <c r="J602" s="5"/>
      <c r="K602" s="5"/>
      <c r="L602" s="5"/>
    </row>
    <row r="603" customHeight="1" spans="1:12">
      <c r="A603" s="5"/>
      <c r="B603" s="5"/>
      <c r="C603" s="5"/>
      <c r="D603" s="5"/>
      <c r="E603" s="5"/>
      <c r="F603" s="5"/>
      <c r="H603" s="5"/>
      <c r="I603" s="5"/>
      <c r="J603" s="5"/>
      <c r="K603" s="5"/>
      <c r="L603" s="5"/>
    </row>
    <row r="604" customHeight="1" spans="1:12">
      <c r="A604" s="5"/>
      <c r="B604" s="5"/>
      <c r="C604" s="5"/>
      <c r="D604" s="5"/>
      <c r="E604" s="5"/>
      <c r="F604" s="5"/>
      <c r="H604" s="5"/>
      <c r="I604" s="5"/>
      <c r="J604" s="5"/>
      <c r="K604" s="5"/>
      <c r="L604" s="5"/>
    </row>
    <row r="605" customHeight="1" spans="1:12">
      <c r="A605" s="5"/>
      <c r="B605" s="5"/>
      <c r="C605" s="5"/>
      <c r="D605" s="5"/>
      <c r="E605" s="5"/>
      <c r="F605" s="5"/>
      <c r="H605" s="5"/>
      <c r="I605" s="5"/>
      <c r="J605" s="5"/>
      <c r="K605" s="5"/>
      <c r="L605" s="5"/>
    </row>
    <row r="606" customHeight="1" spans="1:12">
      <c r="A606" s="5"/>
      <c r="B606" s="5"/>
      <c r="C606" s="5"/>
      <c r="D606" s="5"/>
      <c r="E606" s="5"/>
      <c r="F606" s="5"/>
      <c r="H606" s="5"/>
      <c r="I606" s="5"/>
      <c r="J606" s="5"/>
      <c r="K606" s="5"/>
      <c r="L606" s="5"/>
    </row>
    <row r="607" customHeight="1" spans="1:12">
      <c r="A607" s="5"/>
      <c r="B607" s="5"/>
      <c r="C607" s="5"/>
      <c r="D607" s="5"/>
      <c r="E607" s="5"/>
      <c r="F607" s="5"/>
      <c r="H607" s="5"/>
      <c r="I607" s="5"/>
      <c r="J607" s="5"/>
      <c r="K607" s="5"/>
      <c r="L607" s="5"/>
    </row>
    <row r="608" customHeight="1" spans="1:12">
      <c r="A608" s="5"/>
      <c r="B608" s="5"/>
      <c r="C608" s="5"/>
      <c r="D608" s="5"/>
      <c r="E608" s="5"/>
      <c r="F608" s="5"/>
      <c r="H608" s="5"/>
      <c r="I608" s="5"/>
      <c r="J608" s="5"/>
      <c r="K608" s="5"/>
      <c r="L608" s="5"/>
    </row>
    <row r="609" customHeight="1" spans="1:12">
      <c r="A609" s="5"/>
      <c r="B609" s="5"/>
      <c r="C609" s="5"/>
      <c r="D609" s="5"/>
      <c r="E609" s="5"/>
      <c r="F609" s="5"/>
      <c r="H609" s="5"/>
      <c r="I609" s="5"/>
      <c r="J609" s="5"/>
      <c r="K609" s="5"/>
      <c r="L609" s="5"/>
    </row>
    <row r="610" customHeight="1" spans="1:12">
      <c r="A610" s="5"/>
      <c r="B610" s="5"/>
      <c r="C610" s="5"/>
      <c r="D610" s="5"/>
      <c r="E610" s="5"/>
      <c r="F610" s="5"/>
      <c r="H610" s="5"/>
      <c r="I610" s="5"/>
      <c r="J610" s="5"/>
      <c r="K610" s="5"/>
      <c r="L610" s="5"/>
    </row>
    <row r="611" customHeight="1" spans="1:12">
      <c r="A611" s="5"/>
      <c r="B611" s="5"/>
      <c r="C611" s="5"/>
      <c r="D611" s="5"/>
      <c r="E611" s="5"/>
      <c r="F611" s="5"/>
      <c r="H611" s="5"/>
      <c r="I611" s="5"/>
      <c r="J611" s="5"/>
      <c r="K611" s="5"/>
      <c r="L611" s="5"/>
    </row>
    <row r="612" customHeight="1" spans="1:12">
      <c r="A612" s="5"/>
      <c r="B612" s="5"/>
      <c r="C612" s="5"/>
      <c r="D612" s="5"/>
      <c r="E612" s="5"/>
      <c r="F612" s="5"/>
      <c r="H612" s="5"/>
      <c r="I612" s="5"/>
      <c r="J612" s="5"/>
      <c r="K612" s="5"/>
      <c r="L612" s="5"/>
    </row>
    <row r="613" customHeight="1" spans="1:12">
      <c r="A613" s="5"/>
      <c r="B613" s="5"/>
      <c r="C613" s="5"/>
      <c r="D613" s="5"/>
      <c r="E613" s="5"/>
      <c r="F613" s="5"/>
      <c r="H613" s="5"/>
      <c r="I613" s="5"/>
      <c r="J613" s="5"/>
      <c r="K613" s="5"/>
      <c r="L613" s="5"/>
    </row>
    <row r="614" customHeight="1" spans="1:12">
      <c r="A614" s="5"/>
      <c r="B614" s="5"/>
      <c r="C614" s="5"/>
      <c r="D614" s="5"/>
      <c r="E614" s="5"/>
      <c r="F614" s="5"/>
      <c r="H614" s="5"/>
      <c r="I614" s="5"/>
      <c r="J614" s="5"/>
      <c r="K614" s="5"/>
      <c r="L614" s="5"/>
    </row>
    <row r="615" customHeight="1" spans="1:12">
      <c r="A615" s="5"/>
      <c r="B615" s="5"/>
      <c r="C615" s="5"/>
      <c r="D615" s="5"/>
      <c r="E615" s="5"/>
      <c r="F615" s="5"/>
      <c r="H615" s="5"/>
      <c r="I615" s="5"/>
      <c r="J615" s="5"/>
      <c r="K615" s="5"/>
      <c r="L615" s="5"/>
    </row>
    <row r="616" customHeight="1" spans="1:12">
      <c r="A616" s="5"/>
      <c r="B616" s="5"/>
      <c r="C616" s="5"/>
      <c r="D616" s="5"/>
      <c r="E616" s="5"/>
      <c r="F616" s="5"/>
      <c r="H616" s="5"/>
      <c r="I616" s="5"/>
      <c r="J616" s="5"/>
      <c r="K616" s="5"/>
      <c r="L616" s="5"/>
    </row>
    <row r="617" customHeight="1" spans="1:12">
      <c r="A617" s="5"/>
      <c r="B617" s="5"/>
      <c r="C617" s="5"/>
      <c r="D617" s="5"/>
      <c r="E617" s="5"/>
      <c r="F617" s="5"/>
      <c r="H617" s="5"/>
      <c r="I617" s="5"/>
      <c r="J617" s="5"/>
      <c r="K617" s="5"/>
      <c r="L617" s="5"/>
    </row>
    <row r="618" customHeight="1" spans="1:12">
      <c r="A618" s="5"/>
      <c r="B618" s="5"/>
      <c r="C618" s="5"/>
      <c r="D618" s="5"/>
      <c r="E618" s="5"/>
      <c r="F618" s="5"/>
      <c r="H618" s="5"/>
      <c r="I618" s="5"/>
      <c r="J618" s="5"/>
      <c r="K618" s="5"/>
      <c r="L618" s="5"/>
    </row>
    <row r="619" customHeight="1" spans="1:12">
      <c r="A619" s="5"/>
      <c r="B619" s="5"/>
      <c r="C619" s="5"/>
      <c r="D619" s="5"/>
      <c r="E619" s="5"/>
      <c r="F619" s="5"/>
      <c r="H619" s="5"/>
      <c r="I619" s="5"/>
      <c r="J619" s="5"/>
      <c r="K619" s="5"/>
      <c r="L619" s="5"/>
    </row>
    <row r="620" customHeight="1" spans="1:12">
      <c r="A620" s="5"/>
      <c r="B620" s="5"/>
      <c r="C620" s="5"/>
      <c r="D620" s="5"/>
      <c r="E620" s="5"/>
      <c r="F620" s="5"/>
      <c r="H620" s="5"/>
      <c r="I620" s="5"/>
      <c r="J620" s="5"/>
      <c r="K620" s="5"/>
      <c r="L620" s="5"/>
    </row>
    <row r="621" customHeight="1" spans="1:12">
      <c r="A621" s="5"/>
      <c r="B621" s="5"/>
      <c r="C621" s="5"/>
      <c r="D621" s="5"/>
      <c r="E621" s="5"/>
      <c r="F621" s="5"/>
      <c r="H621" s="5"/>
      <c r="I621" s="5"/>
      <c r="J621" s="5"/>
      <c r="K621" s="5"/>
      <c r="L621" s="5"/>
    </row>
    <row r="622" customHeight="1" spans="1:12">
      <c r="A622" s="5"/>
      <c r="B622" s="5"/>
      <c r="C622" s="5"/>
      <c r="D622" s="5"/>
      <c r="E622" s="5"/>
      <c r="F622" s="5"/>
      <c r="H622" s="5"/>
      <c r="I622" s="5"/>
      <c r="J622" s="5"/>
      <c r="K622" s="5"/>
      <c r="L622" s="5"/>
    </row>
    <row r="623" customHeight="1" spans="1:12">
      <c r="A623" s="5"/>
      <c r="B623" s="5"/>
      <c r="C623" s="5"/>
      <c r="D623" s="5"/>
      <c r="E623" s="5"/>
      <c r="F623" s="5"/>
      <c r="H623" s="5"/>
      <c r="I623" s="5"/>
      <c r="J623" s="5"/>
      <c r="K623" s="5"/>
      <c r="L623" s="5"/>
    </row>
    <row r="624" customHeight="1" spans="1:12">
      <c r="A624" s="5"/>
      <c r="B624" s="5"/>
      <c r="C624" s="5"/>
      <c r="D624" s="5"/>
      <c r="E624" s="5"/>
      <c r="F624" s="5"/>
      <c r="H624" s="5"/>
      <c r="I624" s="5"/>
      <c r="J624" s="5"/>
      <c r="K624" s="5"/>
      <c r="L624" s="5"/>
    </row>
    <row r="625" customHeight="1" spans="1:12">
      <c r="A625" s="5"/>
      <c r="B625" s="5"/>
      <c r="C625" s="5"/>
      <c r="D625" s="5"/>
      <c r="E625" s="5"/>
      <c r="F625" s="5"/>
      <c r="H625" s="5"/>
      <c r="I625" s="5"/>
      <c r="J625" s="5"/>
      <c r="K625" s="5"/>
      <c r="L625" s="5"/>
    </row>
    <row r="626" customHeight="1" spans="1:12">
      <c r="A626" s="5"/>
      <c r="B626" s="5"/>
      <c r="C626" s="5"/>
      <c r="D626" s="5"/>
      <c r="E626" s="5"/>
      <c r="F626" s="5"/>
      <c r="H626" s="5"/>
      <c r="I626" s="5"/>
      <c r="J626" s="5"/>
      <c r="K626" s="5"/>
      <c r="L626" s="5"/>
    </row>
    <row r="627" customHeight="1" spans="1:12">
      <c r="A627" s="5"/>
      <c r="B627" s="5"/>
      <c r="C627" s="5"/>
      <c r="D627" s="5"/>
      <c r="E627" s="5"/>
      <c r="F627" s="5"/>
      <c r="H627" s="5"/>
      <c r="I627" s="5"/>
      <c r="J627" s="5"/>
      <c r="K627" s="5"/>
      <c r="L627" s="5"/>
    </row>
    <row r="628" customHeight="1" spans="1:12">
      <c r="A628" s="5"/>
      <c r="B628" s="5"/>
      <c r="C628" s="5"/>
      <c r="D628" s="5"/>
      <c r="E628" s="5"/>
      <c r="F628" s="5"/>
      <c r="H628" s="5"/>
      <c r="I628" s="5"/>
      <c r="J628" s="5"/>
      <c r="K628" s="5"/>
      <c r="L628" s="5"/>
    </row>
    <row r="629" customHeight="1" spans="1:12">
      <c r="A629" s="5"/>
      <c r="B629" s="5"/>
      <c r="C629" s="5"/>
      <c r="D629" s="5"/>
      <c r="E629" s="5"/>
      <c r="F629" s="5"/>
      <c r="H629" s="5"/>
      <c r="I629" s="5"/>
      <c r="J629" s="5"/>
      <c r="K629" s="5"/>
      <c r="L629" s="5"/>
    </row>
    <row r="630" customHeight="1" spans="1:12">
      <c r="A630" s="5"/>
      <c r="B630" s="5"/>
      <c r="C630" s="5"/>
      <c r="D630" s="5"/>
      <c r="E630" s="5"/>
      <c r="F630" s="5"/>
      <c r="H630" s="5"/>
      <c r="I630" s="5"/>
      <c r="J630" s="5"/>
      <c r="K630" s="5"/>
      <c r="L630" s="5"/>
    </row>
    <row r="631" customHeight="1" spans="1:12">
      <c r="A631" s="5"/>
      <c r="B631" s="5"/>
      <c r="C631" s="5"/>
      <c r="D631" s="5"/>
      <c r="E631" s="5"/>
      <c r="F631" s="5"/>
      <c r="H631" s="5"/>
      <c r="I631" s="5"/>
      <c r="J631" s="5"/>
      <c r="K631" s="5"/>
      <c r="L631" s="5"/>
    </row>
    <row r="632" customHeight="1" spans="1:12">
      <c r="A632" s="5"/>
      <c r="B632" s="5"/>
      <c r="C632" s="5"/>
      <c r="D632" s="5"/>
      <c r="E632" s="5"/>
      <c r="F632" s="5"/>
      <c r="H632" s="5"/>
      <c r="I632" s="5"/>
      <c r="J632" s="5"/>
      <c r="K632" s="5"/>
      <c r="L632" s="5"/>
    </row>
    <row r="633" customHeight="1" spans="1:12">
      <c r="A633" s="5"/>
      <c r="B633" s="5"/>
      <c r="C633" s="5"/>
      <c r="D633" s="5"/>
      <c r="E633" s="5"/>
      <c r="F633" s="5"/>
      <c r="H633" s="5"/>
      <c r="I633" s="5"/>
      <c r="J633" s="5"/>
      <c r="K633" s="5"/>
      <c r="L633" s="5"/>
    </row>
    <row r="634" customHeight="1" spans="1:12">
      <c r="A634" s="5"/>
      <c r="B634" s="5"/>
      <c r="C634" s="5"/>
      <c r="D634" s="5"/>
      <c r="E634" s="5"/>
      <c r="F634" s="5"/>
      <c r="H634" s="5"/>
      <c r="I634" s="5"/>
      <c r="J634" s="5"/>
      <c r="K634" s="5"/>
      <c r="L634" s="5"/>
    </row>
    <row r="635" customHeight="1" spans="1:12">
      <c r="A635" s="5"/>
      <c r="B635" s="5"/>
      <c r="C635" s="5"/>
      <c r="D635" s="5"/>
      <c r="E635" s="5"/>
      <c r="F635" s="5"/>
      <c r="H635" s="5"/>
      <c r="I635" s="5"/>
      <c r="J635" s="5"/>
      <c r="K635" s="5"/>
      <c r="L635" s="5"/>
    </row>
    <row r="636" customHeight="1" spans="1:12">
      <c r="A636" s="5"/>
      <c r="B636" s="5"/>
      <c r="C636" s="5"/>
      <c r="D636" s="5"/>
      <c r="E636" s="5"/>
      <c r="F636" s="5"/>
      <c r="H636" s="5"/>
      <c r="I636" s="5"/>
      <c r="J636" s="5"/>
      <c r="K636" s="5"/>
      <c r="L636" s="5"/>
    </row>
    <row r="637" customHeight="1" spans="1:12">
      <c r="A637" s="5"/>
      <c r="B637" s="5"/>
      <c r="C637" s="5"/>
      <c r="D637" s="5"/>
      <c r="E637" s="5"/>
      <c r="F637" s="5"/>
      <c r="H637" s="5"/>
      <c r="I637" s="5"/>
      <c r="J637" s="5"/>
      <c r="K637" s="5"/>
      <c r="L637" s="5"/>
    </row>
    <row r="638" customHeight="1" spans="1:12">
      <c r="A638" s="5"/>
      <c r="B638" s="5"/>
      <c r="C638" s="5"/>
      <c r="D638" s="5"/>
      <c r="E638" s="5"/>
      <c r="F638" s="5"/>
      <c r="H638" s="5"/>
      <c r="I638" s="5"/>
      <c r="J638" s="5"/>
      <c r="K638" s="5"/>
      <c r="L638" s="5"/>
    </row>
    <row r="639" customHeight="1" spans="1:12">
      <c r="A639" s="5"/>
      <c r="B639" s="5"/>
      <c r="C639" s="5"/>
      <c r="D639" s="5"/>
      <c r="E639" s="5"/>
      <c r="F639" s="5"/>
      <c r="H639" s="5"/>
      <c r="I639" s="5"/>
      <c r="J639" s="5"/>
      <c r="K639" s="5"/>
      <c r="L639" s="5"/>
    </row>
    <row r="640" customHeight="1" spans="1:12">
      <c r="A640" s="5"/>
      <c r="B640" s="5"/>
      <c r="C640" s="5"/>
      <c r="D640" s="5"/>
      <c r="E640" s="5"/>
      <c r="F640" s="5"/>
      <c r="H640" s="5"/>
      <c r="I640" s="5"/>
      <c r="J640" s="5"/>
      <c r="K640" s="5"/>
      <c r="L640" s="5"/>
    </row>
    <row r="641" customHeight="1" spans="1:12">
      <c r="A641" s="5"/>
      <c r="B641" s="5"/>
      <c r="C641" s="5"/>
      <c r="D641" s="5"/>
      <c r="E641" s="5"/>
      <c r="F641" s="5"/>
      <c r="H641" s="5"/>
      <c r="I641" s="5"/>
      <c r="J641" s="5"/>
      <c r="K641" s="5"/>
      <c r="L641" s="5"/>
    </row>
    <row r="642" customHeight="1" spans="1:12">
      <c r="A642" s="5"/>
      <c r="B642" s="5"/>
      <c r="C642" s="5"/>
      <c r="D642" s="5"/>
      <c r="E642" s="5"/>
      <c r="F642" s="5"/>
      <c r="H642" s="5"/>
      <c r="I642" s="5"/>
      <c r="J642" s="5"/>
      <c r="K642" s="5"/>
      <c r="L642" s="5"/>
    </row>
    <row r="643" customHeight="1" spans="1:12">
      <c r="A643" s="5"/>
      <c r="B643" s="5"/>
      <c r="C643" s="5"/>
      <c r="D643" s="5"/>
      <c r="E643" s="5"/>
      <c r="F643" s="5"/>
      <c r="H643" s="5"/>
      <c r="I643" s="5"/>
      <c r="J643" s="5"/>
      <c r="K643" s="5"/>
      <c r="L643" s="5"/>
    </row>
    <row r="644" customHeight="1" spans="1:12">
      <c r="A644" s="5"/>
      <c r="B644" s="5"/>
      <c r="C644" s="5"/>
      <c r="D644" s="5"/>
      <c r="E644" s="5"/>
      <c r="F644" s="5"/>
      <c r="H644" s="5"/>
      <c r="I644" s="5"/>
      <c r="J644" s="5"/>
      <c r="K644" s="5"/>
      <c r="L644" s="5"/>
    </row>
    <row r="645" customHeight="1" spans="1:12">
      <c r="A645" s="5"/>
      <c r="B645" s="5"/>
      <c r="C645" s="5"/>
      <c r="D645" s="5"/>
      <c r="E645" s="5"/>
      <c r="F645" s="5"/>
      <c r="H645" s="5"/>
      <c r="I645" s="5"/>
      <c r="J645" s="5"/>
      <c r="K645" s="5"/>
      <c r="L645" s="5"/>
    </row>
    <row r="646" customHeight="1" spans="1:12">
      <c r="A646" s="5"/>
      <c r="B646" s="5"/>
      <c r="C646" s="5"/>
      <c r="D646" s="5"/>
      <c r="E646" s="5"/>
      <c r="F646" s="5"/>
      <c r="H646" s="5"/>
      <c r="I646" s="5"/>
      <c r="J646" s="5"/>
      <c r="K646" s="5"/>
      <c r="L646" s="5"/>
    </row>
    <row r="647" customHeight="1" spans="1:12">
      <c r="A647" s="5"/>
      <c r="B647" s="5"/>
      <c r="C647" s="5"/>
      <c r="D647" s="5"/>
      <c r="E647" s="5"/>
      <c r="F647" s="5"/>
      <c r="H647" s="5"/>
      <c r="I647" s="5"/>
      <c r="J647" s="5"/>
      <c r="K647" s="5"/>
      <c r="L647" s="5"/>
    </row>
    <row r="648" customHeight="1" spans="1:12">
      <c r="A648" s="5"/>
      <c r="B648" s="5"/>
      <c r="C648" s="5"/>
      <c r="D648" s="5"/>
      <c r="E648" s="5"/>
      <c r="F648" s="5"/>
      <c r="H648" s="5"/>
      <c r="I648" s="5"/>
      <c r="J648" s="5"/>
      <c r="K648" s="5"/>
      <c r="L648" s="5"/>
    </row>
    <row r="649" customHeight="1" spans="1:12">
      <c r="A649" s="5"/>
      <c r="B649" s="5"/>
      <c r="C649" s="5"/>
      <c r="D649" s="5"/>
      <c r="E649" s="5"/>
      <c r="F649" s="5"/>
      <c r="H649" s="5"/>
      <c r="I649" s="5"/>
      <c r="J649" s="5"/>
      <c r="K649" s="5"/>
      <c r="L649" s="5"/>
    </row>
    <row r="650" customHeight="1" spans="1:12">
      <c r="A650" s="5"/>
      <c r="B650" s="5"/>
      <c r="C650" s="5"/>
      <c r="D650" s="5"/>
      <c r="E650" s="5"/>
      <c r="F650" s="5"/>
      <c r="H650" s="5"/>
      <c r="I650" s="5"/>
      <c r="J650" s="5"/>
      <c r="K650" s="5"/>
      <c r="L650" s="5"/>
    </row>
    <row r="651" customHeight="1" spans="1:12">
      <c r="A651" s="5"/>
      <c r="B651" s="5"/>
      <c r="C651" s="5"/>
      <c r="D651" s="5"/>
      <c r="E651" s="5"/>
      <c r="F651" s="5"/>
      <c r="H651" s="5"/>
      <c r="I651" s="5"/>
      <c r="J651" s="5"/>
      <c r="K651" s="5"/>
      <c r="L651" s="5"/>
    </row>
    <row r="652" customHeight="1" spans="1:12">
      <c r="A652" s="5"/>
      <c r="B652" s="5"/>
      <c r="C652" s="5"/>
      <c r="D652" s="5"/>
      <c r="E652" s="5"/>
      <c r="F652" s="5"/>
      <c r="H652" s="5"/>
      <c r="I652" s="5"/>
      <c r="J652" s="5"/>
      <c r="K652" s="5"/>
      <c r="L652" s="5"/>
    </row>
    <row r="653" customHeight="1" spans="1:12">
      <c r="A653" s="5"/>
      <c r="B653" s="5"/>
      <c r="C653" s="5"/>
      <c r="D653" s="5"/>
      <c r="E653" s="5"/>
      <c r="F653" s="5"/>
      <c r="H653" s="5"/>
      <c r="I653" s="5"/>
      <c r="J653" s="5"/>
      <c r="K653" s="5"/>
      <c r="L653" s="5"/>
    </row>
    <row r="654" customHeight="1" spans="1:12">
      <c r="A654" s="5"/>
      <c r="B654" s="5"/>
      <c r="C654" s="5"/>
      <c r="D654" s="5"/>
      <c r="E654" s="5"/>
      <c r="F654" s="5"/>
      <c r="H654" s="5"/>
      <c r="I654" s="5"/>
      <c r="J654" s="5"/>
      <c r="K654" s="5"/>
      <c r="L654" s="5"/>
    </row>
    <row r="655" customHeight="1" spans="1:12">
      <c r="A655" s="5"/>
      <c r="B655" s="5"/>
      <c r="C655" s="5"/>
      <c r="D655" s="5"/>
      <c r="E655" s="5"/>
      <c r="F655" s="5"/>
      <c r="H655" s="5"/>
      <c r="I655" s="5"/>
      <c r="J655" s="5"/>
      <c r="K655" s="5"/>
      <c r="L655" s="5"/>
    </row>
    <row r="656" customHeight="1" spans="1:12">
      <c r="A656" s="5"/>
      <c r="B656" s="5"/>
      <c r="C656" s="5"/>
      <c r="D656" s="5"/>
      <c r="E656" s="5"/>
      <c r="F656" s="5"/>
      <c r="H656" s="5"/>
      <c r="I656" s="5"/>
      <c r="J656" s="5"/>
      <c r="K656" s="5"/>
      <c r="L656" s="5"/>
    </row>
    <row r="657" customHeight="1" spans="1:12">
      <c r="A657" s="5"/>
      <c r="B657" s="5"/>
      <c r="C657" s="5"/>
      <c r="D657" s="5"/>
      <c r="E657" s="5"/>
      <c r="F657" s="5"/>
      <c r="H657" s="5"/>
      <c r="I657" s="5"/>
      <c r="J657" s="5"/>
      <c r="K657" s="5"/>
      <c r="L657" s="5"/>
    </row>
    <row r="658" customHeight="1" spans="1:12">
      <c r="A658" s="5"/>
      <c r="B658" s="5"/>
      <c r="C658" s="5"/>
      <c r="D658" s="5"/>
      <c r="E658" s="5"/>
      <c r="F658" s="5"/>
      <c r="H658" s="5"/>
      <c r="I658" s="5"/>
      <c r="J658" s="5"/>
      <c r="K658" s="5"/>
      <c r="L658" s="5"/>
    </row>
    <row r="659" customHeight="1" spans="1:12">
      <c r="A659" s="5"/>
      <c r="B659" s="5"/>
      <c r="C659" s="5"/>
      <c r="D659" s="5"/>
      <c r="E659" s="5"/>
      <c r="F659" s="5"/>
      <c r="H659" s="5"/>
      <c r="I659" s="5"/>
      <c r="J659" s="5"/>
      <c r="K659" s="5"/>
      <c r="L659" s="5"/>
    </row>
    <row r="660" customHeight="1" spans="1:12">
      <c r="A660" s="5"/>
      <c r="B660" s="5"/>
      <c r="C660" s="5"/>
      <c r="D660" s="5"/>
      <c r="E660" s="5"/>
      <c r="F660" s="5"/>
      <c r="H660" s="5"/>
      <c r="I660" s="5"/>
      <c r="J660" s="5"/>
      <c r="K660" s="5"/>
      <c r="L660" s="5"/>
    </row>
    <row r="661" customHeight="1" spans="1:12">
      <c r="A661" s="5"/>
      <c r="B661" s="5"/>
      <c r="C661" s="5"/>
      <c r="D661" s="5"/>
      <c r="E661" s="5"/>
      <c r="F661" s="5"/>
      <c r="H661" s="5"/>
      <c r="I661" s="5"/>
      <c r="J661" s="5"/>
      <c r="K661" s="5"/>
      <c r="L661" s="5"/>
    </row>
    <row r="662" customHeight="1" spans="1:12">
      <c r="A662" s="5"/>
      <c r="B662" s="5"/>
      <c r="C662" s="5"/>
      <c r="D662" s="5"/>
      <c r="E662" s="5"/>
      <c r="F662" s="5"/>
      <c r="H662" s="5"/>
      <c r="I662" s="5"/>
      <c r="J662" s="5"/>
      <c r="K662" s="5"/>
      <c r="L662" s="5"/>
    </row>
    <row r="663" customHeight="1" spans="1:12">
      <c r="A663" s="5"/>
      <c r="B663" s="5"/>
      <c r="C663" s="5"/>
      <c r="D663" s="5"/>
      <c r="E663" s="5"/>
      <c r="F663" s="5"/>
      <c r="H663" s="5"/>
      <c r="I663" s="5"/>
      <c r="J663" s="5"/>
      <c r="K663" s="5"/>
      <c r="L663" s="5"/>
    </row>
    <row r="664" customHeight="1" spans="1:12">
      <c r="A664" s="5"/>
      <c r="B664" s="5"/>
      <c r="C664" s="5"/>
      <c r="D664" s="5"/>
      <c r="E664" s="5"/>
      <c r="F664" s="5"/>
      <c r="H664" s="5"/>
      <c r="I664" s="5"/>
      <c r="J664" s="5"/>
      <c r="K664" s="5"/>
      <c r="L664" s="5"/>
    </row>
    <row r="665" customHeight="1" spans="1:12">
      <c r="A665" s="5"/>
      <c r="B665" s="5"/>
      <c r="C665" s="5"/>
      <c r="D665" s="5"/>
      <c r="E665" s="5"/>
      <c r="F665" s="5"/>
      <c r="H665" s="5"/>
      <c r="I665" s="5"/>
      <c r="J665" s="5"/>
      <c r="K665" s="5"/>
      <c r="L665" s="5"/>
    </row>
    <row r="666" customHeight="1" spans="1:12">
      <c r="A666" s="5"/>
      <c r="B666" s="5"/>
      <c r="C666" s="5"/>
      <c r="D666" s="5"/>
      <c r="E666" s="5"/>
      <c r="F666" s="5"/>
      <c r="H666" s="5"/>
      <c r="I666" s="5"/>
      <c r="J666" s="5"/>
      <c r="K666" s="5"/>
      <c r="L666" s="5"/>
    </row>
    <row r="667" customHeight="1" spans="1:12">
      <c r="A667" s="5"/>
      <c r="B667" s="5"/>
      <c r="C667" s="5"/>
      <c r="D667" s="5"/>
      <c r="E667" s="5"/>
      <c r="F667" s="5"/>
      <c r="H667" s="5"/>
      <c r="I667" s="5"/>
      <c r="J667" s="5"/>
      <c r="K667" s="5"/>
      <c r="L667" s="5"/>
    </row>
    <row r="668" customHeight="1" spans="1:12">
      <c r="A668" s="5"/>
      <c r="B668" s="5"/>
      <c r="C668" s="5"/>
      <c r="D668" s="5"/>
      <c r="E668" s="5"/>
      <c r="F668" s="5"/>
      <c r="H668" s="5"/>
      <c r="I668" s="5"/>
      <c r="J668" s="5"/>
      <c r="K668" s="5"/>
      <c r="L668" s="5"/>
    </row>
    <row r="669" customHeight="1" spans="1:12">
      <c r="A669" s="5"/>
      <c r="B669" s="5"/>
      <c r="C669" s="5"/>
      <c r="D669" s="5"/>
      <c r="E669" s="5"/>
      <c r="F669" s="5"/>
      <c r="H669" s="5"/>
      <c r="I669" s="5"/>
      <c r="J669" s="5"/>
      <c r="K669" s="5"/>
      <c r="L669" s="5"/>
    </row>
    <row r="670" customHeight="1" spans="1:12">
      <c r="A670" s="5"/>
      <c r="B670" s="5"/>
      <c r="C670" s="5"/>
      <c r="D670" s="5"/>
      <c r="E670" s="5"/>
      <c r="F670" s="5"/>
      <c r="H670" s="5"/>
      <c r="I670" s="5"/>
      <c r="J670" s="5"/>
      <c r="K670" s="5"/>
      <c r="L670" s="5"/>
    </row>
    <row r="671" customHeight="1" spans="1:12">
      <c r="A671" s="5"/>
      <c r="B671" s="5"/>
      <c r="C671" s="5"/>
      <c r="D671" s="5"/>
      <c r="E671" s="5"/>
      <c r="F671" s="5"/>
      <c r="H671" s="5"/>
      <c r="I671" s="5"/>
      <c r="J671" s="5"/>
      <c r="K671" s="5"/>
      <c r="L671" s="5"/>
    </row>
    <row r="672" customHeight="1" spans="1:12">
      <c r="A672" s="5"/>
      <c r="B672" s="5"/>
      <c r="C672" s="5"/>
      <c r="D672" s="5"/>
      <c r="E672" s="5"/>
      <c r="F672" s="5"/>
      <c r="H672" s="5"/>
      <c r="I672" s="5"/>
      <c r="J672" s="5"/>
      <c r="K672" s="5"/>
      <c r="L672" s="5"/>
    </row>
    <row r="673" customHeight="1" spans="1:12">
      <c r="A673" s="5"/>
      <c r="B673" s="5"/>
      <c r="C673" s="5"/>
      <c r="D673" s="5"/>
      <c r="E673" s="5"/>
      <c r="F673" s="5"/>
      <c r="H673" s="5"/>
      <c r="I673" s="5"/>
      <c r="J673" s="5"/>
      <c r="K673" s="5"/>
      <c r="L673" s="5"/>
    </row>
    <row r="674" customHeight="1" spans="1:12">
      <c r="A674" s="5"/>
      <c r="B674" s="5"/>
      <c r="C674" s="5"/>
      <c r="D674" s="5"/>
      <c r="E674" s="5"/>
      <c r="F674" s="5"/>
      <c r="H674" s="5"/>
      <c r="I674" s="5"/>
      <c r="J674" s="5"/>
      <c r="K674" s="5"/>
      <c r="L674" s="5"/>
    </row>
    <row r="675" customHeight="1" spans="1:12">
      <c r="A675" s="5"/>
      <c r="B675" s="5"/>
      <c r="C675" s="5"/>
      <c r="D675" s="5"/>
      <c r="E675" s="5"/>
      <c r="F675" s="5"/>
      <c r="H675" s="5"/>
      <c r="I675" s="5"/>
      <c r="J675" s="5"/>
      <c r="K675" s="5"/>
      <c r="L675" s="5"/>
    </row>
    <row r="676" customHeight="1" spans="1:12">
      <c r="A676" s="5"/>
      <c r="B676" s="5"/>
      <c r="C676" s="5"/>
      <c r="D676" s="5"/>
      <c r="E676" s="5"/>
      <c r="F676" s="5"/>
      <c r="H676" s="5"/>
      <c r="I676" s="5"/>
      <c r="J676" s="5"/>
      <c r="K676" s="5"/>
      <c r="L676" s="5"/>
    </row>
    <row r="677" customHeight="1" spans="1:12">
      <c r="A677" s="5"/>
      <c r="B677" s="5"/>
      <c r="C677" s="5"/>
      <c r="D677" s="5"/>
      <c r="E677" s="5"/>
      <c r="F677" s="5"/>
      <c r="H677" s="5"/>
      <c r="I677" s="5"/>
      <c r="J677" s="5"/>
      <c r="K677" s="5"/>
      <c r="L677" s="5"/>
    </row>
    <row r="678" customHeight="1" spans="1:12">
      <c r="A678" s="5"/>
      <c r="B678" s="5"/>
      <c r="C678" s="5"/>
      <c r="D678" s="5"/>
      <c r="E678" s="5"/>
      <c r="F678" s="5"/>
      <c r="H678" s="5"/>
      <c r="I678" s="5"/>
      <c r="J678" s="5"/>
      <c r="K678" s="5"/>
      <c r="L678" s="5"/>
    </row>
    <row r="679" customHeight="1" spans="1:12">
      <c r="A679" s="5"/>
      <c r="B679" s="5"/>
      <c r="C679" s="5"/>
      <c r="D679" s="5"/>
      <c r="E679" s="5"/>
      <c r="F679" s="5"/>
      <c r="H679" s="5"/>
      <c r="I679" s="5"/>
      <c r="J679" s="5"/>
      <c r="K679" s="5"/>
      <c r="L679" s="5"/>
    </row>
    <row r="680" customHeight="1" spans="1:12">
      <c r="A680" s="5"/>
      <c r="B680" s="5"/>
      <c r="C680" s="5"/>
      <c r="D680" s="5"/>
      <c r="E680" s="5"/>
      <c r="F680" s="5"/>
      <c r="H680" s="5"/>
      <c r="I680" s="5"/>
      <c r="J680" s="5"/>
      <c r="K680" s="5"/>
      <c r="L680" s="5"/>
    </row>
    <row r="681" customHeight="1" spans="1:12">
      <c r="A681" s="5"/>
      <c r="B681" s="5"/>
      <c r="C681" s="5"/>
      <c r="D681" s="5"/>
      <c r="E681" s="5"/>
      <c r="F681" s="5"/>
      <c r="H681" s="5"/>
      <c r="I681" s="5"/>
      <c r="J681" s="5"/>
      <c r="K681" s="5"/>
      <c r="L681" s="5"/>
    </row>
    <row r="682" customHeight="1" spans="1:12">
      <c r="A682" s="5"/>
      <c r="B682" s="5"/>
      <c r="C682" s="5"/>
      <c r="D682" s="5"/>
      <c r="E682" s="5"/>
      <c r="F682" s="5"/>
      <c r="H682" s="5"/>
      <c r="I682" s="5"/>
      <c r="J682" s="5"/>
      <c r="K682" s="5"/>
      <c r="L682" s="5"/>
    </row>
    <row r="683" customHeight="1" spans="1:12">
      <c r="A683" s="5"/>
      <c r="B683" s="5"/>
      <c r="C683" s="5"/>
      <c r="D683" s="5"/>
      <c r="E683" s="5"/>
      <c r="F683" s="5"/>
      <c r="H683" s="5"/>
      <c r="I683" s="5"/>
      <c r="J683" s="5"/>
      <c r="K683" s="5"/>
      <c r="L683" s="5"/>
    </row>
    <row r="684" customHeight="1" spans="1:12">
      <c r="A684" s="5"/>
      <c r="B684" s="5"/>
      <c r="C684" s="5"/>
      <c r="D684" s="5"/>
      <c r="E684" s="5"/>
      <c r="F684" s="5"/>
      <c r="H684" s="5"/>
      <c r="I684" s="5"/>
      <c r="J684" s="5"/>
      <c r="K684" s="5"/>
      <c r="L684" s="5"/>
    </row>
    <row r="685" customHeight="1" spans="1:12">
      <c r="A685" s="5"/>
      <c r="B685" s="5"/>
      <c r="C685" s="5"/>
      <c r="D685" s="5"/>
      <c r="E685" s="5"/>
      <c r="F685" s="5"/>
      <c r="H685" s="5"/>
      <c r="I685" s="5"/>
      <c r="J685" s="5"/>
      <c r="K685" s="5"/>
      <c r="L685" s="5"/>
    </row>
    <row r="686" customHeight="1" spans="1:12">
      <c r="A686" s="5"/>
      <c r="B686" s="5"/>
      <c r="C686" s="5"/>
      <c r="D686" s="5"/>
      <c r="E686" s="5"/>
      <c r="F686" s="5"/>
      <c r="H686" s="5"/>
      <c r="I686" s="5"/>
      <c r="J686" s="5"/>
      <c r="K686" s="5"/>
      <c r="L686" s="5"/>
    </row>
    <row r="687" customHeight="1" spans="1:12">
      <c r="A687" s="5"/>
      <c r="B687" s="5"/>
      <c r="C687" s="5"/>
      <c r="D687" s="5"/>
      <c r="E687" s="5"/>
      <c r="F687" s="5"/>
      <c r="H687" s="5"/>
      <c r="I687" s="5"/>
      <c r="J687" s="5"/>
      <c r="K687" s="5"/>
      <c r="L687" s="5"/>
    </row>
    <row r="688" customHeight="1" spans="1:12">
      <c r="A688" s="5"/>
      <c r="B688" s="5"/>
      <c r="C688" s="5"/>
      <c r="D688" s="5"/>
      <c r="E688" s="5"/>
      <c r="F688" s="5"/>
      <c r="H688" s="5"/>
      <c r="I688" s="5"/>
      <c r="J688" s="5"/>
      <c r="K688" s="5"/>
      <c r="L688" s="5"/>
    </row>
    <row r="689" customHeight="1" spans="1:12">
      <c r="A689" s="5"/>
      <c r="B689" s="5"/>
      <c r="C689" s="5"/>
      <c r="D689" s="5"/>
      <c r="E689" s="5"/>
      <c r="F689" s="5"/>
      <c r="H689" s="5"/>
      <c r="I689" s="5"/>
      <c r="J689" s="5"/>
      <c r="K689" s="5"/>
      <c r="L689" s="5"/>
    </row>
    <row r="690" customHeight="1" spans="1:12">
      <c r="A690" s="5"/>
      <c r="B690" s="5"/>
      <c r="C690" s="5"/>
      <c r="D690" s="5"/>
      <c r="E690" s="5"/>
      <c r="F690" s="5"/>
      <c r="H690" s="5"/>
      <c r="I690" s="5"/>
      <c r="J690" s="5"/>
      <c r="K690" s="5"/>
      <c r="L690" s="5"/>
    </row>
    <row r="691" customHeight="1" spans="1:12">
      <c r="A691" s="5"/>
      <c r="B691" s="5"/>
      <c r="C691" s="5"/>
      <c r="D691" s="5"/>
      <c r="E691" s="5"/>
      <c r="F691" s="5"/>
      <c r="H691" s="5"/>
      <c r="I691" s="5"/>
      <c r="J691" s="5"/>
      <c r="K691" s="5"/>
      <c r="L691" s="5"/>
    </row>
    <row r="692" customHeight="1" spans="1:12">
      <c r="A692" s="5"/>
      <c r="B692" s="5"/>
      <c r="C692" s="5"/>
      <c r="D692" s="5"/>
      <c r="E692" s="5"/>
      <c r="F692" s="5"/>
      <c r="H692" s="5"/>
      <c r="I692" s="5"/>
      <c r="J692" s="5"/>
      <c r="K692" s="5"/>
      <c r="L692" s="5"/>
    </row>
    <row r="693" customHeight="1" spans="1:12">
      <c r="A693" s="5"/>
      <c r="B693" s="5"/>
      <c r="C693" s="5"/>
      <c r="D693" s="5"/>
      <c r="E693" s="5"/>
      <c r="F693" s="5"/>
      <c r="H693" s="5"/>
      <c r="I693" s="5"/>
      <c r="J693" s="5"/>
      <c r="K693" s="5"/>
      <c r="L693" s="5"/>
    </row>
    <row r="694" customHeight="1" spans="1:12">
      <c r="A694" s="5"/>
      <c r="B694" s="5"/>
      <c r="C694" s="5"/>
      <c r="D694" s="5"/>
      <c r="E694" s="5"/>
      <c r="F694" s="5"/>
      <c r="H694" s="5"/>
      <c r="I694" s="5"/>
      <c r="J694" s="5"/>
      <c r="K694" s="5"/>
      <c r="L694" s="5"/>
    </row>
    <row r="695" customHeight="1" spans="1:12">
      <c r="A695" s="5"/>
      <c r="B695" s="5"/>
      <c r="C695" s="5"/>
      <c r="D695" s="5"/>
      <c r="E695" s="5"/>
      <c r="F695" s="5"/>
      <c r="H695" s="5"/>
      <c r="I695" s="5"/>
      <c r="J695" s="5"/>
      <c r="K695" s="5"/>
      <c r="L695" s="5"/>
    </row>
    <row r="696" customHeight="1" spans="1:12">
      <c r="A696" s="5"/>
      <c r="B696" s="5"/>
      <c r="C696" s="5"/>
      <c r="D696" s="5"/>
      <c r="E696" s="5"/>
      <c r="F696" s="5"/>
      <c r="H696" s="5"/>
      <c r="I696" s="5"/>
      <c r="J696" s="5"/>
      <c r="K696" s="5"/>
      <c r="L696" s="5"/>
    </row>
    <row r="697" customHeight="1" spans="1:12">
      <c r="A697" s="5"/>
      <c r="B697" s="5"/>
      <c r="C697" s="5"/>
      <c r="D697" s="5"/>
      <c r="E697" s="5"/>
      <c r="F697" s="5"/>
      <c r="H697" s="5"/>
      <c r="I697" s="5"/>
      <c r="J697" s="5"/>
      <c r="K697" s="5"/>
      <c r="L697" s="5"/>
    </row>
    <row r="698" customHeight="1" spans="1:12">
      <c r="A698" s="5"/>
      <c r="B698" s="5"/>
      <c r="C698" s="5"/>
      <c r="D698" s="5"/>
      <c r="E698" s="5"/>
      <c r="F698" s="5"/>
      <c r="H698" s="5"/>
      <c r="I698" s="5"/>
      <c r="J698" s="5"/>
      <c r="K698" s="5"/>
      <c r="L698" s="5"/>
    </row>
    <row r="699" customHeight="1" spans="1:12">
      <c r="A699" s="5"/>
      <c r="B699" s="5"/>
      <c r="C699" s="5"/>
      <c r="D699" s="5"/>
      <c r="E699" s="5"/>
      <c r="F699" s="5"/>
      <c r="H699" s="5"/>
      <c r="I699" s="5"/>
      <c r="J699" s="5"/>
      <c r="K699" s="5"/>
      <c r="L699" s="5"/>
    </row>
    <row r="700" customHeight="1" spans="1:12">
      <c r="A700" s="5"/>
      <c r="B700" s="5"/>
      <c r="C700" s="5"/>
      <c r="D700" s="5"/>
      <c r="E700" s="5"/>
      <c r="F700" s="5"/>
      <c r="H700" s="5"/>
      <c r="I700" s="5"/>
      <c r="J700" s="5"/>
      <c r="K700" s="5"/>
      <c r="L700" s="5"/>
    </row>
    <row r="701" customHeight="1" spans="1:12">
      <c r="A701" s="5"/>
      <c r="B701" s="5"/>
      <c r="C701" s="5"/>
      <c r="D701" s="5"/>
      <c r="E701" s="5"/>
      <c r="F701" s="5"/>
      <c r="H701" s="5"/>
      <c r="I701" s="5"/>
      <c r="J701" s="5"/>
      <c r="K701" s="5"/>
      <c r="L701" s="5"/>
    </row>
    <row r="702" customHeight="1" spans="1:12">
      <c r="A702" s="5"/>
      <c r="B702" s="5"/>
      <c r="C702" s="5"/>
      <c r="D702" s="5"/>
      <c r="E702" s="5"/>
      <c r="F702" s="5"/>
      <c r="H702" s="5"/>
      <c r="I702" s="5"/>
      <c r="J702" s="5"/>
      <c r="K702" s="5"/>
      <c r="L702" s="5"/>
    </row>
    <row r="703" customHeight="1" spans="1:12">
      <c r="A703" s="5"/>
      <c r="B703" s="5"/>
      <c r="C703" s="5"/>
      <c r="D703" s="5"/>
      <c r="E703" s="5"/>
      <c r="F703" s="5"/>
      <c r="H703" s="5"/>
      <c r="I703" s="5"/>
      <c r="J703" s="5"/>
      <c r="K703" s="5"/>
      <c r="L703" s="5"/>
    </row>
    <row r="704" customHeight="1" spans="1:12">
      <c r="A704" s="5"/>
      <c r="B704" s="5"/>
      <c r="C704" s="5"/>
      <c r="D704" s="5"/>
      <c r="E704" s="5"/>
      <c r="F704" s="5"/>
      <c r="H704" s="5"/>
      <c r="I704" s="5"/>
      <c r="J704" s="5"/>
      <c r="K704" s="5"/>
      <c r="L704" s="5"/>
    </row>
    <row r="705" customHeight="1" spans="1:12">
      <c r="A705" s="5"/>
      <c r="B705" s="5"/>
      <c r="C705" s="5"/>
      <c r="D705" s="5"/>
      <c r="E705" s="5"/>
      <c r="F705" s="5"/>
      <c r="H705" s="5"/>
      <c r="I705" s="5"/>
      <c r="J705" s="5"/>
      <c r="K705" s="5"/>
      <c r="L705" s="5"/>
    </row>
    <row r="706" customHeight="1" spans="1:12">
      <c r="A706" s="5"/>
      <c r="B706" s="5"/>
      <c r="C706" s="5"/>
      <c r="D706" s="5"/>
      <c r="E706" s="5"/>
      <c r="F706" s="5"/>
      <c r="H706" s="5"/>
      <c r="I706" s="5"/>
      <c r="J706" s="5"/>
      <c r="K706" s="5"/>
      <c r="L706" s="5"/>
    </row>
    <row r="707" customHeight="1" spans="1:12">
      <c r="A707" s="5"/>
      <c r="B707" s="5"/>
      <c r="C707" s="5"/>
      <c r="D707" s="5"/>
      <c r="E707" s="5"/>
      <c r="F707" s="5"/>
      <c r="H707" s="5"/>
      <c r="I707" s="5"/>
      <c r="J707" s="5"/>
      <c r="K707" s="5"/>
      <c r="L707" s="5"/>
    </row>
    <row r="708" customHeight="1" spans="1:12">
      <c r="A708" s="5"/>
      <c r="B708" s="5"/>
      <c r="C708" s="5"/>
      <c r="D708" s="5"/>
      <c r="E708" s="5"/>
      <c r="F708" s="5"/>
      <c r="H708" s="5"/>
      <c r="I708" s="5"/>
      <c r="J708" s="5"/>
      <c r="K708" s="5"/>
      <c r="L708" s="5"/>
    </row>
    <row r="709" customHeight="1" spans="1:12">
      <c r="A709" s="5"/>
      <c r="B709" s="5"/>
      <c r="C709" s="5"/>
      <c r="D709" s="5"/>
      <c r="E709" s="5"/>
      <c r="F709" s="5"/>
      <c r="H709" s="5"/>
      <c r="I709" s="5"/>
      <c r="J709" s="5"/>
      <c r="K709" s="5"/>
      <c r="L709" s="5"/>
    </row>
    <row r="710" customHeight="1" spans="1:12">
      <c r="A710" s="5"/>
      <c r="B710" s="5"/>
      <c r="C710" s="5"/>
      <c r="D710" s="5"/>
      <c r="E710" s="5"/>
      <c r="F710" s="5"/>
      <c r="H710" s="5"/>
      <c r="I710" s="5"/>
      <c r="J710" s="5"/>
      <c r="K710" s="5"/>
      <c r="L710" s="5"/>
    </row>
    <row r="711" customHeight="1" spans="1:12">
      <c r="A711" s="5"/>
      <c r="B711" s="5"/>
      <c r="C711" s="5"/>
      <c r="D711" s="5"/>
      <c r="E711" s="5"/>
      <c r="F711" s="5"/>
      <c r="H711" s="5"/>
      <c r="I711" s="5"/>
      <c r="J711" s="5"/>
      <c r="K711" s="5"/>
      <c r="L711" s="5"/>
    </row>
    <row r="712" customHeight="1" spans="1:12">
      <c r="A712" s="5"/>
      <c r="B712" s="5"/>
      <c r="C712" s="5"/>
      <c r="D712" s="5"/>
      <c r="E712" s="5"/>
      <c r="F712" s="5"/>
      <c r="H712" s="5"/>
      <c r="I712" s="5"/>
      <c r="J712" s="5"/>
      <c r="K712" s="5"/>
      <c r="L712" s="5"/>
    </row>
    <row r="713" customHeight="1" spans="1:12">
      <c r="A713" s="5"/>
      <c r="B713" s="5"/>
      <c r="C713" s="5"/>
      <c r="D713" s="5"/>
      <c r="E713" s="5"/>
      <c r="F713" s="5"/>
      <c r="H713" s="5"/>
      <c r="I713" s="5"/>
      <c r="J713" s="5"/>
      <c r="K713" s="5"/>
      <c r="L713" s="5"/>
    </row>
    <row r="714" customHeight="1" spans="1:12">
      <c r="A714" s="5"/>
      <c r="B714" s="5"/>
      <c r="C714" s="5"/>
      <c r="D714" s="5"/>
      <c r="E714" s="5"/>
      <c r="F714" s="5"/>
      <c r="H714" s="5"/>
      <c r="I714" s="5"/>
      <c r="J714" s="5"/>
      <c r="K714" s="5"/>
      <c r="L714" s="5"/>
    </row>
    <row r="715" customHeight="1" spans="1:12">
      <c r="A715" s="5"/>
      <c r="B715" s="5"/>
      <c r="C715" s="5"/>
      <c r="D715" s="5"/>
      <c r="E715" s="5"/>
      <c r="F715" s="5"/>
      <c r="H715" s="5"/>
      <c r="I715" s="5"/>
      <c r="J715" s="5"/>
      <c r="K715" s="5"/>
      <c r="L715" s="5"/>
    </row>
    <row r="716" customHeight="1" spans="1:12">
      <c r="A716" s="5"/>
      <c r="B716" s="5"/>
      <c r="C716" s="5"/>
      <c r="D716" s="5"/>
      <c r="E716" s="5"/>
      <c r="F716" s="5"/>
      <c r="H716" s="5"/>
      <c r="I716" s="5"/>
      <c r="J716" s="5"/>
      <c r="K716" s="5"/>
      <c r="L716" s="5"/>
    </row>
    <row r="717" customHeight="1" spans="1:12">
      <c r="A717" s="5"/>
      <c r="B717" s="5"/>
      <c r="C717" s="5"/>
      <c r="D717" s="5"/>
      <c r="E717" s="5"/>
      <c r="F717" s="5"/>
      <c r="H717" s="5"/>
      <c r="I717" s="5"/>
      <c r="J717" s="5"/>
      <c r="K717" s="5"/>
      <c r="L717" s="5"/>
    </row>
    <row r="718" customHeight="1" spans="1:12">
      <c r="A718" s="5"/>
      <c r="B718" s="5"/>
      <c r="C718" s="5"/>
      <c r="D718" s="5"/>
      <c r="E718" s="5"/>
      <c r="F718" s="5"/>
      <c r="H718" s="5"/>
      <c r="I718" s="5"/>
      <c r="J718" s="5"/>
      <c r="K718" s="5"/>
      <c r="L718" s="5"/>
    </row>
    <row r="719" customHeight="1" spans="1:12">
      <c r="A719" s="5"/>
      <c r="B719" s="5"/>
      <c r="C719" s="5"/>
      <c r="D719" s="5"/>
      <c r="E719" s="5"/>
      <c r="F719" s="5"/>
      <c r="H719" s="5"/>
      <c r="I719" s="5"/>
      <c r="J719" s="5"/>
      <c r="K719" s="5"/>
      <c r="L719" s="5"/>
    </row>
    <row r="720" customHeight="1" spans="1:12">
      <c r="A720" s="5"/>
      <c r="B720" s="5"/>
      <c r="C720" s="5"/>
      <c r="D720" s="5"/>
      <c r="E720" s="5"/>
      <c r="F720" s="5"/>
      <c r="H720" s="5"/>
      <c r="I720" s="5"/>
      <c r="J720" s="5"/>
      <c r="K720" s="5"/>
      <c r="L720" s="5"/>
    </row>
    <row r="721" customHeight="1" spans="1:12">
      <c r="A721" s="5"/>
      <c r="B721" s="5"/>
      <c r="C721" s="5"/>
      <c r="D721" s="5"/>
      <c r="E721" s="5"/>
      <c r="F721" s="5"/>
      <c r="H721" s="5"/>
      <c r="I721" s="5"/>
      <c r="J721" s="5"/>
      <c r="K721" s="5"/>
      <c r="L721" s="5"/>
    </row>
    <row r="722" customHeight="1" spans="1:12">
      <c r="A722" s="5"/>
      <c r="B722" s="5"/>
      <c r="C722" s="5"/>
      <c r="D722" s="5"/>
      <c r="E722" s="5"/>
      <c r="F722" s="5"/>
      <c r="H722" s="5"/>
      <c r="I722" s="5"/>
      <c r="J722" s="5"/>
      <c r="K722" s="5"/>
      <c r="L722" s="5"/>
    </row>
    <row r="723" customHeight="1" spans="1:12">
      <c r="A723" s="5"/>
      <c r="B723" s="5"/>
      <c r="C723" s="5"/>
      <c r="D723" s="5"/>
      <c r="E723" s="5"/>
      <c r="F723" s="5"/>
      <c r="H723" s="5"/>
      <c r="I723" s="5"/>
      <c r="J723" s="5"/>
      <c r="K723" s="5"/>
      <c r="L723" s="5"/>
    </row>
    <row r="724" customHeight="1" spans="1:12">
      <c r="A724" s="5"/>
      <c r="B724" s="5"/>
      <c r="C724" s="5"/>
      <c r="D724" s="5"/>
      <c r="E724" s="5"/>
      <c r="F724" s="5"/>
      <c r="H724" s="5"/>
      <c r="I724" s="5"/>
      <c r="J724" s="5"/>
      <c r="K724" s="5"/>
      <c r="L724" s="5"/>
    </row>
    <row r="725" customHeight="1" spans="1:12">
      <c r="A725" s="5"/>
      <c r="B725" s="5"/>
      <c r="C725" s="5"/>
      <c r="D725" s="5"/>
      <c r="E725" s="5"/>
      <c r="F725" s="5"/>
      <c r="H725" s="5"/>
      <c r="I725" s="5"/>
      <c r="J725" s="5"/>
      <c r="K725" s="5"/>
      <c r="L725" s="5"/>
    </row>
    <row r="726" customHeight="1" spans="1:12">
      <c r="A726" s="5"/>
      <c r="B726" s="5"/>
      <c r="C726" s="5"/>
      <c r="D726" s="5"/>
      <c r="E726" s="5"/>
      <c r="F726" s="5"/>
      <c r="H726" s="5"/>
      <c r="I726" s="5"/>
      <c r="J726" s="5"/>
      <c r="K726" s="5"/>
      <c r="L726" s="5"/>
    </row>
    <row r="727" customHeight="1" spans="1:12">
      <c r="A727" s="5"/>
      <c r="B727" s="5"/>
      <c r="C727" s="5"/>
      <c r="D727" s="5"/>
      <c r="E727" s="5"/>
      <c r="F727" s="5"/>
      <c r="H727" s="5"/>
      <c r="I727" s="5"/>
      <c r="J727" s="5"/>
      <c r="K727" s="5"/>
      <c r="L727" s="5"/>
    </row>
    <row r="728" customHeight="1" spans="1:12">
      <c r="A728" s="5"/>
      <c r="B728" s="5"/>
      <c r="C728" s="5"/>
      <c r="D728" s="5"/>
      <c r="E728" s="5"/>
      <c r="F728" s="5"/>
      <c r="H728" s="5"/>
      <c r="I728" s="5"/>
      <c r="J728" s="5"/>
      <c r="K728" s="5"/>
      <c r="L728" s="5"/>
    </row>
    <row r="729" customHeight="1" spans="1:12">
      <c r="A729" s="5"/>
      <c r="B729" s="5"/>
      <c r="C729" s="5"/>
      <c r="D729" s="5"/>
      <c r="E729" s="5"/>
      <c r="F729" s="5"/>
      <c r="H729" s="5"/>
      <c r="I729" s="5"/>
      <c r="J729" s="5"/>
      <c r="K729" s="5"/>
      <c r="L729" s="5"/>
    </row>
    <row r="730" customHeight="1" spans="1:12">
      <c r="A730" s="5"/>
      <c r="B730" s="5"/>
      <c r="C730" s="5"/>
      <c r="D730" s="5"/>
      <c r="E730" s="5"/>
      <c r="F730" s="5"/>
      <c r="H730" s="5"/>
      <c r="I730" s="5"/>
      <c r="J730" s="5"/>
      <c r="K730" s="5"/>
      <c r="L730" s="5"/>
    </row>
    <row r="731" customHeight="1" spans="1:12">
      <c r="A731" s="5"/>
      <c r="B731" s="5"/>
      <c r="C731" s="5"/>
      <c r="D731" s="5"/>
      <c r="E731" s="5"/>
      <c r="F731" s="5"/>
      <c r="H731" s="5"/>
      <c r="I731" s="5"/>
      <c r="J731" s="5"/>
      <c r="K731" s="5"/>
      <c r="L731" s="5"/>
    </row>
    <row r="732" customHeight="1" spans="1:12">
      <c r="A732" s="5"/>
      <c r="B732" s="5"/>
      <c r="C732" s="5"/>
      <c r="D732" s="5"/>
      <c r="E732" s="5"/>
      <c r="F732" s="5"/>
      <c r="H732" s="5"/>
      <c r="I732" s="5"/>
      <c r="J732" s="5"/>
      <c r="K732" s="5"/>
      <c r="L732" s="5"/>
    </row>
    <row r="733" customHeight="1" spans="1:12">
      <c r="A733" s="5"/>
      <c r="B733" s="5"/>
      <c r="C733" s="5"/>
      <c r="D733" s="5"/>
      <c r="E733" s="5"/>
      <c r="F733" s="5"/>
      <c r="H733" s="5"/>
      <c r="I733" s="5"/>
      <c r="J733" s="5"/>
      <c r="K733" s="5"/>
      <c r="L733" s="5"/>
    </row>
    <row r="734" customHeight="1" spans="1:12">
      <c r="A734" s="5"/>
      <c r="B734" s="5"/>
      <c r="C734" s="5"/>
      <c r="D734" s="5"/>
      <c r="E734" s="5"/>
      <c r="F734" s="5"/>
      <c r="H734" s="5"/>
      <c r="I734" s="5"/>
      <c r="J734" s="5"/>
      <c r="K734" s="5"/>
      <c r="L734" s="5"/>
    </row>
    <row r="735" customHeight="1" spans="1:12">
      <c r="A735" s="5"/>
      <c r="B735" s="5"/>
      <c r="C735" s="5"/>
      <c r="D735" s="5"/>
      <c r="E735" s="5"/>
      <c r="F735" s="5"/>
      <c r="H735" s="5"/>
      <c r="I735" s="5"/>
      <c r="J735" s="5"/>
      <c r="K735" s="5"/>
      <c r="L735" s="5"/>
    </row>
    <row r="736" customHeight="1" spans="1:12">
      <c r="A736" s="5"/>
      <c r="B736" s="5"/>
      <c r="C736" s="5"/>
      <c r="D736" s="5"/>
      <c r="E736" s="5"/>
      <c r="F736" s="5"/>
      <c r="H736" s="5"/>
      <c r="I736" s="5"/>
      <c r="J736" s="5"/>
      <c r="K736" s="5"/>
      <c r="L736" s="5"/>
    </row>
    <row r="737" customHeight="1" spans="1:12">
      <c r="A737" s="5"/>
      <c r="B737" s="5"/>
      <c r="C737" s="5"/>
      <c r="D737" s="5"/>
      <c r="E737" s="5"/>
      <c r="F737" s="5"/>
      <c r="H737" s="5"/>
      <c r="I737" s="5"/>
      <c r="J737" s="5"/>
      <c r="K737" s="5"/>
      <c r="L737" s="5"/>
    </row>
    <row r="738" customHeight="1" spans="1:12">
      <c r="A738" s="5"/>
      <c r="B738" s="5"/>
      <c r="C738" s="5"/>
      <c r="D738" s="5"/>
      <c r="E738" s="5"/>
      <c r="F738" s="5"/>
      <c r="H738" s="5"/>
      <c r="I738" s="5"/>
      <c r="J738" s="5"/>
      <c r="K738" s="5"/>
      <c r="L738" s="5"/>
    </row>
    <row r="739" customHeight="1" spans="1:12">
      <c r="A739" s="5"/>
      <c r="B739" s="5"/>
      <c r="C739" s="5"/>
      <c r="D739" s="5"/>
      <c r="E739" s="5"/>
      <c r="F739" s="5"/>
      <c r="H739" s="5"/>
      <c r="I739" s="5"/>
      <c r="J739" s="5"/>
      <c r="K739" s="5"/>
      <c r="L739" s="5"/>
    </row>
    <row r="740" customHeight="1" spans="1:12">
      <c r="A740" s="5"/>
      <c r="B740" s="5"/>
      <c r="C740" s="5"/>
      <c r="D740" s="5"/>
      <c r="E740" s="5"/>
      <c r="F740" s="5"/>
      <c r="H740" s="5"/>
      <c r="I740" s="5"/>
      <c r="J740" s="5"/>
      <c r="K740" s="5"/>
      <c r="L740" s="5"/>
    </row>
    <row r="741" customHeight="1" spans="1:12">
      <c r="A741" s="5"/>
      <c r="B741" s="5"/>
      <c r="C741" s="5"/>
      <c r="D741" s="5"/>
      <c r="E741" s="5"/>
      <c r="F741" s="5"/>
      <c r="H741" s="5"/>
      <c r="I741" s="5"/>
      <c r="J741" s="5"/>
      <c r="K741" s="5"/>
      <c r="L741" s="5"/>
    </row>
    <row r="742" customHeight="1" spans="1:12">
      <c r="A742" s="5"/>
      <c r="B742" s="5"/>
      <c r="C742" s="5"/>
      <c r="D742" s="5"/>
      <c r="E742" s="5"/>
      <c r="F742" s="5"/>
      <c r="H742" s="5"/>
      <c r="I742" s="5"/>
      <c r="J742" s="5"/>
      <c r="K742" s="5"/>
      <c r="L742" s="5"/>
    </row>
    <row r="743" customHeight="1" spans="1:12">
      <c r="A743" s="5"/>
      <c r="B743" s="5"/>
      <c r="C743" s="5"/>
      <c r="D743" s="5"/>
      <c r="E743" s="5"/>
      <c r="F743" s="5"/>
      <c r="H743" s="5"/>
      <c r="I743" s="5"/>
      <c r="J743" s="5"/>
      <c r="K743" s="5"/>
      <c r="L743" s="5"/>
    </row>
    <row r="744" customHeight="1" spans="1:12">
      <c r="A744" s="5"/>
      <c r="B744" s="5"/>
      <c r="C744" s="5"/>
      <c r="D744" s="5"/>
      <c r="E744" s="5"/>
      <c r="F744" s="5"/>
      <c r="H744" s="5"/>
      <c r="I744" s="5"/>
      <c r="J744" s="5"/>
      <c r="K744" s="5"/>
      <c r="L744" s="5"/>
    </row>
    <row r="745" customHeight="1" spans="1:12">
      <c r="A745" s="5"/>
      <c r="B745" s="5"/>
      <c r="C745" s="5"/>
      <c r="D745" s="5"/>
      <c r="E745" s="5"/>
      <c r="F745" s="5"/>
      <c r="H745" s="5"/>
      <c r="I745" s="5"/>
      <c r="J745" s="5"/>
      <c r="K745" s="5"/>
      <c r="L745" s="5"/>
    </row>
    <row r="746" customHeight="1" spans="1:12">
      <c r="A746" s="5"/>
      <c r="B746" s="5"/>
      <c r="C746" s="5"/>
      <c r="D746" s="5"/>
      <c r="E746" s="5"/>
      <c r="F746" s="5"/>
      <c r="H746" s="5"/>
      <c r="I746" s="5"/>
      <c r="J746" s="5"/>
      <c r="K746" s="5"/>
      <c r="L746" s="5"/>
    </row>
    <row r="747" customHeight="1" spans="1:12">
      <c r="A747" s="5"/>
      <c r="B747" s="5"/>
      <c r="C747" s="5"/>
      <c r="D747" s="5"/>
      <c r="E747" s="5"/>
      <c r="F747" s="5"/>
      <c r="H747" s="5"/>
      <c r="I747" s="5"/>
      <c r="J747" s="5"/>
      <c r="K747" s="5"/>
      <c r="L747" s="5"/>
    </row>
    <row r="748" customHeight="1" spans="1:12">
      <c r="A748" s="5"/>
      <c r="B748" s="5"/>
      <c r="C748" s="5"/>
      <c r="D748" s="5"/>
      <c r="E748" s="5"/>
      <c r="F748" s="5"/>
      <c r="H748" s="5"/>
      <c r="I748" s="5"/>
      <c r="J748" s="5"/>
      <c r="K748" s="5"/>
      <c r="L748" s="5"/>
    </row>
    <row r="749" customHeight="1" spans="1:12">
      <c r="A749" s="5"/>
      <c r="B749" s="5"/>
      <c r="C749" s="5"/>
      <c r="D749" s="5"/>
      <c r="E749" s="5"/>
      <c r="F749" s="5"/>
      <c r="H749" s="5"/>
      <c r="I749" s="5"/>
      <c r="J749" s="5"/>
      <c r="K749" s="5"/>
      <c r="L749" s="5"/>
    </row>
    <row r="750" customHeight="1" spans="1:12">
      <c r="A750" s="5"/>
      <c r="B750" s="5"/>
      <c r="C750" s="5"/>
      <c r="D750" s="5"/>
      <c r="E750" s="5"/>
      <c r="F750" s="5"/>
      <c r="H750" s="5"/>
      <c r="I750" s="5"/>
      <c r="J750" s="5"/>
      <c r="K750" s="5"/>
      <c r="L750" s="5"/>
    </row>
    <row r="751" customHeight="1" spans="1:12">
      <c r="A751" s="5"/>
      <c r="B751" s="5"/>
      <c r="C751" s="5"/>
      <c r="D751" s="5"/>
      <c r="E751" s="5"/>
      <c r="F751" s="5"/>
      <c r="H751" s="5"/>
      <c r="I751" s="5"/>
      <c r="J751" s="5"/>
      <c r="K751" s="5"/>
      <c r="L751" s="5"/>
    </row>
    <row r="752" customHeight="1" spans="1:12">
      <c r="A752" s="5"/>
      <c r="B752" s="5"/>
      <c r="C752" s="5"/>
      <c r="D752" s="5"/>
      <c r="E752" s="5"/>
      <c r="F752" s="5"/>
      <c r="H752" s="5"/>
      <c r="I752" s="5"/>
      <c r="J752" s="5"/>
      <c r="K752" s="5"/>
      <c r="L752" s="5"/>
    </row>
    <row r="753" customHeight="1" spans="1:12">
      <c r="A753" s="5"/>
      <c r="B753" s="5"/>
      <c r="C753" s="5"/>
      <c r="D753" s="5"/>
      <c r="E753" s="5"/>
      <c r="F753" s="5"/>
      <c r="H753" s="5"/>
      <c r="I753" s="5"/>
      <c r="J753" s="5"/>
      <c r="K753" s="5"/>
      <c r="L753" s="5"/>
    </row>
    <row r="754" customHeight="1" spans="1:12">
      <c r="A754" s="5"/>
      <c r="B754" s="5"/>
      <c r="C754" s="5"/>
      <c r="D754" s="5"/>
      <c r="E754" s="5"/>
      <c r="F754" s="5"/>
      <c r="H754" s="5"/>
      <c r="I754" s="5"/>
      <c r="J754" s="5"/>
      <c r="K754" s="5"/>
      <c r="L754" s="5"/>
    </row>
    <row r="755" customHeight="1" spans="1:12">
      <c r="A755" s="5"/>
      <c r="B755" s="5"/>
      <c r="C755" s="5"/>
      <c r="D755" s="5"/>
      <c r="E755" s="5"/>
      <c r="F755" s="5"/>
      <c r="H755" s="5"/>
      <c r="I755" s="5"/>
      <c r="J755" s="5"/>
      <c r="K755" s="5"/>
      <c r="L755" s="5"/>
    </row>
    <row r="756" customHeight="1" spans="1:12">
      <c r="A756" s="5"/>
      <c r="B756" s="5"/>
      <c r="C756" s="5"/>
      <c r="D756" s="5"/>
      <c r="E756" s="5"/>
      <c r="F756" s="5"/>
      <c r="H756" s="5"/>
      <c r="I756" s="5"/>
      <c r="J756" s="5"/>
      <c r="K756" s="5"/>
      <c r="L756" s="5"/>
    </row>
    <row r="757" customHeight="1" spans="1:12">
      <c r="A757" s="5"/>
      <c r="B757" s="5"/>
      <c r="C757" s="5"/>
      <c r="D757" s="5"/>
      <c r="E757" s="5"/>
      <c r="F757" s="5"/>
      <c r="H757" s="5"/>
      <c r="I757" s="5"/>
      <c r="J757" s="5"/>
      <c r="K757" s="5"/>
      <c r="L757" s="5"/>
    </row>
    <row r="758" customHeight="1" spans="1:12">
      <c r="A758" s="5"/>
      <c r="B758" s="5"/>
      <c r="C758" s="5"/>
      <c r="D758" s="5"/>
      <c r="E758" s="5"/>
      <c r="F758" s="5"/>
      <c r="H758" s="5"/>
      <c r="I758" s="5"/>
      <c r="J758" s="5"/>
      <c r="K758" s="5"/>
      <c r="L758" s="5"/>
    </row>
    <row r="759" customHeight="1" spans="1:12">
      <c r="A759" s="5"/>
      <c r="B759" s="5"/>
      <c r="C759" s="5"/>
      <c r="D759" s="5"/>
      <c r="E759" s="5"/>
      <c r="F759" s="5"/>
      <c r="H759" s="5"/>
      <c r="I759" s="5"/>
      <c r="J759" s="5"/>
      <c r="K759" s="5"/>
      <c r="L759" s="5"/>
    </row>
    <row r="760" customHeight="1" spans="1:12">
      <c r="A760" s="5"/>
      <c r="B760" s="5"/>
      <c r="C760" s="5"/>
      <c r="D760" s="5"/>
      <c r="E760" s="5"/>
      <c r="F760" s="5"/>
      <c r="H760" s="5"/>
      <c r="I760" s="5"/>
      <c r="J760" s="5"/>
      <c r="K760" s="5"/>
      <c r="L760" s="5"/>
    </row>
    <row r="761" customHeight="1" spans="1:12">
      <c r="A761" s="5"/>
      <c r="B761" s="5"/>
      <c r="C761" s="5"/>
      <c r="D761" s="5"/>
      <c r="E761" s="5"/>
      <c r="F761" s="5"/>
      <c r="H761" s="5"/>
      <c r="I761" s="5"/>
      <c r="J761" s="5"/>
      <c r="K761" s="5"/>
      <c r="L761" s="5"/>
    </row>
    <row r="762" customHeight="1" spans="1:12">
      <c r="A762" s="5"/>
      <c r="B762" s="5"/>
      <c r="C762" s="5"/>
      <c r="D762" s="5"/>
      <c r="E762" s="5"/>
      <c r="F762" s="5"/>
      <c r="H762" s="5"/>
      <c r="I762" s="5"/>
      <c r="J762" s="5"/>
      <c r="K762" s="5"/>
      <c r="L762" s="5"/>
    </row>
    <row r="763" customHeight="1" spans="1:12">
      <c r="A763" s="5"/>
      <c r="B763" s="5"/>
      <c r="C763" s="5"/>
      <c r="D763" s="5"/>
      <c r="E763" s="5"/>
      <c r="F763" s="5"/>
      <c r="H763" s="5"/>
      <c r="I763" s="5"/>
      <c r="J763" s="5"/>
      <c r="K763" s="5"/>
      <c r="L763" s="5"/>
    </row>
    <row r="764" customHeight="1" spans="1:12">
      <c r="A764" s="5"/>
      <c r="B764" s="5"/>
      <c r="C764" s="5"/>
      <c r="D764" s="5"/>
      <c r="E764" s="5"/>
      <c r="F764" s="5"/>
      <c r="H764" s="5"/>
      <c r="I764" s="5"/>
      <c r="J764" s="5"/>
      <c r="K764" s="5"/>
      <c r="L764" s="5"/>
    </row>
    <row r="765" customHeight="1" spans="1:12">
      <c r="A765" s="5"/>
      <c r="B765" s="5"/>
      <c r="C765" s="5"/>
      <c r="D765" s="5"/>
      <c r="E765" s="5"/>
      <c r="F765" s="5"/>
      <c r="H765" s="5"/>
      <c r="I765" s="5"/>
      <c r="J765" s="5"/>
      <c r="K765" s="5"/>
      <c r="L765" s="5"/>
    </row>
    <row r="766" customHeight="1" spans="1:12">
      <c r="A766" s="5"/>
      <c r="B766" s="5"/>
      <c r="C766" s="5"/>
      <c r="D766" s="5"/>
      <c r="E766" s="5"/>
      <c r="F766" s="5"/>
      <c r="H766" s="5"/>
      <c r="I766" s="5"/>
      <c r="J766" s="5"/>
      <c r="K766" s="5"/>
      <c r="L766" s="5"/>
    </row>
    <row r="767" customHeight="1" spans="1:12">
      <c r="A767" s="5"/>
      <c r="B767" s="5"/>
      <c r="C767" s="5"/>
      <c r="D767" s="5"/>
      <c r="E767" s="5"/>
      <c r="F767" s="5"/>
      <c r="H767" s="5"/>
      <c r="I767" s="5"/>
      <c r="J767" s="5"/>
      <c r="K767" s="5"/>
      <c r="L767" s="5"/>
    </row>
    <row r="768" customHeight="1" spans="1:12">
      <c r="A768" s="5"/>
      <c r="B768" s="5"/>
      <c r="C768" s="5"/>
      <c r="D768" s="5"/>
      <c r="E768" s="5"/>
      <c r="F768" s="5"/>
      <c r="H768" s="5"/>
      <c r="I768" s="5"/>
      <c r="J768" s="5"/>
      <c r="K768" s="5"/>
      <c r="L768" s="5"/>
    </row>
    <row r="769" customHeight="1" spans="1:12">
      <c r="A769" s="5"/>
      <c r="B769" s="5"/>
      <c r="C769" s="5"/>
      <c r="D769" s="5"/>
      <c r="E769" s="5"/>
      <c r="F769" s="5"/>
      <c r="H769" s="5"/>
      <c r="I769" s="5"/>
      <c r="J769" s="5"/>
      <c r="K769" s="5"/>
      <c r="L769" s="5"/>
    </row>
    <row r="770" customHeight="1" spans="1:12">
      <c r="A770" s="5"/>
      <c r="B770" s="5"/>
      <c r="C770" s="5"/>
      <c r="D770" s="5"/>
      <c r="E770" s="5"/>
      <c r="F770" s="5"/>
      <c r="H770" s="5"/>
      <c r="I770" s="5"/>
      <c r="J770" s="5"/>
      <c r="K770" s="5"/>
      <c r="L770" s="5"/>
    </row>
    <row r="771" customHeight="1" spans="1:12">
      <c r="A771" s="5"/>
      <c r="B771" s="5"/>
      <c r="C771" s="5"/>
      <c r="D771" s="5"/>
      <c r="E771" s="5"/>
      <c r="F771" s="5"/>
      <c r="H771" s="5"/>
      <c r="I771" s="5"/>
      <c r="J771" s="5"/>
      <c r="K771" s="5"/>
      <c r="L771" s="5"/>
    </row>
    <row r="772" customHeight="1" spans="1:12">
      <c r="A772" s="5"/>
      <c r="B772" s="5"/>
      <c r="C772" s="5"/>
      <c r="D772" s="5"/>
      <c r="E772" s="5"/>
      <c r="F772" s="5"/>
      <c r="H772" s="5"/>
      <c r="I772" s="5"/>
      <c r="J772" s="5"/>
      <c r="K772" s="5"/>
      <c r="L772" s="5"/>
    </row>
    <row r="773" customHeight="1" spans="1:12">
      <c r="A773" s="5"/>
      <c r="B773" s="5"/>
      <c r="C773" s="5"/>
      <c r="D773" s="5"/>
      <c r="E773" s="5"/>
      <c r="F773" s="5"/>
      <c r="H773" s="5"/>
      <c r="I773" s="5"/>
      <c r="J773" s="5"/>
      <c r="K773" s="5"/>
      <c r="L773" s="5"/>
    </row>
    <row r="774" customHeight="1" spans="1:12">
      <c r="A774" s="5"/>
      <c r="B774" s="5"/>
      <c r="C774" s="5"/>
      <c r="D774" s="5"/>
      <c r="E774" s="5"/>
      <c r="F774" s="5"/>
      <c r="H774" s="5"/>
      <c r="I774" s="5"/>
      <c r="J774" s="5"/>
      <c r="K774" s="5"/>
      <c r="L774" s="5"/>
    </row>
    <row r="775" customHeight="1" spans="1:12">
      <c r="A775" s="5"/>
      <c r="B775" s="5"/>
      <c r="C775" s="5"/>
      <c r="D775" s="5"/>
      <c r="E775" s="5"/>
      <c r="F775" s="5"/>
      <c r="H775" s="5"/>
      <c r="I775" s="5"/>
      <c r="J775" s="5"/>
      <c r="K775" s="5"/>
      <c r="L775" s="5"/>
    </row>
    <row r="776" customHeight="1" spans="1:12">
      <c r="A776" s="5"/>
      <c r="B776" s="5"/>
      <c r="C776" s="5"/>
      <c r="D776" s="5"/>
      <c r="E776" s="5"/>
      <c r="F776" s="5"/>
      <c r="H776" s="5"/>
      <c r="I776" s="5"/>
      <c r="J776" s="5"/>
      <c r="K776" s="5"/>
      <c r="L776" s="5"/>
    </row>
    <row r="777" customHeight="1" spans="1:12">
      <c r="A777" s="5"/>
      <c r="B777" s="5"/>
      <c r="C777" s="5"/>
      <c r="D777" s="5"/>
      <c r="E777" s="5"/>
      <c r="F777" s="5"/>
      <c r="H777" s="5"/>
      <c r="I777" s="5"/>
      <c r="J777" s="5"/>
      <c r="K777" s="5"/>
      <c r="L777" s="5"/>
    </row>
    <row r="778" customHeight="1" spans="1:12">
      <c r="A778" s="5"/>
      <c r="B778" s="5"/>
      <c r="C778" s="5"/>
      <c r="D778" s="5"/>
      <c r="E778" s="5"/>
      <c r="F778" s="5"/>
      <c r="H778" s="5"/>
      <c r="I778" s="5"/>
      <c r="J778" s="5"/>
      <c r="K778" s="5"/>
      <c r="L778" s="5"/>
    </row>
    <row r="779" customHeight="1" spans="1:12">
      <c r="A779" s="5"/>
      <c r="B779" s="5"/>
      <c r="C779" s="5"/>
      <c r="D779" s="5"/>
      <c r="E779" s="5"/>
      <c r="F779" s="5"/>
      <c r="H779" s="5"/>
      <c r="I779" s="5"/>
      <c r="J779" s="5"/>
      <c r="K779" s="5"/>
      <c r="L779" s="5"/>
    </row>
    <row r="780" customHeight="1" spans="1:12">
      <c r="A780" s="5"/>
      <c r="B780" s="5"/>
      <c r="C780" s="5"/>
      <c r="D780" s="5"/>
      <c r="E780" s="5"/>
      <c r="F780" s="5"/>
      <c r="H780" s="5"/>
      <c r="I780" s="5"/>
      <c r="J780" s="5"/>
      <c r="K780" s="5"/>
      <c r="L780" s="5"/>
    </row>
    <row r="781" customHeight="1" spans="1:12">
      <c r="A781" s="5"/>
      <c r="B781" s="5"/>
      <c r="C781" s="5"/>
      <c r="D781" s="5"/>
      <c r="E781" s="5"/>
      <c r="F781" s="5"/>
      <c r="H781" s="5"/>
      <c r="I781" s="5"/>
      <c r="J781" s="5"/>
      <c r="K781" s="5"/>
      <c r="L781" s="5"/>
    </row>
    <row r="782" customHeight="1" spans="1:12">
      <c r="A782" s="5"/>
      <c r="B782" s="5"/>
      <c r="C782" s="5"/>
      <c r="D782" s="5"/>
      <c r="E782" s="5"/>
      <c r="F782" s="5"/>
      <c r="H782" s="5"/>
      <c r="I782" s="5"/>
      <c r="J782" s="5"/>
      <c r="K782" s="5"/>
      <c r="L782" s="5"/>
    </row>
    <row r="783" customHeight="1" spans="1:12">
      <c r="A783" s="5"/>
      <c r="B783" s="5"/>
      <c r="C783" s="5"/>
      <c r="D783" s="5"/>
      <c r="E783" s="5"/>
      <c r="F783" s="5"/>
      <c r="H783" s="5"/>
      <c r="I783" s="5"/>
      <c r="J783" s="5"/>
      <c r="K783" s="5"/>
      <c r="L783" s="5"/>
    </row>
    <row r="784" customHeight="1" spans="1:12">
      <c r="A784" s="5"/>
      <c r="B784" s="5"/>
      <c r="C784" s="5"/>
      <c r="D784" s="5"/>
      <c r="E784" s="5"/>
      <c r="F784" s="5"/>
      <c r="H784" s="5"/>
      <c r="I784" s="5"/>
      <c r="J784" s="5"/>
      <c r="K784" s="5"/>
      <c r="L784" s="5"/>
    </row>
    <row r="785" customHeight="1" spans="1:12">
      <c r="A785" s="5"/>
      <c r="B785" s="5"/>
      <c r="C785" s="5"/>
      <c r="D785" s="5"/>
      <c r="E785" s="5"/>
      <c r="F785" s="5"/>
      <c r="H785" s="5"/>
      <c r="I785" s="5"/>
      <c r="J785" s="5"/>
      <c r="K785" s="5"/>
      <c r="L785" s="5"/>
    </row>
    <row r="786" customHeight="1" spans="1:12">
      <c r="A786" s="5"/>
      <c r="B786" s="5"/>
      <c r="C786" s="5"/>
      <c r="D786" s="5"/>
      <c r="E786" s="5"/>
      <c r="F786" s="5"/>
      <c r="H786" s="5"/>
      <c r="I786" s="5"/>
      <c r="J786" s="5"/>
      <c r="K786" s="5"/>
      <c r="L786" s="5"/>
    </row>
    <row r="787" customHeight="1" spans="1:12">
      <c r="A787" s="5"/>
      <c r="B787" s="5"/>
      <c r="C787" s="5"/>
      <c r="D787" s="5"/>
      <c r="E787" s="5"/>
      <c r="F787" s="5"/>
      <c r="H787" s="5"/>
      <c r="I787" s="5"/>
      <c r="J787" s="5"/>
      <c r="K787" s="5"/>
      <c r="L787" s="5"/>
    </row>
    <row r="788" customHeight="1" spans="1:12">
      <c r="A788" s="5"/>
      <c r="B788" s="5"/>
      <c r="C788" s="5"/>
      <c r="D788" s="5"/>
      <c r="E788" s="5"/>
      <c r="F788" s="5"/>
      <c r="H788" s="5"/>
      <c r="I788" s="5"/>
      <c r="J788" s="5"/>
      <c r="K788" s="5"/>
      <c r="L788" s="5"/>
    </row>
    <row r="789" customHeight="1" spans="1:12">
      <c r="A789" s="5"/>
      <c r="B789" s="5"/>
      <c r="C789" s="5"/>
      <c r="D789" s="5"/>
      <c r="E789" s="5"/>
      <c r="F789" s="5"/>
      <c r="H789" s="5"/>
      <c r="I789" s="5"/>
      <c r="J789" s="5"/>
      <c r="K789" s="5"/>
      <c r="L789" s="5"/>
    </row>
    <row r="790" customHeight="1" spans="1:12">
      <c r="A790" s="5"/>
      <c r="B790" s="5"/>
      <c r="C790" s="5"/>
      <c r="D790" s="5"/>
      <c r="E790" s="5"/>
      <c r="F790" s="5"/>
      <c r="H790" s="5"/>
      <c r="I790" s="5"/>
      <c r="J790" s="5"/>
      <c r="K790" s="5"/>
      <c r="L790" s="5"/>
    </row>
    <row r="791" customHeight="1" spans="1:12">
      <c r="A791" s="5"/>
      <c r="B791" s="5"/>
      <c r="C791" s="5"/>
      <c r="D791" s="5"/>
      <c r="E791" s="5"/>
      <c r="F791" s="5"/>
      <c r="H791" s="5"/>
      <c r="I791" s="5"/>
      <c r="J791" s="5"/>
      <c r="K791" s="5"/>
      <c r="L791" s="5"/>
    </row>
    <row r="792" customHeight="1" spans="1:12">
      <c r="A792" s="5"/>
      <c r="B792" s="5"/>
      <c r="C792" s="5"/>
      <c r="D792" s="5"/>
      <c r="E792" s="5"/>
      <c r="F792" s="5"/>
      <c r="H792" s="5"/>
      <c r="I792" s="5"/>
      <c r="J792" s="5"/>
      <c r="K792" s="5"/>
      <c r="L792" s="5"/>
    </row>
    <row r="793" customHeight="1" spans="1:12">
      <c r="A793" s="5"/>
      <c r="B793" s="5"/>
      <c r="C793" s="5"/>
      <c r="D793" s="5"/>
      <c r="E793" s="5"/>
      <c r="F793" s="5"/>
      <c r="H793" s="5"/>
      <c r="I793" s="5"/>
      <c r="J793" s="5"/>
      <c r="K793" s="5"/>
      <c r="L793" s="5"/>
    </row>
    <row r="794" customHeight="1" spans="1:12">
      <c r="A794" s="5"/>
      <c r="B794" s="5"/>
      <c r="C794" s="5"/>
      <c r="D794" s="5"/>
      <c r="E794" s="5"/>
      <c r="F794" s="5"/>
      <c r="H794" s="5"/>
      <c r="I794" s="5"/>
      <c r="J794" s="5"/>
      <c r="K794" s="5"/>
      <c r="L794" s="5"/>
    </row>
    <row r="795" customHeight="1" spans="1:12">
      <c r="A795" s="5"/>
      <c r="B795" s="5"/>
      <c r="C795" s="5"/>
      <c r="D795" s="5"/>
      <c r="E795" s="5"/>
      <c r="F795" s="5"/>
      <c r="H795" s="5"/>
      <c r="I795" s="5"/>
      <c r="J795" s="5"/>
      <c r="K795" s="5"/>
      <c r="L795" s="5"/>
    </row>
    <row r="796" customHeight="1" spans="1:12">
      <c r="A796" s="5"/>
      <c r="B796" s="5"/>
      <c r="C796" s="5"/>
      <c r="D796" s="5"/>
      <c r="E796" s="5"/>
      <c r="F796" s="5"/>
      <c r="H796" s="5"/>
      <c r="I796" s="5"/>
      <c r="J796" s="5"/>
      <c r="K796" s="5"/>
      <c r="L796" s="5"/>
    </row>
    <row r="797" customHeight="1" spans="1:12">
      <c r="A797" s="5"/>
      <c r="B797" s="5"/>
      <c r="C797" s="5"/>
      <c r="D797" s="5"/>
      <c r="E797" s="5"/>
      <c r="F797" s="5"/>
      <c r="H797" s="5"/>
      <c r="I797" s="5"/>
      <c r="J797" s="5"/>
      <c r="K797" s="5"/>
      <c r="L797" s="5"/>
    </row>
    <row r="798" customHeight="1" spans="1:12">
      <c r="A798" s="5"/>
      <c r="B798" s="5"/>
      <c r="C798" s="5"/>
      <c r="D798" s="5"/>
      <c r="E798" s="5"/>
      <c r="F798" s="5"/>
      <c r="H798" s="5"/>
      <c r="I798" s="5"/>
      <c r="J798" s="5"/>
      <c r="K798" s="5"/>
      <c r="L798" s="5"/>
    </row>
    <row r="799" customHeight="1" spans="1:12">
      <c r="A799" s="5"/>
      <c r="B799" s="5"/>
      <c r="C799" s="5"/>
      <c r="D799" s="5"/>
      <c r="E799" s="5"/>
      <c r="F799" s="5"/>
      <c r="H799" s="5"/>
      <c r="I799" s="5"/>
      <c r="J799" s="5"/>
      <c r="K799" s="5"/>
      <c r="L799" s="5"/>
    </row>
    <row r="800" customHeight="1" spans="1:12">
      <c r="A800" s="5"/>
      <c r="B800" s="5"/>
      <c r="C800" s="5"/>
      <c r="D800" s="5"/>
      <c r="E800" s="5"/>
      <c r="F800" s="5"/>
      <c r="H800" s="5"/>
      <c r="I800" s="5"/>
      <c r="J800" s="5"/>
      <c r="K800" s="5"/>
      <c r="L800" s="5"/>
    </row>
    <row r="801" customHeight="1" spans="1:12">
      <c r="A801" s="5"/>
      <c r="B801" s="5"/>
      <c r="C801" s="5"/>
      <c r="D801" s="5"/>
      <c r="E801" s="5"/>
      <c r="F801" s="5"/>
      <c r="H801" s="5"/>
      <c r="I801" s="5"/>
      <c r="J801" s="5"/>
      <c r="K801" s="5"/>
      <c r="L801" s="5"/>
    </row>
    <row r="802" customHeight="1" spans="1:12">
      <c r="A802" s="5"/>
      <c r="B802" s="5"/>
      <c r="C802" s="5"/>
      <c r="D802" s="5"/>
      <c r="E802" s="5"/>
      <c r="F802" s="5"/>
      <c r="H802" s="5"/>
      <c r="I802" s="5"/>
      <c r="J802" s="5"/>
      <c r="K802" s="5"/>
      <c r="L802" s="5"/>
    </row>
    <row r="803" customHeight="1" spans="1:12">
      <c r="A803" s="5"/>
      <c r="B803" s="5"/>
      <c r="C803" s="5"/>
      <c r="D803" s="5"/>
      <c r="E803" s="5"/>
      <c r="F803" s="5"/>
      <c r="H803" s="5"/>
      <c r="I803" s="5"/>
      <c r="J803" s="5"/>
      <c r="K803" s="5"/>
      <c r="L803" s="5"/>
    </row>
    <row r="804" customHeight="1" spans="1:12">
      <c r="A804" s="5"/>
      <c r="B804" s="5"/>
      <c r="C804" s="5"/>
      <c r="D804" s="5"/>
      <c r="E804" s="5"/>
      <c r="F804" s="5"/>
      <c r="H804" s="5"/>
      <c r="I804" s="5"/>
      <c r="J804" s="5"/>
      <c r="K804" s="5"/>
      <c r="L804" s="5"/>
    </row>
    <row r="805" customHeight="1" spans="1:12">
      <c r="A805" s="5"/>
      <c r="B805" s="5"/>
      <c r="C805" s="5"/>
      <c r="D805" s="5"/>
      <c r="E805" s="5"/>
      <c r="F805" s="5"/>
      <c r="H805" s="5"/>
      <c r="I805" s="5"/>
      <c r="J805" s="5"/>
      <c r="K805" s="5"/>
      <c r="L805" s="5"/>
    </row>
    <row r="806" customHeight="1" spans="1:12">
      <c r="A806" s="5"/>
      <c r="B806" s="5"/>
      <c r="C806" s="5"/>
      <c r="D806" s="5"/>
      <c r="E806" s="5"/>
      <c r="F806" s="5"/>
      <c r="H806" s="5"/>
      <c r="I806" s="5"/>
      <c r="J806" s="5"/>
      <c r="K806" s="5"/>
      <c r="L806" s="5"/>
    </row>
    <row r="807" customHeight="1" spans="1:12">
      <c r="A807" s="5"/>
      <c r="B807" s="5"/>
      <c r="C807" s="5"/>
      <c r="D807" s="5"/>
      <c r="E807" s="5"/>
      <c r="F807" s="5"/>
      <c r="H807" s="5"/>
      <c r="I807" s="5"/>
      <c r="J807" s="5"/>
      <c r="K807" s="5"/>
      <c r="L807" s="5"/>
    </row>
    <row r="808" customHeight="1" spans="1:12">
      <c r="A808" s="5"/>
      <c r="B808" s="5"/>
      <c r="C808" s="5"/>
      <c r="D808" s="5"/>
      <c r="E808" s="5"/>
      <c r="F808" s="5"/>
      <c r="H808" s="5"/>
      <c r="I808" s="5"/>
      <c r="J808" s="5"/>
      <c r="K808" s="5"/>
      <c r="L808" s="5"/>
    </row>
    <row r="809" customHeight="1" spans="1:12">
      <c r="A809" s="5"/>
      <c r="B809" s="5"/>
      <c r="C809" s="5"/>
      <c r="D809" s="5"/>
      <c r="E809" s="5"/>
      <c r="F809" s="5"/>
      <c r="H809" s="5"/>
      <c r="I809" s="5"/>
      <c r="J809" s="5"/>
      <c r="K809" s="5"/>
      <c r="L809" s="5"/>
    </row>
    <row r="810" customHeight="1" spans="1:12">
      <c r="A810" s="5"/>
      <c r="B810" s="5"/>
      <c r="C810" s="5"/>
      <c r="D810" s="5"/>
      <c r="E810" s="5"/>
      <c r="F810" s="5"/>
      <c r="H810" s="5"/>
      <c r="I810" s="5"/>
      <c r="J810" s="5"/>
      <c r="K810" s="5"/>
      <c r="L810" s="5"/>
    </row>
    <row r="811" customHeight="1" spans="1:12">
      <c r="A811" s="5"/>
      <c r="B811" s="5"/>
      <c r="C811" s="5"/>
      <c r="D811" s="5"/>
      <c r="E811" s="5"/>
      <c r="F811" s="5"/>
      <c r="H811" s="5"/>
      <c r="I811" s="5"/>
      <c r="J811" s="5"/>
      <c r="K811" s="5"/>
      <c r="L811" s="5"/>
    </row>
    <row r="812" customHeight="1" spans="1:12">
      <c r="A812" s="5"/>
      <c r="B812" s="5"/>
      <c r="C812" s="5"/>
      <c r="D812" s="5"/>
      <c r="E812" s="5"/>
      <c r="F812" s="5"/>
      <c r="H812" s="5"/>
      <c r="I812" s="5"/>
      <c r="J812" s="5"/>
      <c r="K812" s="5"/>
      <c r="L812" s="5"/>
    </row>
    <row r="813" customHeight="1" spans="1:12">
      <c r="A813" s="5"/>
      <c r="B813" s="5"/>
      <c r="C813" s="5"/>
      <c r="D813" s="5"/>
      <c r="E813" s="5"/>
      <c r="F813" s="5"/>
      <c r="H813" s="5"/>
      <c r="I813" s="5"/>
      <c r="J813" s="5"/>
      <c r="K813" s="5"/>
      <c r="L813" s="5"/>
    </row>
    <row r="814" customHeight="1" spans="1:12">
      <c r="A814" s="5"/>
      <c r="B814" s="5"/>
      <c r="C814" s="5"/>
      <c r="D814" s="5"/>
      <c r="E814" s="5"/>
      <c r="F814" s="5"/>
      <c r="H814" s="5"/>
      <c r="I814" s="5"/>
      <c r="J814" s="5"/>
      <c r="K814" s="5"/>
      <c r="L814" s="5"/>
    </row>
    <row r="815" customHeight="1" spans="1:12">
      <c r="A815" s="5"/>
      <c r="B815" s="5"/>
      <c r="C815" s="5"/>
      <c r="D815" s="5"/>
      <c r="E815" s="5"/>
      <c r="F815" s="5"/>
      <c r="H815" s="5"/>
      <c r="I815" s="5"/>
      <c r="J815" s="5"/>
      <c r="K815" s="5"/>
      <c r="L815" s="5"/>
    </row>
    <row r="816" customHeight="1" spans="1:12">
      <c r="A816" s="5"/>
      <c r="B816" s="5"/>
      <c r="C816" s="5"/>
      <c r="D816" s="5"/>
      <c r="E816" s="5"/>
      <c r="F816" s="5"/>
      <c r="H816" s="5"/>
      <c r="I816" s="5"/>
      <c r="J816" s="5"/>
      <c r="K816" s="5"/>
      <c r="L816" s="5"/>
    </row>
    <row r="817" customHeight="1" spans="1:12">
      <c r="A817" s="5"/>
      <c r="B817" s="5"/>
      <c r="C817" s="5"/>
      <c r="D817" s="5"/>
      <c r="E817" s="5"/>
      <c r="F817" s="5"/>
      <c r="H817" s="5"/>
      <c r="I817" s="5"/>
      <c r="J817" s="5"/>
      <c r="K817" s="5"/>
      <c r="L817" s="5"/>
    </row>
    <row r="818" customHeight="1" spans="1:12">
      <c r="A818" s="5"/>
      <c r="B818" s="5"/>
      <c r="C818" s="5"/>
      <c r="D818" s="5"/>
      <c r="E818" s="5"/>
      <c r="F818" s="5"/>
      <c r="H818" s="5"/>
      <c r="I818" s="5"/>
      <c r="J818" s="5"/>
      <c r="K818" s="5"/>
      <c r="L818" s="5"/>
    </row>
    <row r="819" customHeight="1" spans="1:12">
      <c r="A819" s="5"/>
      <c r="B819" s="5"/>
      <c r="C819" s="5"/>
      <c r="D819" s="5"/>
      <c r="E819" s="5"/>
      <c r="F819" s="5"/>
      <c r="H819" s="5"/>
      <c r="I819" s="5"/>
      <c r="J819" s="5"/>
      <c r="K819" s="5"/>
      <c r="L819" s="5"/>
    </row>
    <row r="820" customHeight="1" spans="1:12">
      <c r="A820" s="5"/>
      <c r="B820" s="5"/>
      <c r="C820" s="5"/>
      <c r="D820" s="5"/>
      <c r="E820" s="5"/>
      <c r="F820" s="5"/>
      <c r="H820" s="5"/>
      <c r="I820" s="5"/>
      <c r="J820" s="5"/>
      <c r="K820" s="5"/>
      <c r="L820" s="5"/>
    </row>
    <row r="821" customHeight="1" spans="1:12">
      <c r="A821" s="5"/>
      <c r="B821" s="5"/>
      <c r="C821" s="5"/>
      <c r="D821" s="5"/>
      <c r="E821" s="5"/>
      <c r="F821" s="5"/>
      <c r="H821" s="5"/>
      <c r="I821" s="5"/>
      <c r="J821" s="5"/>
      <c r="K821" s="5"/>
      <c r="L821" s="5"/>
    </row>
    <row r="822" customHeight="1" spans="1:12">
      <c r="A822" s="5"/>
      <c r="B822" s="5"/>
      <c r="C822" s="5"/>
      <c r="D822" s="5"/>
      <c r="E822" s="5"/>
      <c r="F822" s="5"/>
      <c r="H822" s="5"/>
      <c r="I822" s="5"/>
      <c r="J822" s="5"/>
      <c r="K822" s="5"/>
      <c r="L822" s="5"/>
    </row>
    <row r="823" customHeight="1" spans="1:12">
      <c r="A823" s="5"/>
      <c r="B823" s="5"/>
      <c r="C823" s="5"/>
      <c r="D823" s="5"/>
      <c r="E823" s="5"/>
      <c r="F823" s="5"/>
      <c r="H823" s="5"/>
      <c r="I823" s="5"/>
      <c r="J823" s="5"/>
      <c r="K823" s="5"/>
      <c r="L823" s="5"/>
    </row>
    <row r="824" customHeight="1" spans="1:12">
      <c r="A824" s="5"/>
      <c r="B824" s="5"/>
      <c r="C824" s="5"/>
      <c r="D824" s="5"/>
      <c r="E824" s="5"/>
      <c r="F824" s="5"/>
      <c r="H824" s="5"/>
      <c r="I824" s="5"/>
      <c r="J824" s="5"/>
      <c r="K824" s="5"/>
      <c r="L824" s="5"/>
    </row>
    <row r="825" customHeight="1" spans="1:12">
      <c r="A825" s="5"/>
      <c r="B825" s="5"/>
      <c r="C825" s="5"/>
      <c r="D825" s="5"/>
      <c r="E825" s="5"/>
      <c r="F825" s="5"/>
      <c r="H825" s="5"/>
      <c r="I825" s="5"/>
      <c r="J825" s="5"/>
      <c r="K825" s="5"/>
      <c r="L825" s="5"/>
    </row>
    <row r="826" customHeight="1" spans="1:12">
      <c r="A826" s="5"/>
      <c r="B826" s="5"/>
      <c r="C826" s="5"/>
      <c r="D826" s="5"/>
      <c r="E826" s="5"/>
      <c r="F826" s="5"/>
      <c r="H826" s="5"/>
      <c r="I826" s="5"/>
      <c r="J826" s="5"/>
      <c r="K826" s="5"/>
      <c r="L826" s="5"/>
    </row>
    <row r="827" customHeight="1" spans="1:12">
      <c r="A827" s="5"/>
      <c r="B827" s="5"/>
      <c r="C827" s="5"/>
      <c r="D827" s="5"/>
      <c r="E827" s="5"/>
      <c r="F827" s="5"/>
      <c r="H827" s="5"/>
      <c r="I827" s="5"/>
      <c r="J827" s="5"/>
      <c r="K827" s="5"/>
      <c r="L827" s="5"/>
    </row>
    <row r="828" customHeight="1" spans="1:12">
      <c r="A828" s="5"/>
      <c r="B828" s="5"/>
      <c r="C828" s="5"/>
      <c r="D828" s="5"/>
      <c r="E828" s="5"/>
      <c r="F828" s="5"/>
      <c r="H828" s="5"/>
      <c r="I828" s="5"/>
      <c r="J828" s="5"/>
      <c r="K828" s="5"/>
      <c r="L828" s="5"/>
    </row>
    <row r="829" customHeight="1" spans="1:12">
      <c r="A829" s="5"/>
      <c r="B829" s="5"/>
      <c r="C829" s="5"/>
      <c r="D829" s="5"/>
      <c r="E829" s="5"/>
      <c r="F829" s="5"/>
      <c r="H829" s="5"/>
      <c r="I829" s="5"/>
      <c r="J829" s="5"/>
      <c r="K829" s="5"/>
      <c r="L829" s="5"/>
    </row>
    <row r="830" customHeight="1" spans="1:12">
      <c r="A830" s="5"/>
      <c r="B830" s="5"/>
      <c r="C830" s="5"/>
      <c r="D830" s="5"/>
      <c r="E830" s="5"/>
      <c r="F830" s="5"/>
      <c r="H830" s="5"/>
      <c r="I830" s="5"/>
      <c r="J830" s="5"/>
      <c r="K830" s="5"/>
      <c r="L830" s="5"/>
    </row>
    <row r="831" customHeight="1" spans="1:12">
      <c r="A831" s="5"/>
      <c r="B831" s="5"/>
      <c r="C831" s="5"/>
      <c r="D831" s="5"/>
      <c r="E831" s="5"/>
      <c r="F831" s="5"/>
      <c r="H831" s="5"/>
      <c r="I831" s="5"/>
      <c r="J831" s="5"/>
      <c r="K831" s="5"/>
      <c r="L831" s="5"/>
    </row>
    <row r="832" customHeight="1" spans="1:12">
      <c r="A832" s="5"/>
      <c r="B832" s="5"/>
      <c r="C832" s="5"/>
      <c r="D832" s="5"/>
      <c r="E832" s="5"/>
      <c r="F832" s="5"/>
      <c r="H832" s="5"/>
      <c r="I832" s="5"/>
      <c r="J832" s="5"/>
      <c r="K832" s="5"/>
      <c r="L832" s="5"/>
    </row>
    <row r="833" customHeight="1" spans="1:12">
      <c r="A833" s="5"/>
      <c r="B833" s="5"/>
      <c r="C833" s="5"/>
      <c r="D833" s="5"/>
      <c r="E833" s="5"/>
      <c r="F833" s="5"/>
      <c r="H833" s="5"/>
      <c r="I833" s="5"/>
      <c r="J833" s="5"/>
      <c r="K833" s="5"/>
      <c r="L833" s="5"/>
    </row>
    <row r="834" customHeight="1" spans="1:12">
      <c r="A834" s="5"/>
      <c r="B834" s="5"/>
      <c r="C834" s="5"/>
      <c r="D834" s="5"/>
      <c r="E834" s="5"/>
      <c r="F834" s="5"/>
      <c r="H834" s="5"/>
      <c r="I834" s="5"/>
      <c r="J834" s="5"/>
      <c r="K834" s="5"/>
      <c r="L834" s="5"/>
    </row>
    <row r="835" customHeight="1" spans="1:12">
      <c r="A835" s="5"/>
      <c r="B835" s="5"/>
      <c r="C835" s="5"/>
      <c r="D835" s="5"/>
      <c r="E835" s="5"/>
      <c r="F835" s="5"/>
      <c r="H835" s="5"/>
      <c r="I835" s="5"/>
      <c r="J835" s="5"/>
      <c r="K835" s="5"/>
      <c r="L835" s="5"/>
    </row>
    <row r="836" customHeight="1" spans="1:12">
      <c r="A836" s="5"/>
      <c r="B836" s="5"/>
      <c r="C836" s="5"/>
      <c r="D836" s="5"/>
      <c r="E836" s="5"/>
      <c r="F836" s="5"/>
      <c r="H836" s="5"/>
      <c r="I836" s="5"/>
      <c r="J836" s="5"/>
      <c r="K836" s="5"/>
      <c r="L836" s="5"/>
    </row>
    <row r="837" customHeight="1" spans="1:12">
      <c r="A837" s="5"/>
      <c r="B837" s="5"/>
      <c r="C837" s="5"/>
      <c r="D837" s="5"/>
      <c r="E837" s="5"/>
      <c r="F837" s="5"/>
      <c r="H837" s="5"/>
      <c r="I837" s="5"/>
      <c r="J837" s="5"/>
      <c r="K837" s="5"/>
      <c r="L837" s="5"/>
    </row>
    <row r="838" customHeight="1" spans="1:12">
      <c r="A838" s="5"/>
      <c r="B838" s="5"/>
      <c r="C838" s="5"/>
      <c r="D838" s="5"/>
      <c r="E838" s="5"/>
      <c r="F838" s="5"/>
      <c r="H838" s="5"/>
      <c r="I838" s="5"/>
      <c r="J838" s="5"/>
      <c r="K838" s="5"/>
      <c r="L838" s="5"/>
    </row>
    <row r="839" customHeight="1" spans="1:12">
      <c r="A839" s="5"/>
      <c r="B839" s="5"/>
      <c r="C839" s="5"/>
      <c r="D839" s="5"/>
      <c r="E839" s="5"/>
      <c r="F839" s="5"/>
      <c r="H839" s="5"/>
      <c r="I839" s="5"/>
      <c r="J839" s="5"/>
      <c r="K839" s="5"/>
      <c r="L839" s="5"/>
    </row>
    <row r="840" customHeight="1" spans="1:12">
      <c r="A840" s="5"/>
      <c r="B840" s="5"/>
      <c r="C840" s="5"/>
      <c r="D840" s="5"/>
      <c r="E840" s="5"/>
      <c r="F840" s="5"/>
      <c r="H840" s="5"/>
      <c r="I840" s="5"/>
      <c r="J840" s="5"/>
      <c r="K840" s="5"/>
      <c r="L840" s="5"/>
    </row>
    <row r="841" customHeight="1" spans="1:12">
      <c r="A841" s="5"/>
      <c r="B841" s="5"/>
      <c r="C841" s="5"/>
      <c r="D841" s="5"/>
      <c r="E841" s="5"/>
      <c r="F841" s="5"/>
      <c r="H841" s="5"/>
      <c r="I841" s="5"/>
      <c r="J841" s="5"/>
      <c r="K841" s="5"/>
      <c r="L841" s="5"/>
    </row>
    <row r="842" customHeight="1" spans="1:12">
      <c r="A842" s="5"/>
      <c r="B842" s="5"/>
      <c r="C842" s="5"/>
      <c r="D842" s="5"/>
      <c r="E842" s="5"/>
      <c r="F842" s="5"/>
      <c r="H842" s="5"/>
      <c r="I842" s="5"/>
      <c r="J842" s="5"/>
      <c r="K842" s="5"/>
      <c r="L842" s="5"/>
    </row>
    <row r="843" customHeight="1" spans="1:12">
      <c r="A843" s="5"/>
      <c r="B843" s="5"/>
      <c r="C843" s="5"/>
      <c r="D843" s="5"/>
      <c r="E843" s="5"/>
      <c r="F843" s="5"/>
      <c r="H843" s="5"/>
      <c r="I843" s="5"/>
      <c r="J843" s="5"/>
      <c r="K843" s="5"/>
      <c r="L843" s="5"/>
    </row>
    <row r="844" customHeight="1" spans="1:12">
      <c r="A844" s="5"/>
      <c r="B844" s="5"/>
      <c r="C844" s="5"/>
      <c r="D844" s="5"/>
      <c r="E844" s="5"/>
      <c r="F844" s="5"/>
      <c r="H844" s="5"/>
      <c r="I844" s="5"/>
      <c r="J844" s="5"/>
      <c r="K844" s="5"/>
      <c r="L844" s="5"/>
    </row>
    <row r="845" customHeight="1" spans="1:12">
      <c r="A845" s="5"/>
      <c r="B845" s="5"/>
      <c r="C845" s="5"/>
      <c r="D845" s="5"/>
      <c r="E845" s="5"/>
      <c r="F845" s="5"/>
      <c r="H845" s="5"/>
      <c r="I845" s="5"/>
      <c r="J845" s="5"/>
      <c r="K845" s="5"/>
      <c r="L845" s="5"/>
    </row>
    <row r="846" customHeight="1" spans="1:12">
      <c r="A846" s="5"/>
      <c r="B846" s="5"/>
      <c r="C846" s="5"/>
      <c r="D846" s="5"/>
      <c r="E846" s="5"/>
      <c r="F846" s="5"/>
      <c r="H846" s="5"/>
      <c r="I846" s="5"/>
      <c r="J846" s="5"/>
      <c r="K846" s="5"/>
      <c r="L846" s="5"/>
    </row>
    <row r="847" customHeight="1" spans="1:12">
      <c r="A847" s="5"/>
      <c r="B847" s="5"/>
      <c r="C847" s="5"/>
      <c r="D847" s="5"/>
      <c r="E847" s="5"/>
      <c r="F847" s="5"/>
      <c r="H847" s="5"/>
      <c r="I847" s="5"/>
      <c r="J847" s="5"/>
      <c r="K847" s="5"/>
      <c r="L847" s="5"/>
    </row>
    <row r="848" customHeight="1" spans="1:12">
      <c r="A848" s="5"/>
      <c r="B848" s="5"/>
      <c r="C848" s="5"/>
      <c r="D848" s="5"/>
      <c r="E848" s="5"/>
      <c r="F848" s="5"/>
      <c r="H848" s="5"/>
      <c r="I848" s="5"/>
      <c r="J848" s="5"/>
      <c r="K848" s="5"/>
      <c r="L848" s="5"/>
    </row>
    <row r="849" customHeight="1" spans="1:12">
      <c r="A849" s="5"/>
      <c r="B849" s="5"/>
      <c r="C849" s="5"/>
      <c r="D849" s="5"/>
      <c r="E849" s="5"/>
      <c r="F849" s="5"/>
      <c r="H849" s="5"/>
      <c r="I849" s="5"/>
      <c r="J849" s="5"/>
      <c r="K849" s="5"/>
      <c r="L849" s="5"/>
    </row>
    <row r="850" customHeight="1" spans="1:12">
      <c r="A850" s="5"/>
      <c r="B850" s="5"/>
      <c r="C850" s="5"/>
      <c r="D850" s="5"/>
      <c r="E850" s="5"/>
      <c r="F850" s="5"/>
      <c r="H850" s="5"/>
      <c r="I850" s="5"/>
      <c r="J850" s="5"/>
      <c r="K850" s="5"/>
      <c r="L850" s="5"/>
    </row>
    <row r="851" customHeight="1" spans="1:12">
      <c r="A851" s="5"/>
      <c r="B851" s="5"/>
      <c r="C851" s="5"/>
      <c r="D851" s="5"/>
      <c r="E851" s="5"/>
      <c r="F851" s="5"/>
      <c r="H851" s="5"/>
      <c r="I851" s="5"/>
      <c r="J851" s="5"/>
      <c r="K851" s="5"/>
      <c r="L851" s="5"/>
    </row>
    <row r="852" customHeight="1" spans="1:12">
      <c r="A852" s="5"/>
      <c r="B852" s="5"/>
      <c r="C852" s="5"/>
      <c r="D852" s="5"/>
      <c r="E852" s="5"/>
      <c r="F852" s="5"/>
      <c r="H852" s="5"/>
      <c r="I852" s="5"/>
      <c r="J852" s="5"/>
      <c r="K852" s="5"/>
      <c r="L852" s="5"/>
    </row>
    <row r="853" customHeight="1" spans="1:12">
      <c r="A853" s="5"/>
      <c r="B853" s="5"/>
      <c r="C853" s="5"/>
      <c r="D853" s="5"/>
      <c r="E853" s="5"/>
      <c r="F853" s="5"/>
      <c r="H853" s="5"/>
      <c r="I853" s="5"/>
      <c r="J853" s="5"/>
      <c r="K853" s="5"/>
      <c r="L853" s="5"/>
    </row>
    <row r="854" customHeight="1" spans="1:12">
      <c r="A854" s="5"/>
      <c r="B854" s="5"/>
      <c r="C854" s="5"/>
      <c r="D854" s="5"/>
      <c r="E854" s="5"/>
      <c r="F854" s="5"/>
      <c r="H854" s="5"/>
      <c r="I854" s="5"/>
      <c r="J854" s="5"/>
      <c r="K854" s="5"/>
      <c r="L854" s="5"/>
    </row>
    <row r="855" customHeight="1" spans="1:12">
      <c r="A855" s="5"/>
      <c r="B855" s="5"/>
      <c r="C855" s="5"/>
      <c r="D855" s="5"/>
      <c r="E855" s="5"/>
      <c r="F855" s="5"/>
      <c r="H855" s="5"/>
      <c r="I855" s="5"/>
      <c r="J855" s="5"/>
      <c r="K855" s="5"/>
      <c r="L855" s="5"/>
    </row>
    <row r="856" customHeight="1" spans="1:12">
      <c r="A856" s="5"/>
      <c r="B856" s="5"/>
      <c r="C856" s="5"/>
      <c r="D856" s="5"/>
      <c r="E856" s="5"/>
      <c r="F856" s="5"/>
      <c r="H856" s="5"/>
      <c r="I856" s="5"/>
      <c r="J856" s="5"/>
      <c r="K856" s="5"/>
      <c r="L856" s="5"/>
    </row>
    <row r="857" customHeight="1" spans="1:12">
      <c r="A857" s="5"/>
      <c r="B857" s="5"/>
      <c r="C857" s="5"/>
      <c r="D857" s="5"/>
      <c r="E857" s="5"/>
      <c r="F857" s="5"/>
      <c r="H857" s="5"/>
      <c r="I857" s="5"/>
      <c r="J857" s="5"/>
      <c r="K857" s="5"/>
      <c r="L857" s="5"/>
    </row>
    <row r="858" customHeight="1" spans="1:12">
      <c r="A858" s="5"/>
      <c r="B858" s="5"/>
      <c r="C858" s="5"/>
      <c r="D858" s="5"/>
      <c r="E858" s="5"/>
      <c r="F858" s="5"/>
      <c r="H858" s="5"/>
      <c r="I858" s="5"/>
      <c r="J858" s="5"/>
      <c r="K858" s="5"/>
      <c r="L858" s="5"/>
    </row>
    <row r="859" customHeight="1" spans="1:12">
      <c r="A859" s="5"/>
      <c r="B859" s="5"/>
      <c r="C859" s="5"/>
      <c r="D859" s="5"/>
      <c r="E859" s="5"/>
      <c r="F859" s="5"/>
      <c r="H859" s="5"/>
      <c r="I859" s="5"/>
      <c r="J859" s="5"/>
      <c r="K859" s="5"/>
      <c r="L859" s="5"/>
    </row>
    <row r="860" customHeight="1" spans="1:12">
      <c r="A860" s="5"/>
      <c r="B860" s="5"/>
      <c r="C860" s="5"/>
      <c r="D860" s="5"/>
      <c r="E860" s="5"/>
      <c r="F860" s="5"/>
      <c r="H860" s="5"/>
      <c r="I860" s="5"/>
      <c r="J860" s="5"/>
      <c r="K860" s="5"/>
      <c r="L860" s="5"/>
    </row>
    <row r="861" customHeight="1" spans="1:12">
      <c r="A861" s="5"/>
      <c r="B861" s="5"/>
      <c r="C861" s="5"/>
      <c r="D861" s="5"/>
      <c r="E861" s="5"/>
      <c r="F861" s="5"/>
      <c r="H861" s="5"/>
      <c r="I861" s="5"/>
      <c r="J861" s="5"/>
      <c r="K861" s="5"/>
      <c r="L861" s="5"/>
    </row>
    <row r="862" customHeight="1" spans="1:12">
      <c r="A862" s="5"/>
      <c r="B862" s="5"/>
      <c r="C862" s="5"/>
      <c r="D862" s="5"/>
      <c r="E862" s="5"/>
      <c r="F862" s="5"/>
      <c r="H862" s="5"/>
      <c r="I862" s="5"/>
      <c r="J862" s="5"/>
      <c r="K862" s="5"/>
      <c r="L862" s="5"/>
    </row>
    <row r="863" customHeight="1" spans="1:12">
      <c r="A863" s="5"/>
      <c r="B863" s="5"/>
      <c r="C863" s="5"/>
      <c r="D863" s="5"/>
      <c r="E863" s="5"/>
      <c r="F863" s="5"/>
      <c r="H863" s="5"/>
      <c r="I863" s="5"/>
      <c r="J863" s="5"/>
      <c r="K863" s="5"/>
      <c r="L863" s="5"/>
    </row>
    <row r="864" customHeight="1" spans="1:12">
      <c r="A864" s="5"/>
      <c r="B864" s="5"/>
      <c r="C864" s="5"/>
      <c r="D864" s="5"/>
      <c r="E864" s="5"/>
      <c r="F864" s="5"/>
      <c r="H864" s="5"/>
      <c r="I864" s="5"/>
      <c r="J864" s="5"/>
      <c r="K864" s="5"/>
      <c r="L864" s="5"/>
    </row>
    <row r="865" customHeight="1" spans="1:12">
      <c r="A865" s="5"/>
      <c r="B865" s="5"/>
      <c r="C865" s="5"/>
      <c r="D865" s="5"/>
      <c r="E865" s="5"/>
      <c r="F865" s="5"/>
      <c r="H865" s="5"/>
      <c r="I865" s="5"/>
      <c r="J865" s="5"/>
      <c r="K865" s="5"/>
      <c r="L865" s="5"/>
    </row>
    <row r="866" customHeight="1" spans="1:12">
      <c r="A866" s="5"/>
      <c r="B866" s="5"/>
      <c r="C866" s="5"/>
      <c r="D866" s="5"/>
      <c r="E866" s="5"/>
      <c r="F866" s="5"/>
      <c r="H866" s="5"/>
      <c r="I866" s="5"/>
      <c r="J866" s="5"/>
      <c r="K866" s="5"/>
      <c r="L866" s="5"/>
    </row>
    <row r="867" customHeight="1" spans="1:12">
      <c r="A867" s="5"/>
      <c r="B867" s="5"/>
      <c r="C867" s="5"/>
      <c r="D867" s="5"/>
      <c r="E867" s="5"/>
      <c r="F867" s="5"/>
      <c r="H867" s="5"/>
      <c r="I867" s="5"/>
      <c r="J867" s="5"/>
      <c r="K867" s="5"/>
      <c r="L867" s="5"/>
    </row>
    <row r="868" customHeight="1" spans="1:12">
      <c r="A868" s="5"/>
      <c r="B868" s="5"/>
      <c r="C868" s="5"/>
      <c r="D868" s="5"/>
      <c r="E868" s="5"/>
      <c r="F868" s="5"/>
      <c r="H868" s="5"/>
      <c r="I868" s="5"/>
      <c r="J868" s="5"/>
      <c r="K868" s="5"/>
      <c r="L868" s="5"/>
    </row>
    <row r="869" customHeight="1" spans="1:12">
      <c r="A869" s="5"/>
      <c r="B869" s="5"/>
      <c r="C869" s="5"/>
      <c r="D869" s="5"/>
      <c r="E869" s="5"/>
      <c r="F869" s="5"/>
      <c r="H869" s="5"/>
      <c r="I869" s="5"/>
      <c r="J869" s="5"/>
      <c r="K869" s="5"/>
      <c r="L869" s="5"/>
    </row>
    <row r="870" customHeight="1" spans="1:12">
      <c r="A870" s="5"/>
      <c r="B870" s="5"/>
      <c r="C870" s="5"/>
      <c r="D870" s="5"/>
      <c r="E870" s="5"/>
      <c r="F870" s="5"/>
      <c r="H870" s="5"/>
      <c r="I870" s="5"/>
      <c r="J870" s="5"/>
      <c r="K870" s="5"/>
      <c r="L870" s="5"/>
    </row>
    <row r="871" customHeight="1" spans="1:12">
      <c r="A871" s="5"/>
      <c r="B871" s="5"/>
      <c r="C871" s="5"/>
      <c r="D871" s="5"/>
      <c r="E871" s="5"/>
      <c r="F871" s="5"/>
      <c r="H871" s="5"/>
      <c r="I871" s="5"/>
      <c r="J871" s="5"/>
      <c r="K871" s="5"/>
      <c r="L871" s="5"/>
    </row>
    <row r="872" customHeight="1" spans="1:12">
      <c r="A872" s="5"/>
      <c r="B872" s="5"/>
      <c r="C872" s="5"/>
      <c r="D872" s="5"/>
      <c r="E872" s="5"/>
      <c r="F872" s="5"/>
      <c r="H872" s="5"/>
      <c r="I872" s="5"/>
      <c r="J872" s="5"/>
      <c r="K872" s="5"/>
      <c r="L872" s="5"/>
    </row>
    <row r="873" customHeight="1" spans="1:12">
      <c r="A873" s="5"/>
      <c r="B873" s="5"/>
      <c r="C873" s="5"/>
      <c r="D873" s="5"/>
      <c r="E873" s="5"/>
      <c r="F873" s="5"/>
      <c r="H873" s="5"/>
      <c r="I873" s="5"/>
      <c r="J873" s="5"/>
      <c r="K873" s="5"/>
      <c r="L873" s="5"/>
    </row>
    <row r="874" customHeight="1" spans="1:12">
      <c r="A874" s="5"/>
      <c r="B874" s="5"/>
      <c r="C874" s="5"/>
      <c r="D874" s="5"/>
      <c r="E874" s="5"/>
      <c r="F874" s="5"/>
      <c r="H874" s="5"/>
      <c r="I874" s="5"/>
      <c r="J874" s="5"/>
      <c r="K874" s="5"/>
      <c r="L874" s="5"/>
    </row>
    <row r="875" customHeight="1" spans="1:12">
      <c r="A875" s="5"/>
      <c r="B875" s="5"/>
      <c r="C875" s="5"/>
      <c r="D875" s="5"/>
      <c r="E875" s="5"/>
      <c r="F875" s="5"/>
      <c r="H875" s="5"/>
      <c r="I875" s="5"/>
      <c r="J875" s="5"/>
      <c r="K875" s="5"/>
      <c r="L875" s="5"/>
    </row>
    <row r="876" customHeight="1" spans="1:12">
      <c r="A876" s="5"/>
      <c r="B876" s="5"/>
      <c r="C876" s="5"/>
      <c r="D876" s="5"/>
      <c r="E876" s="5"/>
      <c r="F876" s="5"/>
      <c r="H876" s="5"/>
      <c r="I876" s="5"/>
      <c r="J876" s="5"/>
      <c r="K876" s="5"/>
      <c r="L876" s="5"/>
    </row>
    <row r="877" customHeight="1" spans="1:12">
      <c r="A877" s="5"/>
      <c r="B877" s="5"/>
      <c r="C877" s="5"/>
      <c r="D877" s="5"/>
      <c r="E877" s="5"/>
      <c r="F877" s="5"/>
      <c r="H877" s="5"/>
      <c r="I877" s="5"/>
      <c r="J877" s="5"/>
      <c r="K877" s="5"/>
      <c r="L877" s="5"/>
    </row>
    <row r="878" customHeight="1" spans="1:12">
      <c r="A878" s="5"/>
      <c r="B878" s="5"/>
      <c r="C878" s="5"/>
      <c r="D878" s="5"/>
      <c r="E878" s="5"/>
      <c r="F878" s="5"/>
      <c r="H878" s="5"/>
      <c r="I878" s="5"/>
      <c r="J878" s="5"/>
      <c r="K878" s="5"/>
      <c r="L878" s="5"/>
    </row>
    <row r="879" customHeight="1" spans="1:12">
      <c r="A879" s="5"/>
      <c r="B879" s="5"/>
      <c r="C879" s="5"/>
      <c r="D879" s="5"/>
      <c r="E879" s="5"/>
      <c r="F879" s="5"/>
      <c r="H879" s="5"/>
      <c r="I879" s="5"/>
      <c r="J879" s="5"/>
      <c r="K879" s="5"/>
      <c r="L879" s="5"/>
    </row>
    <row r="880" customHeight="1" spans="1:12">
      <c r="A880" s="5"/>
      <c r="B880" s="5"/>
      <c r="C880" s="5"/>
      <c r="D880" s="5"/>
      <c r="E880" s="5"/>
      <c r="F880" s="5"/>
      <c r="H880" s="5"/>
      <c r="I880" s="5"/>
      <c r="J880" s="5"/>
      <c r="K880" s="5"/>
      <c r="L880" s="5"/>
    </row>
    <row r="881" customHeight="1" spans="1:12">
      <c r="A881" s="5"/>
      <c r="B881" s="5"/>
      <c r="C881" s="5"/>
      <c r="D881" s="5"/>
      <c r="E881" s="5"/>
      <c r="F881" s="5"/>
      <c r="H881" s="5"/>
      <c r="I881" s="5"/>
      <c r="J881" s="5"/>
      <c r="K881" s="5"/>
      <c r="L881" s="5"/>
    </row>
    <row r="882" customHeight="1" spans="1:12">
      <c r="A882" s="5"/>
      <c r="B882" s="5"/>
      <c r="C882" s="5"/>
      <c r="D882" s="5"/>
      <c r="E882" s="5"/>
      <c r="F882" s="5"/>
      <c r="H882" s="5"/>
      <c r="I882" s="5"/>
      <c r="J882" s="5"/>
      <c r="K882" s="5"/>
      <c r="L882" s="5"/>
    </row>
    <row r="883" customHeight="1" spans="1:12">
      <c r="A883" s="5"/>
      <c r="B883" s="5"/>
      <c r="C883" s="5"/>
      <c r="D883" s="5"/>
      <c r="E883" s="5"/>
      <c r="F883" s="5"/>
      <c r="H883" s="5"/>
      <c r="I883" s="5"/>
      <c r="J883" s="5"/>
      <c r="K883" s="5"/>
      <c r="L883" s="5"/>
    </row>
    <row r="884" customHeight="1" spans="1:12">
      <c r="A884" s="5"/>
      <c r="B884" s="5"/>
      <c r="C884" s="5"/>
      <c r="D884" s="5"/>
      <c r="E884" s="5"/>
      <c r="F884" s="5"/>
      <c r="H884" s="5"/>
      <c r="I884" s="5"/>
      <c r="J884" s="5"/>
      <c r="K884" s="5"/>
      <c r="L884" s="5"/>
    </row>
    <row r="885" customHeight="1" spans="1:12">
      <c r="A885" s="5"/>
      <c r="B885" s="5"/>
      <c r="C885" s="5"/>
      <c r="D885" s="5"/>
      <c r="E885" s="5"/>
      <c r="F885" s="5"/>
      <c r="H885" s="5"/>
      <c r="I885" s="5"/>
      <c r="J885" s="5"/>
      <c r="K885" s="5"/>
      <c r="L885" s="5"/>
    </row>
    <row r="886" customHeight="1" spans="1:12">
      <c r="A886" s="5"/>
      <c r="B886" s="5"/>
      <c r="C886" s="5"/>
      <c r="D886" s="5"/>
      <c r="E886" s="5"/>
      <c r="F886" s="5"/>
      <c r="H886" s="5"/>
      <c r="I886" s="5"/>
      <c r="J886" s="5"/>
      <c r="K886" s="5"/>
      <c r="L886" s="5"/>
    </row>
    <row r="887" customHeight="1" spans="1:12">
      <c r="A887" s="5"/>
      <c r="B887" s="5"/>
      <c r="C887" s="5"/>
      <c r="D887" s="5"/>
      <c r="E887" s="5"/>
      <c r="F887" s="5"/>
      <c r="H887" s="5"/>
      <c r="I887" s="5"/>
      <c r="J887" s="5"/>
      <c r="K887" s="5"/>
      <c r="L887" s="5"/>
    </row>
    <row r="888" customHeight="1" spans="1:12">
      <c r="A888" s="5"/>
      <c r="B888" s="5"/>
      <c r="C888" s="5"/>
      <c r="D888" s="5"/>
      <c r="E888" s="5"/>
      <c r="F888" s="5"/>
      <c r="H888" s="5"/>
      <c r="I888" s="5"/>
      <c r="J888" s="5"/>
      <c r="K888" s="5"/>
      <c r="L888" s="5"/>
    </row>
    <row r="889" customHeight="1" spans="1:12">
      <c r="A889" s="5"/>
      <c r="B889" s="5"/>
      <c r="C889" s="5"/>
      <c r="D889" s="5"/>
      <c r="E889" s="5"/>
      <c r="F889" s="5"/>
      <c r="H889" s="5"/>
      <c r="I889" s="5"/>
      <c r="J889" s="5"/>
      <c r="K889" s="5"/>
      <c r="L889" s="5"/>
    </row>
    <row r="890" customHeight="1" spans="1:12">
      <c r="A890" s="5"/>
      <c r="B890" s="5"/>
      <c r="C890" s="5"/>
      <c r="D890" s="5"/>
      <c r="E890" s="5"/>
      <c r="F890" s="5"/>
      <c r="H890" s="5"/>
      <c r="I890" s="5"/>
      <c r="J890" s="5"/>
      <c r="K890" s="5"/>
      <c r="L890" s="5"/>
    </row>
    <row r="891" customHeight="1" spans="1:12">
      <c r="A891" s="5"/>
      <c r="B891" s="5"/>
      <c r="C891" s="5"/>
      <c r="D891" s="5"/>
      <c r="E891" s="5"/>
      <c r="F891" s="5"/>
      <c r="H891" s="5"/>
      <c r="I891" s="5"/>
      <c r="J891" s="5"/>
      <c r="K891" s="5"/>
      <c r="L891" s="5"/>
    </row>
    <row r="892" customHeight="1" spans="1:12">
      <c r="A892" s="5"/>
      <c r="B892" s="5"/>
      <c r="C892" s="5"/>
      <c r="D892" s="5"/>
      <c r="E892" s="5"/>
      <c r="F892" s="5"/>
      <c r="H892" s="5"/>
      <c r="I892" s="5"/>
      <c r="J892" s="5"/>
      <c r="K892" s="5"/>
      <c r="L892" s="5"/>
    </row>
    <row r="893" customHeight="1" spans="1:12">
      <c r="A893" s="5"/>
      <c r="B893" s="5"/>
      <c r="C893" s="5"/>
      <c r="D893" s="5"/>
      <c r="E893" s="5"/>
      <c r="F893" s="5"/>
      <c r="H893" s="5"/>
      <c r="I893" s="5"/>
      <c r="J893" s="5"/>
      <c r="K893" s="5"/>
      <c r="L893" s="5"/>
    </row>
    <row r="894" customHeight="1" spans="1:12">
      <c r="A894" s="5"/>
      <c r="B894" s="5"/>
      <c r="C894" s="5"/>
      <c r="D894" s="5"/>
      <c r="E894" s="5"/>
      <c r="F894" s="5"/>
      <c r="H894" s="5"/>
      <c r="I894" s="5"/>
      <c r="J894" s="5"/>
      <c r="K894" s="5"/>
      <c r="L894" s="5"/>
    </row>
    <row r="895" customHeight="1" spans="1:12">
      <c r="A895" s="5"/>
      <c r="B895" s="5"/>
      <c r="C895" s="5"/>
      <c r="D895" s="5"/>
      <c r="E895" s="5"/>
      <c r="F895" s="5"/>
      <c r="H895" s="5"/>
      <c r="I895" s="5"/>
      <c r="J895" s="5"/>
      <c r="K895" s="5"/>
      <c r="L895" s="5"/>
    </row>
    <row r="896" customHeight="1" spans="1:12">
      <c r="A896" s="5"/>
      <c r="B896" s="5"/>
      <c r="C896" s="5"/>
      <c r="D896" s="5"/>
      <c r="E896" s="5"/>
      <c r="F896" s="5"/>
      <c r="H896" s="5"/>
      <c r="I896" s="5"/>
      <c r="J896" s="5"/>
      <c r="K896" s="5"/>
      <c r="L896" s="5"/>
    </row>
    <row r="897" customHeight="1" spans="1:12">
      <c r="A897" s="5"/>
      <c r="B897" s="5"/>
      <c r="C897" s="5"/>
      <c r="D897" s="5"/>
      <c r="E897" s="5"/>
      <c r="F897" s="5"/>
      <c r="H897" s="5"/>
      <c r="I897" s="5"/>
      <c r="J897" s="5"/>
      <c r="K897" s="5"/>
      <c r="L897" s="5"/>
    </row>
    <row r="898" customHeight="1" spans="1:12">
      <c r="A898" s="5"/>
      <c r="B898" s="5"/>
      <c r="C898" s="5"/>
      <c r="D898" s="5"/>
      <c r="E898" s="5"/>
      <c r="F898" s="5"/>
      <c r="H898" s="5"/>
      <c r="I898" s="5"/>
      <c r="J898" s="5"/>
      <c r="K898" s="5"/>
      <c r="L898" s="5"/>
    </row>
    <row r="899" customHeight="1" spans="1:12">
      <c r="A899" s="5"/>
      <c r="B899" s="5"/>
      <c r="C899" s="5"/>
      <c r="D899" s="5"/>
      <c r="E899" s="5"/>
      <c r="F899" s="5"/>
      <c r="H899" s="5"/>
      <c r="I899" s="5"/>
      <c r="J899" s="5"/>
      <c r="K899" s="5"/>
      <c r="L899" s="5"/>
    </row>
    <row r="900" customHeight="1" spans="1:12">
      <c r="A900" s="5"/>
      <c r="B900" s="5"/>
      <c r="C900" s="5"/>
      <c r="D900" s="5"/>
      <c r="E900" s="5"/>
      <c r="F900" s="5"/>
      <c r="H900" s="5"/>
      <c r="I900" s="5"/>
      <c r="J900" s="5"/>
      <c r="K900" s="5"/>
      <c r="L900" s="5"/>
    </row>
    <row r="901" customHeight="1" spans="1:12">
      <c r="A901" s="5"/>
      <c r="B901" s="5"/>
      <c r="C901" s="5"/>
      <c r="D901" s="5"/>
      <c r="E901" s="5"/>
      <c r="F901" s="5"/>
      <c r="H901" s="5"/>
      <c r="I901" s="5"/>
      <c r="J901" s="5"/>
      <c r="K901" s="5"/>
      <c r="L901" s="5"/>
    </row>
    <row r="902" customHeight="1" spans="1:12">
      <c r="A902" s="5"/>
      <c r="B902" s="5"/>
      <c r="C902" s="5"/>
      <c r="D902" s="5"/>
      <c r="E902" s="5"/>
      <c r="F902" s="5"/>
      <c r="H902" s="5"/>
      <c r="I902" s="5"/>
      <c r="J902" s="5"/>
      <c r="K902" s="5"/>
      <c r="L902" s="5"/>
    </row>
    <row r="903" customHeight="1" spans="1:12">
      <c r="A903" s="5"/>
      <c r="B903" s="5"/>
      <c r="C903" s="5"/>
      <c r="D903" s="5"/>
      <c r="E903" s="5"/>
      <c r="F903" s="5"/>
      <c r="H903" s="5"/>
      <c r="I903" s="5"/>
      <c r="J903" s="5"/>
      <c r="K903" s="5"/>
      <c r="L903" s="5"/>
    </row>
    <row r="904" customHeight="1" spans="1:12">
      <c r="A904" s="5"/>
      <c r="B904" s="5"/>
      <c r="C904" s="5"/>
      <c r="D904" s="5"/>
      <c r="E904" s="5"/>
      <c r="F904" s="5"/>
      <c r="H904" s="5"/>
      <c r="I904" s="5"/>
      <c r="J904" s="5"/>
      <c r="K904" s="5"/>
      <c r="L904" s="5"/>
    </row>
    <row r="905" customHeight="1" spans="1:12">
      <c r="A905" s="5"/>
      <c r="B905" s="5"/>
      <c r="C905" s="5"/>
      <c r="D905" s="5"/>
      <c r="E905" s="5"/>
      <c r="F905" s="5"/>
      <c r="H905" s="5"/>
      <c r="I905" s="5"/>
      <c r="J905" s="5"/>
      <c r="K905" s="5"/>
      <c r="L905" s="5"/>
    </row>
    <row r="906" customHeight="1" spans="1:12">
      <c r="A906" s="5"/>
      <c r="B906" s="5"/>
      <c r="C906" s="5"/>
      <c r="D906" s="5"/>
      <c r="E906" s="5"/>
      <c r="F906" s="5"/>
      <c r="H906" s="5"/>
      <c r="I906" s="5"/>
      <c r="J906" s="5"/>
      <c r="K906" s="5"/>
      <c r="L906" s="5"/>
    </row>
    <row r="907" customHeight="1" spans="1:12">
      <c r="A907" s="5"/>
      <c r="B907" s="5"/>
      <c r="C907" s="5"/>
      <c r="D907" s="5"/>
      <c r="E907" s="5"/>
      <c r="F907" s="5"/>
      <c r="H907" s="5"/>
      <c r="I907" s="5"/>
      <c r="J907" s="5"/>
      <c r="K907" s="5"/>
      <c r="L907" s="5"/>
    </row>
    <row r="908" customHeight="1" spans="1:12">
      <c r="A908" s="5"/>
      <c r="B908" s="5"/>
      <c r="C908" s="5"/>
      <c r="D908" s="5"/>
      <c r="E908" s="5"/>
      <c r="F908" s="5"/>
      <c r="H908" s="5"/>
      <c r="I908" s="5"/>
      <c r="J908" s="5"/>
      <c r="K908" s="5"/>
      <c r="L908" s="5"/>
    </row>
    <row r="909" customHeight="1" spans="1:12">
      <c r="A909" s="5"/>
      <c r="B909" s="5"/>
      <c r="C909" s="5"/>
      <c r="D909" s="5"/>
      <c r="E909" s="5"/>
      <c r="F909" s="5"/>
      <c r="H909" s="5"/>
      <c r="I909" s="5"/>
      <c r="J909" s="5"/>
      <c r="K909" s="5"/>
      <c r="L909" s="5"/>
    </row>
    <row r="910" customHeight="1" spans="1:12">
      <c r="A910" s="5"/>
      <c r="B910" s="5"/>
      <c r="C910" s="5"/>
      <c r="D910" s="5"/>
      <c r="E910" s="5"/>
      <c r="F910" s="5"/>
      <c r="H910" s="5"/>
      <c r="I910" s="5"/>
      <c r="J910" s="5"/>
      <c r="K910" s="5"/>
      <c r="L910" s="5"/>
    </row>
    <row r="911" customHeight="1" spans="1:12">
      <c r="A911" s="5"/>
      <c r="B911" s="5"/>
      <c r="C911" s="5"/>
      <c r="D911" s="5"/>
      <c r="E911" s="5"/>
      <c r="F911" s="5"/>
      <c r="H911" s="5"/>
      <c r="I911" s="5"/>
      <c r="J911" s="5"/>
      <c r="K911" s="5"/>
      <c r="L911" s="5"/>
    </row>
    <row r="912" customHeight="1" spans="1:12">
      <c r="A912" s="5"/>
      <c r="B912" s="5"/>
      <c r="C912" s="5"/>
      <c r="D912" s="5"/>
      <c r="E912" s="5"/>
      <c r="F912" s="5"/>
      <c r="H912" s="5"/>
      <c r="I912" s="5"/>
      <c r="J912" s="5"/>
      <c r="K912" s="5"/>
      <c r="L912" s="5"/>
    </row>
    <row r="913" customHeight="1" spans="1:12">
      <c r="A913" s="5"/>
      <c r="B913" s="5"/>
      <c r="C913" s="5"/>
      <c r="D913" s="5"/>
      <c r="E913" s="5"/>
      <c r="F913" s="5"/>
      <c r="H913" s="5"/>
      <c r="I913" s="5"/>
      <c r="J913" s="5"/>
      <c r="K913" s="5"/>
      <c r="L913" s="5"/>
    </row>
    <row r="914" customHeight="1" spans="1:12">
      <c r="A914" s="5"/>
      <c r="B914" s="5"/>
      <c r="C914" s="5"/>
      <c r="D914" s="5"/>
      <c r="E914" s="5"/>
      <c r="F914" s="5"/>
      <c r="H914" s="5"/>
      <c r="I914" s="5"/>
      <c r="J914" s="5"/>
      <c r="K914" s="5"/>
      <c r="L914" s="5"/>
    </row>
    <row r="915" customHeight="1" spans="1:12">
      <c r="A915" s="5"/>
      <c r="B915" s="5"/>
      <c r="C915" s="5"/>
      <c r="D915" s="5"/>
      <c r="E915" s="5"/>
      <c r="F915" s="5"/>
      <c r="H915" s="5"/>
      <c r="I915" s="5"/>
      <c r="J915" s="5"/>
      <c r="K915" s="5"/>
      <c r="L915" s="5"/>
    </row>
    <row r="916" customHeight="1" spans="1:12">
      <c r="A916" s="5"/>
      <c r="B916" s="5"/>
      <c r="C916" s="5"/>
      <c r="D916" s="5"/>
      <c r="E916" s="5"/>
      <c r="F916" s="5"/>
      <c r="H916" s="5"/>
      <c r="I916" s="5"/>
      <c r="J916" s="5"/>
      <c r="K916" s="5"/>
      <c r="L916" s="5"/>
    </row>
    <row r="917" customHeight="1" spans="1:12">
      <c r="A917" s="5"/>
      <c r="B917" s="5"/>
      <c r="C917" s="5"/>
      <c r="D917" s="5"/>
      <c r="E917" s="5"/>
      <c r="F917" s="5"/>
      <c r="H917" s="5"/>
      <c r="I917" s="5"/>
      <c r="J917" s="5"/>
      <c r="K917" s="5"/>
      <c r="L917" s="5"/>
    </row>
    <row r="918" customHeight="1" spans="1:12">
      <c r="A918" s="5"/>
      <c r="B918" s="5"/>
      <c r="C918" s="5"/>
      <c r="D918" s="5"/>
      <c r="E918" s="5"/>
      <c r="F918" s="5"/>
      <c r="H918" s="5"/>
      <c r="I918" s="5"/>
      <c r="J918" s="5"/>
      <c r="K918" s="5"/>
      <c r="L918" s="5"/>
    </row>
    <row r="919" customHeight="1" spans="1:12">
      <c r="A919" s="5"/>
      <c r="B919" s="5"/>
      <c r="C919" s="5"/>
      <c r="D919" s="5"/>
      <c r="E919" s="5"/>
      <c r="F919" s="5"/>
      <c r="H919" s="5"/>
      <c r="I919" s="5"/>
      <c r="J919" s="5"/>
      <c r="K919" s="5"/>
      <c r="L919" s="5"/>
    </row>
    <row r="920" customHeight="1" spans="1:12">
      <c r="A920" s="5"/>
      <c r="B920" s="5"/>
      <c r="C920" s="5"/>
      <c r="D920" s="5"/>
      <c r="E920" s="5"/>
      <c r="F920" s="5"/>
      <c r="H920" s="5"/>
      <c r="I920" s="5"/>
      <c r="J920" s="5"/>
      <c r="K920" s="5"/>
      <c r="L920" s="5"/>
    </row>
    <row r="921" customHeight="1" spans="1:12">
      <c r="A921" s="5"/>
      <c r="B921" s="5"/>
      <c r="C921" s="5"/>
      <c r="D921" s="5"/>
      <c r="E921" s="5"/>
      <c r="F921" s="5"/>
      <c r="H921" s="5"/>
      <c r="I921" s="5"/>
      <c r="J921" s="5"/>
      <c r="K921" s="5"/>
      <c r="L921" s="5"/>
    </row>
    <row r="922" customHeight="1" spans="1:12">
      <c r="A922" s="5"/>
      <c r="B922" s="5"/>
      <c r="C922" s="5"/>
      <c r="D922" s="5"/>
      <c r="E922" s="5"/>
      <c r="F922" s="5"/>
      <c r="H922" s="5"/>
      <c r="I922" s="5"/>
      <c r="J922" s="5"/>
      <c r="K922" s="5"/>
      <c r="L922" s="5"/>
    </row>
    <row r="923" customHeight="1" spans="1:12">
      <c r="A923" s="5"/>
      <c r="B923" s="5"/>
      <c r="C923" s="5"/>
      <c r="D923" s="5"/>
      <c r="E923" s="5"/>
      <c r="F923" s="5"/>
      <c r="H923" s="5"/>
      <c r="I923" s="5"/>
      <c r="J923" s="5"/>
      <c r="K923" s="5"/>
      <c r="L923" s="5"/>
    </row>
    <row r="924" customHeight="1" spans="1:12">
      <c r="A924" s="5"/>
      <c r="B924" s="5"/>
      <c r="C924" s="5"/>
      <c r="D924" s="5"/>
      <c r="E924" s="5"/>
      <c r="F924" s="5"/>
      <c r="H924" s="5"/>
      <c r="I924" s="5"/>
      <c r="J924" s="5"/>
      <c r="K924" s="5"/>
      <c r="L924" s="5"/>
    </row>
    <row r="925" customHeight="1" spans="1:12">
      <c r="A925" s="5"/>
      <c r="B925" s="5"/>
      <c r="C925" s="5"/>
      <c r="D925" s="5"/>
      <c r="E925" s="5"/>
      <c r="F925" s="5"/>
      <c r="H925" s="5"/>
      <c r="I925" s="5"/>
      <c r="J925" s="5"/>
      <c r="K925" s="5"/>
      <c r="L925" s="5"/>
    </row>
    <row r="926" customHeight="1" spans="1:12">
      <c r="A926" s="5"/>
      <c r="B926" s="5"/>
      <c r="C926" s="5"/>
      <c r="D926" s="5"/>
      <c r="E926" s="5"/>
      <c r="F926" s="5"/>
      <c r="H926" s="5"/>
      <c r="I926" s="5"/>
      <c r="J926" s="5"/>
      <c r="K926" s="5"/>
      <c r="L926" s="5"/>
    </row>
    <row r="927" customHeight="1" spans="1:12">
      <c r="A927" s="5"/>
      <c r="B927" s="5"/>
      <c r="C927" s="5"/>
      <c r="D927" s="5"/>
      <c r="E927" s="5"/>
      <c r="F927" s="5"/>
      <c r="H927" s="5"/>
      <c r="I927" s="5"/>
      <c r="J927" s="5"/>
      <c r="K927" s="5"/>
      <c r="L927" s="5"/>
    </row>
    <row r="928" customHeight="1" spans="1:12">
      <c r="A928" s="5"/>
      <c r="B928" s="5"/>
      <c r="C928" s="5"/>
      <c r="D928" s="5"/>
      <c r="E928" s="5"/>
      <c r="F928" s="5"/>
      <c r="H928" s="5"/>
      <c r="I928" s="5"/>
      <c r="J928" s="5"/>
      <c r="K928" s="5"/>
      <c r="L928" s="5"/>
    </row>
    <row r="929" customHeight="1" spans="1:12">
      <c r="A929" s="5"/>
      <c r="B929" s="5"/>
      <c r="C929" s="5"/>
      <c r="D929" s="5"/>
      <c r="E929" s="5"/>
      <c r="F929" s="5"/>
      <c r="H929" s="5"/>
      <c r="I929" s="5"/>
      <c r="J929" s="5"/>
      <c r="K929" s="5"/>
      <c r="L929" s="5"/>
    </row>
    <row r="930" customHeight="1" spans="1:12">
      <c r="A930" s="5"/>
      <c r="B930" s="5"/>
      <c r="C930" s="5"/>
      <c r="D930" s="5"/>
      <c r="E930" s="5"/>
      <c r="F930" s="5"/>
      <c r="H930" s="5"/>
      <c r="I930" s="5"/>
      <c r="J930" s="5"/>
      <c r="K930" s="5"/>
      <c r="L930" s="5"/>
    </row>
    <row r="931" customHeight="1" spans="1:12">
      <c r="A931" s="5"/>
      <c r="B931" s="5"/>
      <c r="C931" s="5"/>
      <c r="D931" s="5"/>
      <c r="E931" s="5"/>
      <c r="F931" s="5"/>
      <c r="H931" s="5"/>
      <c r="I931" s="5"/>
      <c r="J931" s="5"/>
      <c r="K931" s="5"/>
      <c r="L931" s="5"/>
    </row>
    <row r="932" customHeight="1" spans="1:12">
      <c r="A932" s="5"/>
      <c r="B932" s="5"/>
      <c r="C932" s="5"/>
      <c r="D932" s="5"/>
      <c r="E932" s="5"/>
      <c r="F932" s="5"/>
      <c r="H932" s="5"/>
      <c r="I932" s="5"/>
      <c r="J932" s="5"/>
      <c r="K932" s="5"/>
      <c r="L932" s="5"/>
    </row>
    <row r="933" customHeight="1" spans="1:12">
      <c r="A933" s="5"/>
      <c r="B933" s="5"/>
      <c r="C933" s="5"/>
      <c r="D933" s="5"/>
      <c r="E933" s="5"/>
      <c r="F933" s="5"/>
      <c r="H933" s="5"/>
      <c r="I933" s="5"/>
      <c r="J933" s="5"/>
      <c r="K933" s="5"/>
      <c r="L933" s="5"/>
    </row>
    <row r="934" customHeight="1" spans="1:12">
      <c r="A934" s="5"/>
      <c r="B934" s="5"/>
      <c r="C934" s="5"/>
      <c r="D934" s="5"/>
      <c r="E934" s="5"/>
      <c r="F934" s="5"/>
      <c r="H934" s="5"/>
      <c r="I934" s="5"/>
      <c r="J934" s="5"/>
      <c r="K934" s="5"/>
      <c r="L934" s="5"/>
    </row>
    <row r="935" customHeight="1" spans="1:12">
      <c r="A935" s="5"/>
      <c r="B935" s="5"/>
      <c r="C935" s="5"/>
      <c r="D935" s="5"/>
      <c r="E935" s="5"/>
      <c r="F935" s="5"/>
      <c r="H935" s="5"/>
      <c r="I935" s="5"/>
      <c r="J935" s="5"/>
      <c r="K935" s="5"/>
      <c r="L935" s="5"/>
    </row>
    <row r="936" customHeight="1" spans="1:12">
      <c r="A936" s="5"/>
      <c r="B936" s="5"/>
      <c r="C936" s="5"/>
      <c r="D936" s="5"/>
      <c r="E936" s="5"/>
      <c r="F936" s="5"/>
      <c r="H936" s="5"/>
      <c r="I936" s="5"/>
      <c r="J936" s="5"/>
      <c r="K936" s="5"/>
      <c r="L936" s="5"/>
    </row>
    <row r="937" customHeight="1" spans="1:12">
      <c r="A937" s="5"/>
      <c r="B937" s="5"/>
      <c r="C937" s="5"/>
      <c r="D937" s="5"/>
      <c r="E937" s="5"/>
      <c r="F937" s="5"/>
      <c r="H937" s="5"/>
      <c r="I937" s="5"/>
      <c r="J937" s="5"/>
      <c r="K937" s="5"/>
      <c r="L937" s="5"/>
    </row>
    <row r="938" customHeight="1" spans="1:12">
      <c r="A938" s="5"/>
      <c r="B938" s="5"/>
      <c r="C938" s="5"/>
      <c r="D938" s="5"/>
      <c r="E938" s="5"/>
      <c r="F938" s="5"/>
      <c r="H938" s="5"/>
      <c r="I938" s="5"/>
      <c r="J938" s="5"/>
      <c r="K938" s="5"/>
      <c r="L938" s="5"/>
    </row>
    <row r="939" customHeight="1" spans="1:12">
      <c r="A939" s="5"/>
      <c r="B939" s="5"/>
      <c r="C939" s="5"/>
      <c r="D939" s="5"/>
      <c r="E939" s="5"/>
      <c r="F939" s="5"/>
      <c r="H939" s="5"/>
      <c r="I939" s="5"/>
      <c r="J939" s="5"/>
      <c r="K939" s="5"/>
      <c r="L939" s="5"/>
    </row>
    <row r="940" customHeight="1" spans="1:12">
      <c r="A940" s="5"/>
      <c r="B940" s="5"/>
      <c r="C940" s="5"/>
      <c r="D940" s="5"/>
      <c r="E940" s="5"/>
      <c r="F940" s="5"/>
      <c r="H940" s="5"/>
      <c r="I940" s="5"/>
      <c r="J940" s="5"/>
      <c r="K940" s="5"/>
      <c r="L940" s="5"/>
    </row>
    <row r="941" customHeight="1" spans="1:12">
      <c r="A941" s="5"/>
      <c r="B941" s="5"/>
      <c r="C941" s="5"/>
      <c r="D941" s="5"/>
      <c r="E941" s="5"/>
      <c r="F941" s="5"/>
      <c r="H941" s="5"/>
      <c r="I941" s="5"/>
      <c r="J941" s="5"/>
      <c r="K941" s="5"/>
      <c r="L941" s="5"/>
    </row>
    <row r="942" customHeight="1" spans="1:12">
      <c r="A942" s="5"/>
      <c r="B942" s="5"/>
      <c r="C942" s="5"/>
      <c r="D942" s="5"/>
      <c r="E942" s="5"/>
      <c r="F942" s="5"/>
      <c r="H942" s="5"/>
      <c r="I942" s="5"/>
      <c r="J942" s="5"/>
      <c r="K942" s="5"/>
      <c r="L942" s="5"/>
    </row>
    <row r="943" customHeight="1" spans="1:12">
      <c r="A943" s="5"/>
      <c r="B943" s="5"/>
      <c r="C943" s="5"/>
      <c r="D943" s="5"/>
      <c r="E943" s="5"/>
      <c r="F943" s="5"/>
      <c r="H943" s="5"/>
      <c r="I943" s="5"/>
      <c r="J943" s="5"/>
      <c r="K943" s="5"/>
      <c r="L943" s="5"/>
    </row>
    <row r="944" customHeight="1" spans="1:12">
      <c r="A944" s="5"/>
      <c r="B944" s="5"/>
      <c r="C944" s="5"/>
      <c r="D944" s="5"/>
      <c r="E944" s="5"/>
      <c r="F944" s="5"/>
      <c r="H944" s="5"/>
      <c r="I944" s="5"/>
      <c r="J944" s="5"/>
      <c r="K944" s="5"/>
      <c r="L944" s="5"/>
    </row>
    <row r="945" customHeight="1" spans="1:12">
      <c r="A945" s="5"/>
      <c r="B945" s="5"/>
      <c r="C945" s="5"/>
      <c r="D945" s="5"/>
      <c r="E945" s="5"/>
      <c r="F945" s="5"/>
      <c r="H945" s="5"/>
      <c r="I945" s="5"/>
      <c r="J945" s="5"/>
      <c r="K945" s="5"/>
      <c r="L945" s="5"/>
    </row>
    <row r="946" customHeight="1" spans="1:12">
      <c r="A946" s="5"/>
      <c r="B946" s="5"/>
      <c r="C946" s="5"/>
      <c r="D946" s="5"/>
      <c r="E946" s="5"/>
      <c r="F946" s="5"/>
      <c r="H946" s="5"/>
      <c r="I946" s="5"/>
      <c r="J946" s="5"/>
      <c r="K946" s="5"/>
      <c r="L946" s="5"/>
    </row>
    <row r="947" customHeight="1" spans="1:12">
      <c r="A947" s="5"/>
      <c r="B947" s="5"/>
      <c r="C947" s="5"/>
      <c r="D947" s="5"/>
      <c r="E947" s="5"/>
      <c r="F947" s="5"/>
      <c r="H947" s="5"/>
      <c r="I947" s="5"/>
      <c r="J947" s="5"/>
      <c r="K947" s="5"/>
      <c r="L947" s="5"/>
    </row>
    <row r="948" customHeight="1" spans="1:12">
      <c r="A948" s="5"/>
      <c r="B948" s="5"/>
      <c r="C948" s="5"/>
      <c r="D948" s="5"/>
      <c r="E948" s="5"/>
      <c r="F948" s="5"/>
      <c r="H948" s="5"/>
      <c r="I948" s="5"/>
      <c r="J948" s="5"/>
      <c r="K948" s="5"/>
      <c r="L948" s="5"/>
    </row>
    <row r="949" customHeight="1" spans="1:12">
      <c r="A949" s="5"/>
      <c r="B949" s="5"/>
      <c r="C949" s="5"/>
      <c r="D949" s="5"/>
      <c r="E949" s="5"/>
      <c r="F949" s="5"/>
      <c r="H949" s="5"/>
      <c r="I949" s="5"/>
      <c r="J949" s="5"/>
      <c r="K949" s="5"/>
      <c r="L949" s="5"/>
    </row>
    <row r="950" customHeight="1" spans="1:12">
      <c r="A950" s="5"/>
      <c r="B950" s="5"/>
      <c r="C950" s="5"/>
      <c r="D950" s="5"/>
      <c r="E950" s="5"/>
      <c r="F950" s="5"/>
      <c r="H950" s="5"/>
      <c r="I950" s="5"/>
      <c r="J950" s="5"/>
      <c r="K950" s="5"/>
      <c r="L950" s="5"/>
    </row>
    <row r="951" customHeight="1" spans="1:12">
      <c r="A951" s="5"/>
      <c r="B951" s="5"/>
      <c r="C951" s="5"/>
      <c r="D951" s="5"/>
      <c r="E951" s="5"/>
      <c r="F951" s="5"/>
      <c r="H951" s="5"/>
      <c r="I951" s="5"/>
      <c r="J951" s="5"/>
      <c r="K951" s="5"/>
      <c r="L951" s="5"/>
    </row>
    <row r="952" customHeight="1" spans="1:12">
      <c r="A952" s="5"/>
      <c r="B952" s="5"/>
      <c r="C952" s="5"/>
      <c r="D952" s="5"/>
      <c r="E952" s="5"/>
      <c r="F952" s="5"/>
      <c r="H952" s="5"/>
      <c r="I952" s="5"/>
      <c r="J952" s="5"/>
      <c r="K952" s="5"/>
      <c r="L952" s="5"/>
    </row>
    <row r="953" customHeight="1" spans="1:12">
      <c r="A953" s="5"/>
      <c r="B953" s="5"/>
      <c r="C953" s="5"/>
      <c r="D953" s="5"/>
      <c r="E953" s="5"/>
      <c r="F953" s="5"/>
      <c r="H953" s="5"/>
      <c r="I953" s="5"/>
      <c r="J953" s="5"/>
      <c r="K953" s="5"/>
      <c r="L953" s="5"/>
    </row>
    <row r="954" customHeight="1" spans="1:12">
      <c r="A954" s="5"/>
      <c r="B954" s="5"/>
      <c r="C954" s="5"/>
      <c r="D954" s="5"/>
      <c r="E954" s="5"/>
      <c r="F954" s="5"/>
      <c r="H954" s="5"/>
      <c r="I954" s="5"/>
      <c r="J954" s="5"/>
      <c r="K954" s="5"/>
      <c r="L954" s="5"/>
    </row>
    <row r="955" customHeight="1" spans="1:12">
      <c r="A955" s="5"/>
      <c r="B955" s="5"/>
      <c r="C955" s="5"/>
      <c r="D955" s="5"/>
      <c r="E955" s="5"/>
      <c r="F955" s="5"/>
      <c r="H955" s="5"/>
      <c r="I955" s="5"/>
      <c r="J955" s="5"/>
      <c r="K955" s="5"/>
      <c r="L955" s="5"/>
    </row>
    <row r="956" customHeight="1" spans="1:12">
      <c r="A956" s="5"/>
      <c r="B956" s="5"/>
      <c r="C956" s="5"/>
      <c r="D956" s="5"/>
      <c r="E956" s="5"/>
      <c r="F956" s="5"/>
      <c r="H956" s="5"/>
      <c r="I956" s="5"/>
      <c r="J956" s="5"/>
      <c r="K956" s="5"/>
      <c r="L956" s="5"/>
    </row>
    <row r="957" customHeight="1" spans="1:12">
      <c r="A957" s="5"/>
      <c r="B957" s="5"/>
      <c r="C957" s="5"/>
      <c r="D957" s="5"/>
      <c r="E957" s="5"/>
      <c r="F957" s="5"/>
      <c r="H957" s="5"/>
      <c r="I957" s="5"/>
      <c r="J957" s="5"/>
      <c r="K957" s="5"/>
      <c r="L957" s="5"/>
    </row>
    <row r="958" customHeight="1" spans="1:12">
      <c r="A958" s="5"/>
      <c r="B958" s="5"/>
      <c r="C958" s="5"/>
      <c r="D958" s="5"/>
      <c r="E958" s="5"/>
      <c r="F958" s="5"/>
      <c r="H958" s="5"/>
      <c r="I958" s="5"/>
      <c r="J958" s="5"/>
      <c r="K958" s="5"/>
      <c r="L958" s="5"/>
    </row>
    <row r="959" customHeight="1" spans="1:12">
      <c r="A959" s="5"/>
      <c r="B959" s="5"/>
      <c r="C959" s="5"/>
      <c r="D959" s="5"/>
      <c r="E959" s="5"/>
      <c r="F959" s="5"/>
      <c r="H959" s="5"/>
      <c r="I959" s="5"/>
      <c r="J959" s="5"/>
      <c r="K959" s="5"/>
      <c r="L959" s="5"/>
    </row>
    <row r="960" customHeight="1" spans="1:12">
      <c r="A960" s="5"/>
      <c r="B960" s="5"/>
      <c r="C960" s="5"/>
      <c r="D960" s="5"/>
      <c r="E960" s="5"/>
      <c r="F960" s="5"/>
      <c r="H960" s="5"/>
      <c r="I960" s="5"/>
      <c r="J960" s="5"/>
      <c r="K960" s="5"/>
      <c r="L960" s="5"/>
    </row>
    <row r="961" customHeight="1" spans="1:12">
      <c r="A961" s="5"/>
      <c r="B961" s="5"/>
      <c r="C961" s="5"/>
      <c r="D961" s="5"/>
      <c r="E961" s="5"/>
      <c r="F961" s="5"/>
      <c r="H961" s="5"/>
      <c r="I961" s="5"/>
      <c r="J961" s="5"/>
      <c r="K961" s="5"/>
      <c r="L961" s="5"/>
    </row>
    <row r="962" customHeight="1" spans="1:12">
      <c r="A962" s="5"/>
      <c r="B962" s="5"/>
      <c r="C962" s="5"/>
      <c r="D962" s="5"/>
      <c r="E962" s="5"/>
      <c r="F962" s="5"/>
      <c r="H962" s="5"/>
      <c r="I962" s="5"/>
      <c r="J962" s="5"/>
      <c r="K962" s="5"/>
      <c r="L962" s="5"/>
    </row>
    <row r="963" customHeight="1" spans="1:12">
      <c r="A963" s="5"/>
      <c r="B963" s="5"/>
      <c r="C963" s="5"/>
      <c r="D963" s="5"/>
      <c r="E963" s="5"/>
      <c r="F963" s="5"/>
      <c r="H963" s="5"/>
      <c r="I963" s="5"/>
      <c r="J963" s="5"/>
      <c r="K963" s="5"/>
      <c r="L963" s="5"/>
    </row>
    <row r="964" customHeight="1" spans="1:12">
      <c r="A964" s="5"/>
      <c r="B964" s="5"/>
      <c r="C964" s="5"/>
      <c r="D964" s="5"/>
      <c r="E964" s="5"/>
      <c r="F964" s="5"/>
      <c r="H964" s="5"/>
      <c r="I964" s="5"/>
      <c r="J964" s="5"/>
      <c r="K964" s="5"/>
      <c r="L964" s="5"/>
    </row>
    <row r="965" customHeight="1" spans="1:12">
      <c r="A965" s="5"/>
      <c r="B965" s="5"/>
      <c r="C965" s="5"/>
      <c r="D965" s="5"/>
      <c r="E965" s="5"/>
      <c r="F965" s="5"/>
      <c r="H965" s="5"/>
      <c r="I965" s="5"/>
      <c r="J965" s="5"/>
      <c r="K965" s="5"/>
      <c r="L965" s="5"/>
    </row>
    <row r="966" customHeight="1" spans="1:12">
      <c r="A966" s="5"/>
      <c r="B966" s="5"/>
      <c r="C966" s="5"/>
      <c r="D966" s="5"/>
      <c r="E966" s="5"/>
      <c r="F966" s="5"/>
      <c r="H966" s="5"/>
      <c r="I966" s="5"/>
      <c r="J966" s="5"/>
      <c r="K966" s="5"/>
      <c r="L966" s="5"/>
    </row>
    <row r="967" customHeight="1" spans="1:12">
      <c r="A967" s="5"/>
      <c r="B967" s="5"/>
      <c r="C967" s="5"/>
      <c r="D967" s="5"/>
      <c r="E967" s="5"/>
      <c r="F967" s="5"/>
      <c r="H967" s="5"/>
      <c r="I967" s="5"/>
      <c r="J967" s="5"/>
      <c r="K967" s="5"/>
      <c r="L967" s="5"/>
    </row>
    <row r="968" customHeight="1" spans="1:12">
      <c r="A968" s="5"/>
      <c r="B968" s="5"/>
      <c r="C968" s="5"/>
      <c r="D968" s="5"/>
      <c r="E968" s="5"/>
      <c r="F968" s="5"/>
      <c r="H968" s="5"/>
      <c r="I968" s="5"/>
      <c r="J968" s="5"/>
      <c r="K968" s="5"/>
      <c r="L968" s="5"/>
    </row>
    <row r="969" customHeight="1" spans="1:12">
      <c r="A969" s="5"/>
      <c r="B969" s="5"/>
      <c r="C969" s="5"/>
      <c r="D969" s="5"/>
      <c r="E969" s="5"/>
      <c r="F969" s="5"/>
      <c r="H969" s="5"/>
      <c r="I969" s="5"/>
      <c r="J969" s="5"/>
      <c r="K969" s="5"/>
      <c r="L969" s="5"/>
    </row>
    <row r="970" customHeight="1" spans="1:12">
      <c r="A970" s="5"/>
      <c r="B970" s="5"/>
      <c r="C970" s="5"/>
      <c r="D970" s="5"/>
      <c r="E970" s="5"/>
      <c r="F970" s="5"/>
      <c r="H970" s="5"/>
      <c r="I970" s="5"/>
      <c r="J970" s="5"/>
      <c r="K970" s="5"/>
      <c r="L970" s="5"/>
    </row>
    <row r="971" customHeight="1" spans="1:12">
      <c r="A971" s="5"/>
      <c r="B971" s="5"/>
      <c r="C971" s="5"/>
      <c r="D971" s="5"/>
      <c r="E971" s="5"/>
      <c r="F971" s="5"/>
      <c r="H971" s="5"/>
      <c r="I971" s="5"/>
      <c r="J971" s="5"/>
      <c r="K971" s="5"/>
      <c r="L971" s="5"/>
    </row>
    <row r="972" customHeight="1" spans="1:12">
      <c r="A972" s="5"/>
      <c r="B972" s="5"/>
      <c r="C972" s="5"/>
      <c r="D972" s="5"/>
      <c r="E972" s="5"/>
      <c r="F972" s="5"/>
      <c r="H972" s="5"/>
      <c r="I972" s="5"/>
      <c r="J972" s="5"/>
      <c r="K972" s="5"/>
      <c r="L972" s="5"/>
    </row>
    <row r="973" customHeight="1" spans="1:12">
      <c r="A973" s="5"/>
      <c r="B973" s="5"/>
      <c r="C973" s="5"/>
      <c r="D973" s="5"/>
      <c r="E973" s="5"/>
      <c r="F973" s="5"/>
      <c r="H973" s="5"/>
      <c r="I973" s="5"/>
      <c r="J973" s="5"/>
      <c r="K973" s="5"/>
      <c r="L973" s="5"/>
    </row>
    <row r="974" customHeight="1" spans="1:12">
      <c r="A974" s="5"/>
      <c r="B974" s="5"/>
      <c r="C974" s="5"/>
      <c r="D974" s="5"/>
      <c r="E974" s="5"/>
      <c r="F974" s="5"/>
      <c r="H974" s="5"/>
      <c r="I974" s="5"/>
      <c r="J974" s="5"/>
      <c r="K974" s="5"/>
      <c r="L974" s="5"/>
    </row>
    <row r="975" customHeight="1" spans="1:12">
      <c r="A975" s="5"/>
      <c r="B975" s="5"/>
      <c r="C975" s="5"/>
      <c r="D975" s="5"/>
      <c r="E975" s="5"/>
      <c r="F975" s="5"/>
      <c r="H975" s="5"/>
      <c r="I975" s="5"/>
      <c r="J975" s="5"/>
      <c r="K975" s="5"/>
      <c r="L975" s="5"/>
    </row>
    <row r="976" customHeight="1" spans="1:12">
      <c r="A976" s="5"/>
      <c r="B976" s="5"/>
      <c r="C976" s="5"/>
      <c r="D976" s="5"/>
      <c r="E976" s="5"/>
      <c r="F976" s="5"/>
      <c r="H976" s="5"/>
      <c r="I976" s="5"/>
      <c r="J976" s="5"/>
      <c r="K976" s="5"/>
      <c r="L976" s="5"/>
    </row>
    <row r="977" customHeight="1" spans="1:12">
      <c r="A977" s="5"/>
      <c r="B977" s="5"/>
      <c r="C977" s="5"/>
      <c r="D977" s="5"/>
      <c r="E977" s="5"/>
      <c r="F977" s="5"/>
      <c r="H977" s="5"/>
      <c r="I977" s="5"/>
      <c r="J977" s="5"/>
      <c r="K977" s="5"/>
      <c r="L977" s="5"/>
    </row>
    <row r="978" customHeight="1" spans="1:12">
      <c r="A978" s="5"/>
      <c r="B978" s="5"/>
      <c r="C978" s="5"/>
      <c r="D978" s="5"/>
      <c r="E978" s="5"/>
      <c r="F978" s="5"/>
      <c r="H978" s="5"/>
      <c r="I978" s="5"/>
      <c r="J978" s="5"/>
      <c r="K978" s="5"/>
      <c r="L978" s="5"/>
    </row>
    <row r="979" customHeight="1" spans="1:12">
      <c r="A979" s="5"/>
      <c r="B979" s="5"/>
      <c r="C979" s="5"/>
      <c r="D979" s="5"/>
      <c r="E979" s="5"/>
      <c r="F979" s="5"/>
      <c r="H979" s="5"/>
      <c r="I979" s="5"/>
      <c r="J979" s="5"/>
      <c r="K979" s="5"/>
      <c r="L979" s="5"/>
    </row>
    <row r="980" customHeight="1" spans="1:12">
      <c r="A980" s="5"/>
      <c r="B980" s="5"/>
      <c r="C980" s="5"/>
      <c r="D980" s="5"/>
      <c r="E980" s="5"/>
      <c r="F980" s="5"/>
      <c r="H980" s="5"/>
      <c r="I980" s="5"/>
      <c r="J980" s="5"/>
      <c r="K980" s="5"/>
      <c r="L980" s="5"/>
    </row>
    <row r="981" customHeight="1" spans="1:12">
      <c r="A981" s="5"/>
      <c r="B981" s="5"/>
      <c r="C981" s="5"/>
      <c r="D981" s="5"/>
      <c r="E981" s="5"/>
      <c r="F981" s="5"/>
      <c r="H981" s="5"/>
      <c r="I981" s="5"/>
      <c r="J981" s="5"/>
      <c r="K981" s="5"/>
      <c r="L981" s="5"/>
    </row>
    <row r="982" customHeight="1" spans="1:12">
      <c r="A982" s="5"/>
      <c r="B982" s="5"/>
      <c r="C982" s="5"/>
      <c r="D982" s="5"/>
      <c r="E982" s="5"/>
      <c r="F982" s="5"/>
      <c r="H982" s="5"/>
      <c r="I982" s="5"/>
      <c r="J982" s="5"/>
      <c r="K982" s="5"/>
      <c r="L982" s="5"/>
    </row>
    <row r="983" customHeight="1" spans="1:12">
      <c r="A983" s="5"/>
      <c r="B983" s="5"/>
      <c r="C983" s="5"/>
      <c r="D983" s="5"/>
      <c r="E983" s="5"/>
      <c r="F983" s="5"/>
      <c r="H983" s="5"/>
      <c r="I983" s="5"/>
      <c r="J983" s="5"/>
      <c r="K983" s="5"/>
      <c r="L983" s="5"/>
    </row>
    <row r="984" customHeight="1" spans="1:12">
      <c r="A984" s="5"/>
      <c r="B984" s="5"/>
      <c r="C984" s="5"/>
      <c r="D984" s="5"/>
      <c r="E984" s="5"/>
      <c r="F984" s="5"/>
      <c r="H984" s="5"/>
      <c r="I984" s="5"/>
      <c r="J984" s="5"/>
      <c r="K984" s="5"/>
      <c r="L984" s="5"/>
    </row>
    <row r="985" customHeight="1" spans="1:12">
      <c r="A985" s="5"/>
      <c r="B985" s="5"/>
      <c r="C985" s="5"/>
      <c r="D985" s="5"/>
      <c r="E985" s="5"/>
      <c r="F985" s="5"/>
      <c r="H985" s="5"/>
      <c r="I985" s="5"/>
      <c r="J985" s="5"/>
      <c r="K985" s="5"/>
      <c r="L985" s="5"/>
    </row>
    <row r="986" customHeight="1" spans="1:12">
      <c r="A986" s="5"/>
      <c r="B986" s="5"/>
      <c r="C986" s="5"/>
      <c r="D986" s="5"/>
      <c r="E986" s="5"/>
      <c r="F986" s="5"/>
      <c r="H986" s="5"/>
      <c r="I986" s="5"/>
      <c r="J986" s="5"/>
      <c r="K986" s="5"/>
      <c r="L986" s="5"/>
    </row>
    <row r="987" customHeight="1" spans="1:12">
      <c r="A987" s="5"/>
      <c r="B987" s="5"/>
      <c r="C987" s="5"/>
      <c r="D987" s="5"/>
      <c r="E987" s="5"/>
      <c r="F987" s="5"/>
      <c r="H987" s="5"/>
      <c r="I987" s="5"/>
      <c r="J987" s="5"/>
      <c r="K987" s="5"/>
      <c r="L987" s="5"/>
    </row>
    <row r="988" customHeight="1" spans="1:12">
      <c r="A988" s="5"/>
      <c r="B988" s="5"/>
      <c r="C988" s="5"/>
      <c r="D988" s="5"/>
      <c r="E988" s="5"/>
      <c r="F988" s="5"/>
      <c r="H988" s="5"/>
      <c r="I988" s="5"/>
      <c r="J988" s="5"/>
      <c r="K988" s="5"/>
      <c r="L988" s="5"/>
    </row>
    <row r="989" customHeight="1" spans="1:12">
      <c r="A989" s="5"/>
      <c r="B989" s="5"/>
      <c r="C989" s="5"/>
      <c r="D989" s="5"/>
      <c r="E989" s="5"/>
      <c r="F989" s="5"/>
      <c r="H989" s="5"/>
      <c r="I989" s="5"/>
      <c r="J989" s="5"/>
      <c r="K989" s="5"/>
      <c r="L989" s="5"/>
    </row>
    <row r="990" customHeight="1" spans="1:12">
      <c r="A990" s="5"/>
      <c r="B990" s="5"/>
      <c r="C990" s="5"/>
      <c r="D990" s="5"/>
      <c r="E990" s="5"/>
      <c r="F990" s="5"/>
      <c r="H990" s="5"/>
      <c r="I990" s="5"/>
      <c r="J990" s="5"/>
      <c r="K990" s="5"/>
      <c r="L990" s="5"/>
    </row>
    <row r="991" customHeight="1" spans="1:12">
      <c r="A991" s="5"/>
      <c r="B991" s="5"/>
      <c r="C991" s="5"/>
      <c r="D991" s="5"/>
      <c r="E991" s="5"/>
      <c r="F991" s="5"/>
      <c r="H991" s="5"/>
      <c r="I991" s="5"/>
      <c r="J991" s="5"/>
      <c r="K991" s="5"/>
      <c r="L991" s="5"/>
    </row>
    <row r="992" customHeight="1" spans="1:12">
      <c r="A992" s="5"/>
      <c r="B992" s="5"/>
      <c r="C992" s="5"/>
      <c r="D992" s="5"/>
      <c r="E992" s="5"/>
      <c r="F992" s="5"/>
      <c r="H992" s="5"/>
      <c r="I992" s="5"/>
      <c r="J992" s="5"/>
      <c r="K992" s="5"/>
      <c r="L992" s="5"/>
    </row>
    <row r="993" customHeight="1" spans="1:12">
      <c r="A993" s="5"/>
      <c r="B993" s="5"/>
      <c r="C993" s="5"/>
      <c r="D993" s="5"/>
      <c r="E993" s="5"/>
      <c r="F993" s="5"/>
      <c r="H993" s="5"/>
      <c r="I993" s="5"/>
      <c r="J993" s="5"/>
      <c r="K993" s="5"/>
      <c r="L993" s="5"/>
    </row>
    <row r="994" customHeight="1" spans="1:12">
      <c r="A994" s="5"/>
      <c r="B994" s="5"/>
      <c r="C994" s="5"/>
      <c r="D994" s="5"/>
      <c r="E994" s="5"/>
      <c r="F994" s="5"/>
      <c r="H994" s="5"/>
      <c r="I994" s="5"/>
      <c r="J994" s="5"/>
      <c r="K994" s="5"/>
      <c r="L994" s="5"/>
    </row>
    <row r="995" customHeight="1" spans="1:12">
      <c r="A995" s="5"/>
      <c r="B995" s="5"/>
      <c r="C995" s="5"/>
      <c r="D995" s="5"/>
      <c r="E995" s="5"/>
      <c r="F995" s="5"/>
      <c r="H995" s="5"/>
      <c r="I995" s="5"/>
      <c r="J995" s="5"/>
      <c r="K995" s="5"/>
      <c r="L995" s="5"/>
    </row>
    <row r="996" customHeight="1" spans="1:12">
      <c r="A996" s="5"/>
      <c r="B996" s="5"/>
      <c r="C996" s="5"/>
      <c r="D996" s="5"/>
      <c r="E996" s="5"/>
      <c r="F996" s="5"/>
      <c r="H996" s="5"/>
      <c r="I996" s="5"/>
      <c r="J996" s="5"/>
      <c r="K996" s="5"/>
      <c r="L996" s="5"/>
    </row>
    <row r="997" customHeight="1" spans="1:12">
      <c r="A997" s="5"/>
      <c r="B997" s="5"/>
      <c r="C997" s="5"/>
      <c r="D997" s="5"/>
      <c r="E997" s="5"/>
      <c r="F997" s="5"/>
      <c r="H997" s="5"/>
      <c r="I997" s="5"/>
      <c r="J997" s="5"/>
      <c r="K997" s="5"/>
      <c r="L997" s="5"/>
    </row>
    <row r="998" customHeight="1" spans="1:12">
      <c r="A998" s="5"/>
      <c r="B998" s="5"/>
      <c r="C998" s="5"/>
      <c r="D998" s="5"/>
      <c r="E998" s="5"/>
      <c r="F998" s="5"/>
      <c r="H998" s="5"/>
      <c r="I998" s="5"/>
      <c r="J998" s="5"/>
      <c r="K998" s="5"/>
      <c r="L998" s="5"/>
    </row>
    <row r="999" customHeight="1" spans="1:12">
      <c r="A999" s="5"/>
      <c r="B999" s="5"/>
      <c r="C999" s="5"/>
      <c r="D999" s="5"/>
      <c r="E999" s="5"/>
      <c r="F999" s="5"/>
      <c r="H999" s="5"/>
      <c r="I999" s="5"/>
      <c r="J999" s="5"/>
      <c r="K999" s="5"/>
      <c r="L999" s="5"/>
    </row>
    <row r="1000" customHeight="1" spans="1:12">
      <c r="A1000" s="5"/>
      <c r="B1000" s="5"/>
      <c r="C1000" s="5"/>
      <c r="D1000" s="5"/>
      <c r="E1000" s="5"/>
      <c r="F1000" s="5"/>
      <c r="H1000" s="5"/>
      <c r="I1000" s="5"/>
      <c r="J1000" s="5"/>
      <c r="K1000" s="5"/>
      <c r="L1000" s="5"/>
    </row>
    <row r="1001" customHeight="1" spans="1:12">
      <c r="A1001" s="5"/>
      <c r="B1001" s="5"/>
      <c r="C1001" s="5"/>
      <c r="D1001" s="5"/>
      <c r="E1001" s="5"/>
      <c r="F1001" s="5"/>
      <c r="H1001" s="5"/>
      <c r="I1001" s="5"/>
      <c r="J1001" s="5"/>
      <c r="K1001" s="5"/>
      <c r="L1001" s="5"/>
    </row>
    <row r="1002" customHeight="1" spans="1:12">
      <c r="A1002" s="5"/>
      <c r="B1002" s="5"/>
      <c r="C1002" s="5"/>
      <c r="D1002" s="5"/>
      <c r="E1002" s="5"/>
      <c r="F1002" s="5"/>
      <c r="H1002" s="5"/>
      <c r="I1002" s="5"/>
      <c r="J1002" s="5"/>
      <c r="K1002" s="5"/>
      <c r="L1002" s="5"/>
    </row>
    <row r="1003" customHeight="1" spans="1:12">
      <c r="A1003" s="5"/>
      <c r="B1003" s="5"/>
      <c r="C1003" s="5"/>
      <c r="D1003" s="5"/>
      <c r="E1003" s="5"/>
      <c r="F1003" s="5"/>
      <c r="H1003" s="5"/>
      <c r="I1003" s="5"/>
      <c r="J1003" s="5"/>
      <c r="K1003" s="5"/>
      <c r="L1003" s="5"/>
    </row>
    <row r="1004" customHeight="1" spans="1:12">
      <c r="A1004" s="5"/>
      <c r="B1004" s="5"/>
      <c r="C1004" s="5"/>
      <c r="D1004" s="5"/>
      <c r="E1004" s="5"/>
      <c r="F1004" s="5"/>
      <c r="H1004" s="5"/>
      <c r="I1004" s="5"/>
      <c r="J1004" s="5"/>
      <c r="K1004" s="5"/>
      <c r="L1004" s="5"/>
    </row>
    <row r="1005" customHeight="1" spans="1:12">
      <c r="A1005" s="5"/>
      <c r="B1005" s="5"/>
      <c r="C1005" s="5"/>
      <c r="D1005" s="5"/>
      <c r="E1005" s="5"/>
      <c r="F1005" s="5"/>
      <c r="H1005" s="5"/>
      <c r="I1005" s="5"/>
      <c r="J1005" s="5"/>
      <c r="K1005" s="5"/>
      <c r="L1005" s="5"/>
    </row>
    <row r="1006" customHeight="1" spans="1:12">
      <c r="A1006" s="5"/>
      <c r="B1006" s="5"/>
      <c r="C1006" s="5"/>
      <c r="D1006" s="5"/>
      <c r="E1006" s="5"/>
      <c r="F1006" s="5"/>
      <c r="H1006" s="5"/>
      <c r="I1006" s="5"/>
      <c r="J1006" s="5"/>
      <c r="K1006" s="5"/>
      <c r="L1006" s="5"/>
    </row>
    <row r="1007" customHeight="1" spans="1:12">
      <c r="A1007" s="5"/>
      <c r="B1007" s="5"/>
      <c r="C1007" s="5"/>
      <c r="D1007" s="5"/>
      <c r="E1007" s="5"/>
      <c r="F1007" s="5"/>
      <c r="H1007" s="5"/>
      <c r="I1007" s="5"/>
      <c r="J1007" s="5"/>
      <c r="K1007" s="5"/>
      <c r="L1007" s="5"/>
    </row>
    <row r="1008" customHeight="1" spans="1:12">
      <c r="A1008" s="5"/>
      <c r="B1008" s="5"/>
      <c r="C1008" s="5"/>
      <c r="D1008" s="5"/>
      <c r="E1008" s="5"/>
      <c r="F1008" s="5"/>
      <c r="H1008" s="5"/>
      <c r="I1008" s="5"/>
      <c r="J1008" s="5"/>
      <c r="K1008" s="5"/>
      <c r="L1008" s="5"/>
    </row>
    <row r="1009" customHeight="1" spans="1:12">
      <c r="A1009" s="5"/>
      <c r="B1009" s="5"/>
      <c r="C1009" s="5"/>
      <c r="D1009" s="5"/>
      <c r="E1009" s="5"/>
      <c r="F1009" s="5"/>
      <c r="H1009" s="5"/>
      <c r="I1009" s="5"/>
      <c r="J1009" s="5"/>
      <c r="K1009" s="5"/>
      <c r="L1009" s="5"/>
    </row>
    <row r="1010" customHeight="1" spans="1:12">
      <c r="A1010" s="5"/>
      <c r="B1010" s="5"/>
      <c r="C1010" s="5"/>
      <c r="D1010" s="5"/>
      <c r="E1010" s="5"/>
      <c r="F1010" s="5"/>
      <c r="H1010" s="5"/>
      <c r="I1010" s="5"/>
      <c r="J1010" s="5"/>
      <c r="K1010" s="5"/>
      <c r="L1010" s="5"/>
    </row>
    <row r="1011" customHeight="1" spans="1:12">
      <c r="A1011" s="5"/>
      <c r="B1011" s="5"/>
      <c r="C1011" s="5"/>
      <c r="D1011" s="5"/>
      <c r="E1011" s="5"/>
      <c r="F1011" s="5"/>
      <c r="H1011" s="5"/>
      <c r="I1011" s="5"/>
      <c r="J1011" s="5"/>
      <c r="K1011" s="5"/>
      <c r="L1011" s="5"/>
    </row>
    <row r="1012" customHeight="1" spans="1:12">
      <c r="A1012" s="5"/>
      <c r="B1012" s="5"/>
      <c r="C1012" s="5"/>
      <c r="D1012" s="5"/>
      <c r="E1012" s="5"/>
      <c r="F1012" s="5"/>
      <c r="H1012" s="5"/>
      <c r="I1012" s="5"/>
      <c r="J1012" s="5"/>
      <c r="K1012" s="5"/>
      <c r="L1012" s="5"/>
    </row>
    <row r="1013" customHeight="1" spans="1:12">
      <c r="A1013" s="5"/>
      <c r="B1013" s="5"/>
      <c r="C1013" s="5"/>
      <c r="D1013" s="5"/>
      <c r="E1013" s="5"/>
      <c r="F1013" s="5"/>
      <c r="H1013" s="5"/>
      <c r="I1013" s="5"/>
      <c r="J1013" s="5"/>
      <c r="K1013" s="5"/>
      <c r="L1013" s="5"/>
    </row>
    <row r="1014" customHeight="1" spans="1:12">
      <c r="A1014" s="5"/>
      <c r="B1014" s="5"/>
      <c r="C1014" s="5"/>
      <c r="D1014" s="5"/>
      <c r="E1014" s="5"/>
      <c r="F1014" s="5"/>
      <c r="H1014" s="5"/>
      <c r="I1014" s="5"/>
      <c r="J1014" s="5"/>
      <c r="K1014" s="5"/>
      <c r="L1014" s="5"/>
    </row>
    <row r="1015" customHeight="1" spans="1:12">
      <c r="A1015" s="5"/>
      <c r="B1015" s="5"/>
      <c r="C1015" s="5"/>
      <c r="D1015" s="5"/>
      <c r="E1015" s="5"/>
      <c r="F1015" s="5"/>
      <c r="H1015" s="5"/>
      <c r="I1015" s="5"/>
      <c r="J1015" s="5"/>
      <c r="K1015" s="5"/>
      <c r="L1015" s="5"/>
    </row>
    <row r="1016" customHeight="1" spans="1:12">
      <c r="A1016" s="5"/>
      <c r="B1016" s="5"/>
      <c r="C1016" s="5"/>
      <c r="D1016" s="5"/>
      <c r="E1016" s="5"/>
      <c r="F1016" s="5"/>
      <c r="H1016" s="5"/>
      <c r="I1016" s="5"/>
      <c r="J1016" s="5"/>
      <c r="K1016" s="5"/>
      <c r="L1016" s="5"/>
    </row>
    <row r="1017" customHeight="1" spans="1:12">
      <c r="A1017" s="5"/>
      <c r="B1017" s="5"/>
      <c r="C1017" s="5"/>
      <c r="D1017" s="5"/>
      <c r="E1017" s="5"/>
      <c r="F1017" s="5"/>
      <c r="H1017" s="5"/>
      <c r="I1017" s="5"/>
      <c r="J1017" s="5"/>
      <c r="K1017" s="5"/>
      <c r="L1017" s="5"/>
    </row>
    <row r="1018" customHeight="1" spans="1:12">
      <c r="A1018" s="5"/>
      <c r="B1018" s="5"/>
      <c r="C1018" s="5"/>
      <c r="D1018" s="5"/>
      <c r="E1018" s="5"/>
      <c r="F1018" s="5"/>
      <c r="H1018" s="5"/>
      <c r="I1018" s="5"/>
      <c r="J1018" s="5"/>
      <c r="K1018" s="5"/>
      <c r="L1018" s="5"/>
    </row>
    <row r="1019" customHeight="1" spans="1:12">
      <c r="A1019" s="5"/>
      <c r="B1019" s="5"/>
      <c r="C1019" s="5"/>
      <c r="D1019" s="5"/>
      <c r="E1019" s="5"/>
      <c r="F1019" s="5"/>
      <c r="H1019" s="5"/>
      <c r="I1019" s="5"/>
      <c r="J1019" s="5"/>
      <c r="K1019" s="5"/>
      <c r="L1019" s="5"/>
    </row>
    <row r="1020" customHeight="1" spans="1:12">
      <c r="A1020" s="5"/>
      <c r="B1020" s="5"/>
      <c r="C1020" s="5"/>
      <c r="D1020" s="5"/>
      <c r="E1020" s="5"/>
      <c r="F1020" s="5"/>
      <c r="H1020" s="5"/>
      <c r="I1020" s="5"/>
      <c r="J1020" s="5"/>
      <c r="K1020" s="5"/>
      <c r="L1020" s="5"/>
    </row>
    <row r="1021" customHeight="1" spans="1:12">
      <c r="A1021" s="5"/>
      <c r="B1021" s="5"/>
      <c r="C1021" s="5"/>
      <c r="D1021" s="5"/>
      <c r="E1021" s="5"/>
      <c r="F1021" s="5"/>
      <c r="H1021" s="5"/>
      <c r="I1021" s="5"/>
      <c r="J1021" s="5"/>
      <c r="K1021" s="5"/>
      <c r="L1021" s="5"/>
    </row>
    <row r="1022" customHeight="1" spans="1:12">
      <c r="A1022" s="5"/>
      <c r="B1022" s="5"/>
      <c r="C1022" s="5"/>
      <c r="D1022" s="5"/>
      <c r="E1022" s="5"/>
      <c r="F1022" s="5"/>
      <c r="H1022" s="5"/>
      <c r="I1022" s="5"/>
      <c r="J1022" s="5"/>
      <c r="K1022" s="5"/>
      <c r="L1022" s="5"/>
    </row>
    <row r="1023" customHeight="1" spans="1:12">
      <c r="A1023" s="5"/>
      <c r="B1023" s="5"/>
      <c r="C1023" s="5"/>
      <c r="D1023" s="5"/>
      <c r="E1023" s="5"/>
      <c r="F1023" s="5"/>
      <c r="H1023" s="5"/>
      <c r="I1023" s="5"/>
      <c r="J1023" s="5"/>
      <c r="K1023" s="5"/>
      <c r="L1023" s="5"/>
    </row>
    <row r="1024" customHeight="1" spans="1:12">
      <c r="A1024" s="5"/>
      <c r="B1024" s="5"/>
      <c r="C1024" s="5"/>
      <c r="D1024" s="5"/>
      <c r="E1024" s="5"/>
      <c r="F1024" s="5"/>
      <c r="H1024" s="5"/>
      <c r="I1024" s="5"/>
      <c r="J1024" s="5"/>
      <c r="K1024" s="5"/>
      <c r="L1024" s="5"/>
    </row>
    <row r="1025" customHeight="1" spans="1:12">
      <c r="A1025" s="5"/>
      <c r="B1025" s="5"/>
      <c r="C1025" s="5"/>
      <c r="D1025" s="5"/>
      <c r="E1025" s="5"/>
      <c r="F1025" s="5"/>
      <c r="H1025" s="5"/>
      <c r="I1025" s="5"/>
      <c r="J1025" s="5"/>
      <c r="K1025" s="5"/>
      <c r="L1025" s="5"/>
    </row>
    <row r="1026" customHeight="1" spans="1:12">
      <c r="A1026" s="5"/>
      <c r="B1026" s="5"/>
      <c r="C1026" s="5"/>
      <c r="D1026" s="5"/>
      <c r="E1026" s="5"/>
      <c r="F1026" s="5"/>
      <c r="H1026" s="5"/>
      <c r="I1026" s="5"/>
      <c r="J1026" s="5"/>
      <c r="K1026" s="5"/>
      <c r="L1026" s="5"/>
    </row>
    <row r="1027" customHeight="1" spans="1:12">
      <c r="A1027" s="5"/>
      <c r="B1027" s="5"/>
      <c r="C1027" s="5"/>
      <c r="D1027" s="5"/>
      <c r="E1027" s="5"/>
      <c r="F1027" s="5"/>
      <c r="H1027" s="5"/>
      <c r="I1027" s="5"/>
      <c r="J1027" s="5"/>
      <c r="K1027" s="5"/>
      <c r="L1027" s="5"/>
    </row>
    <row r="1028" customHeight="1" spans="1:12">
      <c r="A1028" s="5"/>
      <c r="B1028" s="5"/>
      <c r="C1028" s="5"/>
      <c r="D1028" s="5"/>
      <c r="E1028" s="5"/>
      <c r="F1028" s="5"/>
      <c r="H1028" s="5"/>
      <c r="I1028" s="5"/>
      <c r="J1028" s="5"/>
      <c r="K1028" s="5"/>
      <c r="L1028" s="5"/>
    </row>
    <row r="1029" customHeight="1" spans="1:12">
      <c r="A1029" s="5"/>
      <c r="B1029" s="5"/>
      <c r="C1029" s="5"/>
      <c r="D1029" s="5"/>
      <c r="E1029" s="5"/>
      <c r="F1029" s="5"/>
      <c r="H1029" s="5"/>
      <c r="I1029" s="5"/>
      <c r="J1029" s="5"/>
      <c r="K1029" s="5"/>
      <c r="L1029" s="5"/>
    </row>
    <row r="1030" customHeight="1" spans="1:12">
      <c r="A1030" s="5"/>
      <c r="B1030" s="5"/>
      <c r="C1030" s="5"/>
      <c r="D1030" s="5"/>
      <c r="E1030" s="5"/>
      <c r="F1030" s="5"/>
      <c r="H1030" s="5"/>
      <c r="I1030" s="5"/>
      <c r="J1030" s="5"/>
      <c r="K1030" s="5"/>
      <c r="L1030" s="5"/>
    </row>
    <row r="1031" customHeight="1" spans="1:12">
      <c r="A1031" s="5"/>
      <c r="B1031" s="5"/>
      <c r="C1031" s="5"/>
      <c r="D1031" s="5"/>
      <c r="E1031" s="5"/>
      <c r="F1031" s="5"/>
      <c r="H1031" s="5"/>
      <c r="I1031" s="5"/>
      <c r="J1031" s="5"/>
      <c r="K1031" s="5"/>
      <c r="L1031" s="5"/>
    </row>
    <row r="1032" customHeight="1" spans="1:12">
      <c r="A1032" s="5"/>
      <c r="B1032" s="5"/>
      <c r="C1032" s="5"/>
      <c r="D1032" s="5"/>
      <c r="E1032" s="5"/>
      <c r="F1032" s="5"/>
      <c r="H1032" s="5"/>
      <c r="I1032" s="5"/>
      <c r="J1032" s="5"/>
      <c r="K1032" s="5"/>
      <c r="L1032" s="5"/>
    </row>
    <row r="1033" customHeight="1" spans="1:12">
      <c r="A1033" s="5"/>
      <c r="B1033" s="5"/>
      <c r="C1033" s="5"/>
      <c r="D1033" s="5"/>
      <c r="E1033" s="5"/>
      <c r="F1033" s="5"/>
      <c r="H1033" s="5"/>
      <c r="I1033" s="5"/>
      <c r="J1033" s="5"/>
      <c r="K1033" s="5"/>
      <c r="L1033" s="5"/>
    </row>
    <row r="1034" customHeight="1" spans="1:12">
      <c r="A1034" s="5"/>
      <c r="B1034" s="5"/>
      <c r="C1034" s="5"/>
      <c r="D1034" s="5"/>
      <c r="E1034" s="5"/>
      <c r="F1034" s="5"/>
      <c r="H1034" s="5"/>
      <c r="I1034" s="5"/>
      <c r="J1034" s="5"/>
      <c r="K1034" s="5"/>
      <c r="L1034" s="5"/>
    </row>
    <row r="1035" customHeight="1" spans="1:12">
      <c r="A1035" s="5"/>
      <c r="B1035" s="5"/>
      <c r="C1035" s="5"/>
      <c r="D1035" s="5"/>
      <c r="E1035" s="5"/>
      <c r="F1035" s="5"/>
      <c r="H1035" s="5"/>
      <c r="I1035" s="5"/>
      <c r="J1035" s="5"/>
      <c r="K1035" s="5"/>
      <c r="L1035" s="5"/>
    </row>
    <row r="1036" customHeight="1" spans="1:12">
      <c r="A1036" s="5"/>
      <c r="B1036" s="5"/>
      <c r="C1036" s="5"/>
      <c r="D1036" s="5"/>
      <c r="E1036" s="5"/>
      <c r="F1036" s="5"/>
      <c r="H1036" s="5"/>
      <c r="I1036" s="5"/>
      <c r="J1036" s="5"/>
      <c r="K1036" s="5"/>
      <c r="L1036" s="5"/>
    </row>
    <row r="1037" customHeight="1" spans="1:12">
      <c r="A1037" s="5"/>
      <c r="B1037" s="5"/>
      <c r="C1037" s="5"/>
      <c r="D1037" s="5"/>
      <c r="E1037" s="5"/>
      <c r="F1037" s="5"/>
      <c r="H1037" s="5"/>
      <c r="I1037" s="5"/>
      <c r="J1037" s="5"/>
      <c r="K1037" s="5"/>
      <c r="L1037" s="5"/>
    </row>
    <row r="1038" customHeight="1" spans="1:12">
      <c r="A1038" s="5"/>
      <c r="B1038" s="5"/>
      <c r="C1038" s="5"/>
      <c r="D1038" s="5"/>
      <c r="E1038" s="5"/>
      <c r="F1038" s="5"/>
      <c r="H1038" s="5"/>
      <c r="I1038" s="5"/>
      <c r="J1038" s="5"/>
      <c r="K1038" s="5"/>
      <c r="L1038" s="5"/>
    </row>
    <row r="1039" customHeight="1" spans="1:12">
      <c r="A1039" s="5"/>
      <c r="B1039" s="5"/>
      <c r="C1039" s="5"/>
      <c r="D1039" s="5"/>
      <c r="E1039" s="5"/>
      <c r="F1039" s="5"/>
      <c r="H1039" s="5"/>
      <c r="I1039" s="5"/>
      <c r="J1039" s="5"/>
      <c r="K1039" s="5"/>
      <c r="L1039" s="5"/>
    </row>
    <row r="1040" customHeight="1" spans="1:12">
      <c r="A1040" s="5"/>
      <c r="B1040" s="5"/>
      <c r="C1040" s="5"/>
      <c r="D1040" s="5"/>
      <c r="E1040" s="5"/>
      <c r="F1040" s="5"/>
      <c r="H1040" s="5"/>
      <c r="I1040" s="5"/>
      <c r="J1040" s="5"/>
      <c r="K1040" s="5"/>
      <c r="L1040" s="5"/>
    </row>
    <row r="1041" customHeight="1" spans="1:12">
      <c r="A1041" s="5"/>
      <c r="B1041" s="5"/>
      <c r="C1041" s="5"/>
      <c r="D1041" s="5"/>
      <c r="E1041" s="5"/>
      <c r="F1041" s="5"/>
      <c r="H1041" s="5"/>
      <c r="I1041" s="5"/>
      <c r="J1041" s="5"/>
      <c r="K1041" s="5"/>
      <c r="L1041" s="5"/>
    </row>
    <row r="1042" customHeight="1" spans="1:12">
      <c r="A1042" s="5"/>
      <c r="B1042" s="5"/>
      <c r="C1042" s="5"/>
      <c r="D1042" s="5"/>
      <c r="E1042" s="5"/>
      <c r="F1042" s="5"/>
      <c r="H1042" s="5"/>
      <c r="I1042" s="5"/>
      <c r="J1042" s="5"/>
      <c r="K1042" s="5"/>
      <c r="L1042" s="5"/>
    </row>
    <row r="1043" customHeight="1" spans="1:12">
      <c r="A1043" s="5"/>
      <c r="B1043" s="5"/>
      <c r="C1043" s="5"/>
      <c r="D1043" s="5"/>
      <c r="E1043" s="5"/>
      <c r="F1043" s="5"/>
      <c r="H1043" s="5"/>
      <c r="I1043" s="5"/>
      <c r="J1043" s="5"/>
      <c r="K1043" s="5"/>
      <c r="L1043" s="5"/>
    </row>
    <row r="1044" customHeight="1" spans="1:12">
      <c r="A1044" s="5"/>
      <c r="B1044" s="5"/>
      <c r="C1044" s="5"/>
      <c r="D1044" s="5"/>
      <c r="E1044" s="5"/>
      <c r="F1044" s="5"/>
      <c r="H1044" s="5"/>
      <c r="I1044" s="5"/>
      <c r="J1044" s="5"/>
      <c r="K1044" s="5"/>
      <c r="L1044" s="5"/>
    </row>
    <row r="1045" customHeight="1" spans="1:12">
      <c r="A1045" s="5"/>
      <c r="B1045" s="5"/>
      <c r="C1045" s="5"/>
      <c r="D1045" s="5"/>
      <c r="E1045" s="5"/>
      <c r="F1045" s="5"/>
      <c r="H1045" s="5"/>
      <c r="I1045" s="5"/>
      <c r="J1045" s="5"/>
      <c r="K1045" s="5"/>
      <c r="L1045" s="5"/>
    </row>
    <row r="1046" customHeight="1" spans="1:12">
      <c r="A1046" s="5"/>
      <c r="B1046" s="5"/>
      <c r="C1046" s="5"/>
      <c r="D1046" s="5"/>
      <c r="E1046" s="5"/>
      <c r="F1046" s="5"/>
      <c r="H1046" s="5"/>
      <c r="I1046" s="5"/>
      <c r="J1046" s="5"/>
      <c r="K1046" s="5"/>
      <c r="L1046" s="5"/>
    </row>
    <row r="1047" customHeight="1" spans="1:12">
      <c r="A1047" s="5"/>
      <c r="B1047" s="5"/>
      <c r="C1047" s="5"/>
      <c r="D1047" s="5"/>
      <c r="E1047" s="5"/>
      <c r="F1047" s="5"/>
      <c r="H1047" s="5"/>
      <c r="I1047" s="5"/>
      <c r="J1047" s="5"/>
      <c r="K1047" s="5"/>
      <c r="L1047" s="5"/>
    </row>
    <row r="1048" customHeight="1" spans="1:12">
      <c r="A1048" s="5"/>
      <c r="B1048" s="5"/>
      <c r="C1048" s="5"/>
      <c r="D1048" s="5"/>
      <c r="E1048" s="5"/>
      <c r="F1048" s="5"/>
      <c r="H1048" s="5"/>
      <c r="I1048" s="5"/>
      <c r="J1048" s="5"/>
      <c r="K1048" s="5"/>
      <c r="L1048" s="5"/>
    </row>
    <row r="1049" customHeight="1" spans="1:12">
      <c r="A1049" s="5"/>
      <c r="B1049" s="5"/>
      <c r="C1049" s="5"/>
      <c r="D1049" s="5"/>
      <c r="E1049" s="5"/>
      <c r="F1049" s="5"/>
      <c r="H1049" s="5"/>
      <c r="I1049" s="5"/>
      <c r="J1049" s="5"/>
      <c r="K1049" s="5"/>
      <c r="L1049" s="5"/>
    </row>
    <row r="1050" customHeight="1" spans="1:12">
      <c r="A1050" s="5"/>
      <c r="B1050" s="5"/>
      <c r="C1050" s="5"/>
      <c r="D1050" s="5"/>
      <c r="E1050" s="5"/>
      <c r="F1050" s="5"/>
      <c r="H1050" s="5"/>
      <c r="I1050" s="5"/>
      <c r="J1050" s="5"/>
      <c r="K1050" s="5"/>
      <c r="L1050" s="5"/>
    </row>
    <row r="1051" customHeight="1" spans="1:12">
      <c r="A1051" s="5"/>
      <c r="B1051" s="5"/>
      <c r="C1051" s="5"/>
      <c r="D1051" s="5"/>
      <c r="E1051" s="5"/>
      <c r="F1051" s="5"/>
      <c r="H1051" s="5"/>
      <c r="I1051" s="5"/>
      <c r="J1051" s="5"/>
      <c r="K1051" s="5"/>
      <c r="L1051" s="5"/>
    </row>
    <row r="1052" customHeight="1" spans="1:12">
      <c r="A1052" s="5"/>
      <c r="B1052" s="5"/>
      <c r="C1052" s="5"/>
      <c r="D1052" s="5"/>
      <c r="E1052" s="5"/>
      <c r="F1052" s="5"/>
      <c r="H1052" s="5"/>
      <c r="I1052" s="5"/>
      <c r="J1052" s="5"/>
      <c r="K1052" s="5"/>
      <c r="L1052" s="5"/>
    </row>
    <row r="1053" customHeight="1" spans="1:12">
      <c r="A1053" s="5"/>
      <c r="B1053" s="5"/>
      <c r="C1053" s="5"/>
      <c r="D1053" s="5"/>
      <c r="E1053" s="5"/>
      <c r="F1053" s="5"/>
      <c r="H1053" s="5"/>
      <c r="I1053" s="5"/>
      <c r="J1053" s="5"/>
      <c r="K1053" s="5"/>
      <c r="L1053" s="5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zoomScale="180" zoomScaleNormal="180" workbookViewId="0">
      <selection activeCell="M13" sqref="M13"/>
    </sheetView>
  </sheetViews>
  <sheetFormatPr defaultColWidth="9.01481481481481" defaultRowHeight="15" customHeight="1"/>
  <cols>
    <col min="1" max="1" width="13.562962962963" style="2" customWidth="1"/>
    <col min="11" max="11" width="9.20740740740741" style="2" customWidth="1"/>
    <col min="16" max="16" width="12.437037037037" style="2" customWidth="1"/>
    <col min="18" max="18" width="12.437037037037" style="2" customWidth="1"/>
  </cols>
  <sheetData>
    <row r="1" customHeight="1" spans="1:19">
      <c r="A1" s="4" t="s">
        <v>12</v>
      </c>
      <c r="B1" s="4"/>
      <c r="C1" s="4"/>
      <c r="D1" s="4" t="s">
        <v>13</v>
      </c>
      <c r="E1" s="4"/>
      <c r="F1" s="4"/>
      <c r="G1" s="4" t="s">
        <v>4</v>
      </c>
      <c r="H1" s="4"/>
      <c r="I1" s="4"/>
      <c r="J1" s="19" t="s">
        <v>25</v>
      </c>
      <c r="K1" s="19"/>
      <c r="N1" s="7"/>
      <c r="O1" s="7"/>
      <c r="S1" s="7"/>
    </row>
    <row r="2" customHeight="1" spans="1:19">
      <c r="A2" s="4">
        <v>0.00104202</v>
      </c>
      <c r="B2" s="4">
        <v>157158000</v>
      </c>
      <c r="C2" s="4"/>
      <c r="D2" s="4">
        <v>0.00106296</v>
      </c>
      <c r="E2" s="4">
        <v>191525000</v>
      </c>
      <c r="F2" s="4"/>
      <c r="G2" s="4">
        <v>0.00113959</v>
      </c>
      <c r="H2" s="4">
        <v>157272000</v>
      </c>
      <c r="I2" s="4"/>
      <c r="K2" s="3" t="s">
        <v>16</v>
      </c>
      <c r="L2" s="3" t="s">
        <v>17</v>
      </c>
      <c r="M2" s="3" t="s">
        <v>18</v>
      </c>
      <c r="N2" s="7" t="s">
        <v>19</v>
      </c>
      <c r="O2" s="7" t="s">
        <v>20</v>
      </c>
      <c r="P2" s="3" t="s">
        <v>21</v>
      </c>
      <c r="Q2" s="3" t="s">
        <v>22</v>
      </c>
      <c r="R2" s="3" t="s">
        <v>23</v>
      </c>
      <c r="S2" s="7" t="s">
        <v>24</v>
      </c>
    </row>
    <row r="3" customHeight="1" spans="1:19">
      <c r="A3" s="4">
        <v>0.00217019</v>
      </c>
      <c r="B3" s="4">
        <v>160898000</v>
      </c>
      <c r="C3" s="4"/>
      <c r="D3" s="4">
        <v>0.00178865</v>
      </c>
      <c r="E3" s="4">
        <v>185187000</v>
      </c>
      <c r="F3" s="4"/>
      <c r="G3" s="4">
        <v>0.0021483</v>
      </c>
      <c r="H3" s="4">
        <v>157662000</v>
      </c>
      <c r="I3" s="4"/>
      <c r="J3" s="3" t="s">
        <v>2</v>
      </c>
      <c r="K3" s="3">
        <f>AVERAGE(B28:B32)/1000000</f>
        <v>149.0194</v>
      </c>
      <c r="L3" s="5">
        <f>AVERAGE('400K_SR1000'!L28:L32)</f>
        <v>2715832000000</v>
      </c>
      <c r="M3" s="5">
        <f>AVERAGE('400K_SR1000'!C28:C32)</f>
        <v>31860500000000</v>
      </c>
      <c r="N3" s="7">
        <f>Graphs!$B$1*80.9*0.248*SQRT(L3)/1000000</f>
        <v>16.5318576616544</v>
      </c>
      <c r="O3" s="7">
        <f>Graphs!$B$2*80.9*0.248*SQRT(M3)/1000000</f>
        <v>5.66234726118143</v>
      </c>
      <c r="P3" s="3">
        <f>SQRT(N3^2+O3^2)</f>
        <v>17.4746815207434</v>
      </c>
      <c r="Q3" s="3">
        <f>K3*0.4707</f>
        <v>70.14343158</v>
      </c>
      <c r="R3" s="3">
        <f>Q3/P3</f>
        <v>4.01400343100593</v>
      </c>
      <c r="S3" s="7">
        <f>L3/M3</f>
        <v>0.0852413490058223</v>
      </c>
    </row>
    <row r="4" customHeight="1" spans="1:19">
      <c r="A4" s="4">
        <v>0.00287935</v>
      </c>
      <c r="B4" s="4">
        <v>155316000</v>
      </c>
      <c r="C4" s="4"/>
      <c r="D4" s="4">
        <v>0.00300158</v>
      </c>
      <c r="E4" s="4">
        <v>180370000</v>
      </c>
      <c r="F4" s="4"/>
      <c r="G4" s="4">
        <v>0.00310114</v>
      </c>
      <c r="H4" s="4">
        <v>149057000</v>
      </c>
      <c r="I4" s="4"/>
      <c r="J4" s="3" t="s">
        <v>3</v>
      </c>
      <c r="K4" s="3">
        <f>AVERAGE(E28:E32)/1000000</f>
        <v>168.1902</v>
      </c>
      <c r="L4" s="5">
        <f>AVERAGE('400K_SR1000'!Y28:Y32)</f>
        <v>3441940000000</v>
      </c>
      <c r="M4" s="5">
        <f>AVERAGE('400K_SR1000'!P28:P32)</f>
        <v>36401260000000</v>
      </c>
      <c r="N4" s="7">
        <f>Graphs!$B$1*80.9*0.248*SQRT(L4)/1000000</f>
        <v>18.611091936359</v>
      </c>
      <c r="O4" s="7">
        <f>Graphs!$B$2*80.9*0.248*SQRT(M4)/1000000</f>
        <v>6.052411044503</v>
      </c>
      <c r="P4" s="3">
        <f>SQRT(N4^2+O4^2)</f>
        <v>19.5704987804406</v>
      </c>
      <c r="Q4" s="3">
        <f>K4*0.4707</f>
        <v>79.16712714</v>
      </c>
      <c r="R4" s="3">
        <f>Q4/P4</f>
        <v>4.04522787222583</v>
      </c>
      <c r="S4" s="7">
        <f>L4/M4</f>
        <v>0.0945555181331635</v>
      </c>
    </row>
    <row r="5" customHeight="1" spans="1:19">
      <c r="A5" s="4">
        <v>0.0041307</v>
      </c>
      <c r="B5" s="4">
        <v>154543000</v>
      </c>
      <c r="C5" s="4"/>
      <c r="D5" s="4">
        <v>0.00400231</v>
      </c>
      <c r="E5" s="4">
        <v>165287000</v>
      </c>
      <c r="F5" s="4"/>
      <c r="G5" s="4">
        <v>0.00377128</v>
      </c>
      <c r="H5" s="4">
        <v>149178000</v>
      </c>
      <c r="I5" s="4"/>
      <c r="J5" s="3" t="s">
        <v>4</v>
      </c>
      <c r="K5" s="3">
        <f>AVERAGE(H28:H32)/1000000</f>
        <v>153.9396</v>
      </c>
      <c r="L5" s="5">
        <f>AVERAGE('400K_SR1000'!AL28:AL32)</f>
        <v>3102704000000</v>
      </c>
      <c r="M5" s="5">
        <f>AVERAGE('400K_SR1000'!AC28:AC32)</f>
        <v>31598620000000</v>
      </c>
      <c r="N5" s="7">
        <f>Graphs!$B$1*80.9*0.248*SQRT(L5)/1000000</f>
        <v>17.6701558330453</v>
      </c>
      <c r="O5" s="7">
        <f>Graphs!$B$2*80.9*0.248*SQRT(M5)/1000000</f>
        <v>5.63902817953412</v>
      </c>
      <c r="P5" s="3">
        <f>SQRT(N5^2+O5^2)</f>
        <v>18.548127829344</v>
      </c>
      <c r="Q5" s="3">
        <f>K5*0.4707</f>
        <v>72.45936972</v>
      </c>
      <c r="R5" s="3">
        <f>Q5/P5</f>
        <v>3.90655975560864</v>
      </c>
      <c r="S5" s="7">
        <f>L5/M5</f>
        <v>0.0981911235364076</v>
      </c>
    </row>
    <row r="6" customHeight="1" spans="1:9">
      <c r="A6" s="4">
        <v>0.00500823</v>
      </c>
      <c r="B6" s="4">
        <v>157272000</v>
      </c>
      <c r="C6" s="4"/>
      <c r="D6" s="4">
        <v>0.00502322</v>
      </c>
      <c r="E6" s="4">
        <v>165130000</v>
      </c>
      <c r="F6" s="4"/>
      <c r="G6" s="4">
        <v>0.00506494</v>
      </c>
      <c r="H6" s="4">
        <v>151651000</v>
      </c>
      <c r="I6" s="4"/>
    </row>
    <row r="7" customHeight="1" spans="1:9">
      <c r="A7" s="4">
        <v>0.00603591</v>
      </c>
      <c r="B7" s="4">
        <v>150362000</v>
      </c>
      <c r="C7" s="4"/>
      <c r="D7" s="4">
        <v>0.00598238</v>
      </c>
      <c r="E7" s="4">
        <v>178535000</v>
      </c>
      <c r="F7" s="4"/>
      <c r="G7" s="4">
        <v>0.00598056</v>
      </c>
      <c r="H7" s="4">
        <v>151887000</v>
      </c>
      <c r="I7" s="4"/>
    </row>
    <row r="8" customHeight="1" spans="1:9">
      <c r="A8" s="4">
        <v>0.00701899</v>
      </c>
      <c r="B8" s="4">
        <v>147117000</v>
      </c>
      <c r="C8" s="4"/>
      <c r="D8" s="4">
        <v>0.00696948</v>
      </c>
      <c r="E8" s="4">
        <v>175386000</v>
      </c>
      <c r="F8" s="4"/>
      <c r="G8" s="4">
        <v>0.00704911</v>
      </c>
      <c r="H8" s="4">
        <v>145825000</v>
      </c>
      <c r="I8" s="4"/>
    </row>
    <row r="9" customHeight="1" spans="1:19">
      <c r="A9" s="4">
        <v>0.00797803</v>
      </c>
      <c r="B9" s="4">
        <v>144778000</v>
      </c>
      <c r="C9" s="4"/>
      <c r="D9" s="4">
        <v>0.00797529</v>
      </c>
      <c r="E9" s="4">
        <v>165094000</v>
      </c>
      <c r="F9" s="4"/>
      <c r="G9" s="4">
        <v>0.00796862</v>
      </c>
      <c r="H9" s="4">
        <v>150428000</v>
      </c>
      <c r="I9" s="4"/>
      <c r="K9" s="3" t="s">
        <v>16</v>
      </c>
      <c r="L9" s="3" t="s">
        <v>17</v>
      </c>
      <c r="M9" s="3" t="s">
        <v>18</v>
      </c>
      <c r="N9" s="7" t="s">
        <v>19</v>
      </c>
      <c r="O9" s="7" t="s">
        <v>20</v>
      </c>
      <c r="P9" s="3" t="s">
        <v>21</v>
      </c>
      <c r="Q9" s="3" t="s">
        <v>22</v>
      </c>
      <c r="R9" s="3" t="s">
        <v>23</v>
      </c>
      <c r="S9" s="7" t="s">
        <v>24</v>
      </c>
    </row>
    <row r="10" customHeight="1" spans="1:19">
      <c r="A10" s="4">
        <v>0.00904661</v>
      </c>
      <c r="B10" s="4">
        <v>157198000</v>
      </c>
      <c r="C10" s="4"/>
      <c r="D10" s="4">
        <v>0.00898273</v>
      </c>
      <c r="E10" s="4">
        <v>170782000</v>
      </c>
      <c r="F10" s="4"/>
      <c r="G10" s="4">
        <v>0.00892959</v>
      </c>
      <c r="H10" s="4">
        <v>153762000</v>
      </c>
      <c r="I10" s="4"/>
      <c r="J10" s="3" t="s">
        <v>2</v>
      </c>
      <c r="K10" s="3">
        <f>AVERAGE(B12:B16)/1000000</f>
        <v>149.8292</v>
      </c>
      <c r="L10" s="5">
        <f>AVERAGE('400K_SR1000'!L12:L16)</f>
        <v>1667516000000</v>
      </c>
      <c r="M10" s="5">
        <f>AVERAGE('400K_SR1000'!C12:C16)</f>
        <v>27919060000000</v>
      </c>
      <c r="N10" s="7">
        <f>Graphs!$B$1*80.9*0.248*SQRT(L10)/1000000</f>
        <v>12.9540393401741</v>
      </c>
      <c r="O10" s="7">
        <f>Graphs!$B$2*80.9*0.248*SQRT(M10)/1000000</f>
        <v>5.3005459386525</v>
      </c>
      <c r="P10" s="3">
        <f>SQRT(N10^2+O10^2)</f>
        <v>13.9965325161106</v>
      </c>
      <c r="Q10" s="3">
        <f>K10*0.4707</f>
        <v>70.52460444</v>
      </c>
      <c r="R10" s="3">
        <f>Q10/P10</f>
        <v>5.0387197228187</v>
      </c>
      <c r="S10" s="7">
        <f>L10/M10</f>
        <v>0.0597267959594628</v>
      </c>
    </row>
    <row r="11" customHeight="1" spans="1:19">
      <c r="A11" s="4">
        <v>0.0100808</v>
      </c>
      <c r="B11" s="4">
        <v>152256000</v>
      </c>
      <c r="C11" s="4"/>
      <c r="D11" s="4">
        <v>0.0100154</v>
      </c>
      <c r="E11" s="4">
        <v>175570000</v>
      </c>
      <c r="F11" s="4"/>
      <c r="G11" s="4">
        <v>0.00995778</v>
      </c>
      <c r="H11" s="4">
        <v>152699000</v>
      </c>
      <c r="I11" s="4"/>
      <c r="J11" s="3" t="s">
        <v>3</v>
      </c>
      <c r="K11" s="3">
        <f>AVERAGE(E12:E16)/1000000</f>
        <v>173.3622</v>
      </c>
      <c r="L11" s="5">
        <f>AVERAGE('400K_SR1000'!Y12:Y16)</f>
        <v>1926720000000</v>
      </c>
      <c r="M11" s="5">
        <f>AVERAGE('400K_SR1000'!P12:P16)</f>
        <v>30823060000000</v>
      </c>
      <c r="N11" s="7">
        <f>Graphs!$B$1*80.9*0.248*SQRT(L11)/1000000</f>
        <v>13.9244967946969</v>
      </c>
      <c r="O11" s="7">
        <f>Graphs!$B$2*80.9*0.248*SQRT(M11)/1000000</f>
        <v>5.56939579541156</v>
      </c>
      <c r="P11" s="3">
        <f>SQRT(N11^2+O11^2)</f>
        <v>14.9969923821902</v>
      </c>
      <c r="Q11" s="3">
        <f>K11*0.4707</f>
        <v>81.60158754</v>
      </c>
      <c r="R11" s="3">
        <f>Q11/P11</f>
        <v>5.44119683870124</v>
      </c>
      <c r="S11" s="7">
        <f>L11/M11</f>
        <v>0.0625090435537549</v>
      </c>
    </row>
    <row r="12" customHeight="1" spans="1:19">
      <c r="A12" s="4">
        <v>0.0109768</v>
      </c>
      <c r="B12" s="4">
        <v>146455000</v>
      </c>
      <c r="C12" s="4"/>
      <c r="D12" s="4">
        <v>0.0110273</v>
      </c>
      <c r="E12" s="4">
        <v>171676000</v>
      </c>
      <c r="F12" s="4"/>
      <c r="G12" s="4">
        <v>0.0109968</v>
      </c>
      <c r="H12" s="4">
        <v>148199000</v>
      </c>
      <c r="I12" s="4"/>
      <c r="J12" s="3" t="s">
        <v>4</v>
      </c>
      <c r="K12" s="3">
        <f>AVERAGE(H12:H16)/1000000</f>
        <v>145.9374</v>
      </c>
      <c r="L12" s="5">
        <f>AVERAGE('400K_SR1000'!AL12:AL16)</f>
        <v>1447284000000</v>
      </c>
      <c r="M12" s="5">
        <f>AVERAGE('400K_SR1000'!AC12:AC16)</f>
        <v>26524880000000</v>
      </c>
      <c r="N12" s="7">
        <f>Graphs!$B$1*80.9*0.248*SQRT(L12)/1000000</f>
        <v>12.0683275016844</v>
      </c>
      <c r="O12" s="7">
        <f>Graphs!$B$2*80.9*0.248*SQRT(M12)/1000000</f>
        <v>5.16650579293605</v>
      </c>
      <c r="P12" s="3">
        <f>SQRT(N12^2+O12^2)</f>
        <v>13.1277306034346</v>
      </c>
      <c r="Q12" s="3">
        <f>K12*0.4707</f>
        <v>68.69273418</v>
      </c>
      <c r="R12" s="3">
        <f>Q12/P12</f>
        <v>5.23264349757665</v>
      </c>
      <c r="S12" s="7">
        <f>L12/M12</f>
        <v>0.0545632628686727</v>
      </c>
    </row>
    <row r="13" customHeight="1" spans="1:9">
      <c r="A13" s="4">
        <v>0.0119701</v>
      </c>
      <c r="B13" s="4">
        <v>156228000</v>
      </c>
      <c r="C13" s="4"/>
      <c r="D13" s="4">
        <v>0.0119842</v>
      </c>
      <c r="E13" s="4">
        <v>168728000</v>
      </c>
      <c r="F13" s="4"/>
      <c r="G13" s="4">
        <v>0.0120121</v>
      </c>
      <c r="H13" s="4">
        <v>145515000</v>
      </c>
      <c r="I13" s="4"/>
    </row>
    <row r="14" customHeight="1" spans="1:9">
      <c r="A14" s="4">
        <v>0.0131279</v>
      </c>
      <c r="B14" s="4">
        <v>148380000</v>
      </c>
      <c r="C14" s="4"/>
      <c r="D14" s="4">
        <v>0.0130274</v>
      </c>
      <c r="E14" s="4">
        <v>175622000</v>
      </c>
      <c r="F14" s="4"/>
      <c r="G14" s="4">
        <v>0.0129114</v>
      </c>
      <c r="H14" s="4">
        <v>151023000</v>
      </c>
      <c r="I14" s="4"/>
    </row>
    <row r="15" customHeight="1" spans="1:9">
      <c r="A15" s="4">
        <v>0.0139836</v>
      </c>
      <c r="B15" s="4">
        <v>148810000</v>
      </c>
      <c r="C15" s="4"/>
      <c r="D15" s="4">
        <v>0.0140448</v>
      </c>
      <c r="E15" s="4">
        <v>177236000</v>
      </c>
      <c r="F15" s="4"/>
      <c r="G15" s="4">
        <v>0.0140355</v>
      </c>
      <c r="H15" s="4">
        <v>138275000</v>
      </c>
      <c r="I15" s="4"/>
    </row>
    <row r="16" customHeight="1" spans="1:9">
      <c r="A16" s="4">
        <v>0.0150589</v>
      </c>
      <c r="B16" s="4">
        <v>149273000</v>
      </c>
      <c r="C16" s="4"/>
      <c r="D16" s="4">
        <v>0.0150208</v>
      </c>
      <c r="E16" s="4">
        <v>173549000</v>
      </c>
      <c r="F16" s="4"/>
      <c r="G16" s="4">
        <v>0.0150428</v>
      </c>
      <c r="H16" s="4">
        <v>146675000</v>
      </c>
      <c r="I16" s="4"/>
    </row>
    <row r="17" customHeight="1" spans="1:9">
      <c r="A17" s="4">
        <v>0.0159503</v>
      </c>
      <c r="B17" s="4">
        <v>146565000</v>
      </c>
      <c r="C17" s="4"/>
      <c r="D17" s="4">
        <v>0.0160182</v>
      </c>
      <c r="E17" s="4">
        <v>175367000</v>
      </c>
      <c r="F17" s="4"/>
      <c r="G17" s="4">
        <v>0.0161557</v>
      </c>
      <c r="H17" s="4">
        <v>144518000</v>
      </c>
      <c r="I17" s="4"/>
    </row>
    <row r="18" customHeight="1" spans="1:9">
      <c r="A18" s="4">
        <v>0.0169981</v>
      </c>
      <c r="B18" s="4">
        <v>147928000</v>
      </c>
      <c r="C18" s="4"/>
      <c r="D18" s="4">
        <v>0.0169917</v>
      </c>
      <c r="E18" s="4">
        <v>168587000</v>
      </c>
      <c r="F18" s="4"/>
      <c r="G18" s="4">
        <v>0.0169781</v>
      </c>
      <c r="H18" s="4">
        <v>149109000</v>
      </c>
      <c r="I18" s="4"/>
    </row>
    <row r="19" customHeight="1" spans="1:9">
      <c r="A19" s="4">
        <v>0.0179449</v>
      </c>
      <c r="B19" s="4">
        <v>150207000</v>
      </c>
      <c r="C19" s="4"/>
      <c r="D19" s="4">
        <v>0.0179888</v>
      </c>
      <c r="E19" s="4">
        <v>175976000</v>
      </c>
      <c r="F19" s="4"/>
      <c r="G19" s="4">
        <v>0.0180262</v>
      </c>
      <c r="H19" s="4">
        <v>144974000</v>
      </c>
      <c r="I19" s="4"/>
    </row>
    <row r="20" customHeight="1" spans="1:9">
      <c r="A20" s="4">
        <v>0.0190204</v>
      </c>
      <c r="B20" s="4">
        <v>159443000</v>
      </c>
      <c r="C20" s="4"/>
      <c r="D20" s="4">
        <v>0.0189754</v>
      </c>
      <c r="E20" s="4">
        <v>159957000</v>
      </c>
      <c r="F20" s="4"/>
      <c r="G20" s="4">
        <v>0.0190051</v>
      </c>
      <c r="H20" s="4">
        <v>142249000</v>
      </c>
      <c r="I20" s="4"/>
    </row>
    <row r="21" customHeight="1" spans="1:9">
      <c r="A21" s="4">
        <v>0.0200359</v>
      </c>
      <c r="B21" s="4">
        <v>156035000</v>
      </c>
      <c r="C21" s="4"/>
      <c r="D21" s="4">
        <v>0.020003</v>
      </c>
      <c r="E21" s="4">
        <v>170631000</v>
      </c>
      <c r="F21" s="4"/>
      <c r="G21" s="4">
        <v>0.0199444</v>
      </c>
      <c r="H21" s="4">
        <v>144082000</v>
      </c>
      <c r="I21" s="4"/>
    </row>
    <row r="22" customHeight="1" spans="1:9">
      <c r="A22" s="4">
        <v>0.0210272</v>
      </c>
      <c r="B22" s="4">
        <v>157920000</v>
      </c>
      <c r="C22" s="4"/>
      <c r="D22" s="4">
        <v>0.0210273</v>
      </c>
      <c r="E22" s="4">
        <v>163680000</v>
      </c>
      <c r="F22" s="4"/>
      <c r="G22" s="4">
        <v>0.0210546</v>
      </c>
      <c r="H22" s="4">
        <v>143607000</v>
      </c>
      <c r="I22" s="4"/>
    </row>
    <row r="23" customHeight="1" spans="1:9">
      <c r="A23" s="4">
        <v>0.0221185</v>
      </c>
      <c r="B23" s="4">
        <v>160771000</v>
      </c>
      <c r="C23" s="4"/>
      <c r="D23" s="4">
        <v>0.0220152</v>
      </c>
      <c r="E23" s="4">
        <v>171436000</v>
      </c>
      <c r="F23" s="4"/>
      <c r="G23" s="4">
        <v>0.022085</v>
      </c>
      <c r="H23" s="4">
        <v>142458000</v>
      </c>
      <c r="I23" s="4"/>
    </row>
    <row r="24" customHeight="1" spans="1:9">
      <c r="A24" s="4">
        <v>0.0229745</v>
      </c>
      <c r="B24" s="4">
        <v>149953000</v>
      </c>
      <c r="C24" s="4"/>
      <c r="D24" s="4">
        <v>0.0230107</v>
      </c>
      <c r="E24" s="4">
        <v>166157000</v>
      </c>
      <c r="F24" s="4"/>
      <c r="G24" s="4">
        <v>0.0230954</v>
      </c>
      <c r="H24" s="4">
        <v>156607000</v>
      </c>
      <c r="I24" s="4"/>
    </row>
    <row r="25" customHeight="1" spans="1:9">
      <c r="A25" s="4">
        <v>0.0239598</v>
      </c>
      <c r="B25" s="4">
        <v>142279000</v>
      </c>
      <c r="C25" s="4"/>
      <c r="D25" s="4">
        <v>0.0240052</v>
      </c>
      <c r="E25" s="4">
        <v>159860000</v>
      </c>
      <c r="F25" s="4"/>
      <c r="G25" s="4">
        <v>0.0239475</v>
      </c>
      <c r="H25" s="4">
        <v>149243000</v>
      </c>
      <c r="I25" s="4"/>
    </row>
    <row r="26" customHeight="1" spans="1:9">
      <c r="A26" s="4">
        <v>0.024957</v>
      </c>
      <c r="B26" s="4">
        <v>148609000</v>
      </c>
      <c r="C26" s="4"/>
      <c r="D26" s="4">
        <v>0.0250294</v>
      </c>
      <c r="E26" s="4">
        <v>160027000</v>
      </c>
      <c r="F26" s="4"/>
      <c r="G26" s="4">
        <v>0.0249835</v>
      </c>
      <c r="H26" s="4">
        <v>147004000</v>
      </c>
      <c r="I26" s="4"/>
    </row>
    <row r="27" customHeight="1" spans="1:9">
      <c r="A27" s="4">
        <v>0.0259222</v>
      </c>
      <c r="B27" s="4">
        <v>161431000</v>
      </c>
      <c r="C27" s="4"/>
      <c r="D27" s="4">
        <v>0.0259978</v>
      </c>
      <c r="E27" s="4">
        <v>158052000</v>
      </c>
      <c r="F27" s="4"/>
      <c r="G27" s="4">
        <v>0.0259983</v>
      </c>
      <c r="H27" s="4">
        <v>148595000</v>
      </c>
      <c r="I27" s="4"/>
    </row>
    <row r="28" customHeight="1" spans="1:9">
      <c r="A28" s="4">
        <v>0.0269829</v>
      </c>
      <c r="B28" s="4">
        <v>151388000</v>
      </c>
      <c r="C28" s="4"/>
      <c r="D28" s="4">
        <v>0.0270185</v>
      </c>
      <c r="E28" s="4">
        <v>161301000</v>
      </c>
      <c r="F28" s="4"/>
      <c r="G28" s="4">
        <v>0.0270421</v>
      </c>
      <c r="H28" s="4">
        <v>149761000</v>
      </c>
      <c r="I28" s="4"/>
    </row>
    <row r="29" customHeight="1" spans="1:9">
      <c r="A29" s="4">
        <v>0.0279789</v>
      </c>
      <c r="B29" s="4">
        <v>152491000</v>
      </c>
      <c r="C29" s="4"/>
      <c r="D29" s="4">
        <v>0.0280016</v>
      </c>
      <c r="E29" s="4">
        <v>163745000</v>
      </c>
      <c r="F29" s="4"/>
      <c r="G29" s="4">
        <v>0.0280222</v>
      </c>
      <c r="H29" s="4">
        <v>152251000</v>
      </c>
      <c r="I29" s="4"/>
    </row>
    <row r="30" customHeight="1" spans="1:9">
      <c r="A30" s="4">
        <v>0.0289654</v>
      </c>
      <c r="B30" s="4">
        <v>147293000</v>
      </c>
      <c r="C30" s="4"/>
      <c r="D30" s="4">
        <v>0.0290077</v>
      </c>
      <c r="E30" s="4">
        <v>176213000</v>
      </c>
      <c r="F30" s="4"/>
      <c r="G30" s="4">
        <v>0.0289983</v>
      </c>
      <c r="H30" s="4">
        <v>148479000</v>
      </c>
      <c r="I30" s="4"/>
    </row>
    <row r="31" customHeight="1" spans="1:9">
      <c r="A31" s="4">
        <v>0.0300372</v>
      </c>
      <c r="B31" s="4">
        <v>146046000</v>
      </c>
      <c r="C31" s="4"/>
      <c r="D31" s="4">
        <v>0.0299812</v>
      </c>
      <c r="E31" s="4">
        <v>168577000</v>
      </c>
      <c r="F31" s="4"/>
      <c r="G31" s="4">
        <v>0.0299474</v>
      </c>
      <c r="H31" s="4">
        <v>156992000</v>
      </c>
      <c r="I31" s="4"/>
    </row>
    <row r="32" customHeight="1" spans="1:9">
      <c r="A32" s="4">
        <v>0.0309323</v>
      </c>
      <c r="B32" s="4">
        <v>147879000</v>
      </c>
      <c r="C32" s="4"/>
      <c r="D32" s="4">
        <v>0.0310202</v>
      </c>
      <c r="E32" s="4">
        <v>171115000</v>
      </c>
      <c r="F32" s="4"/>
      <c r="G32" s="4">
        <v>0.0309797</v>
      </c>
      <c r="H32" s="4">
        <v>162215000</v>
      </c>
      <c r="I32" s="4"/>
    </row>
    <row r="33" customHeight="1" spans="1:9">
      <c r="A33" s="4">
        <v>0.0320134</v>
      </c>
      <c r="B33" s="4">
        <v>147838000</v>
      </c>
      <c r="C33" s="4"/>
      <c r="D33" s="4">
        <v>0.0320434</v>
      </c>
      <c r="E33" s="4">
        <v>169975000</v>
      </c>
      <c r="F33" s="4"/>
      <c r="G33" s="4">
        <v>0.0318878</v>
      </c>
      <c r="H33" s="4">
        <v>156469000</v>
      </c>
      <c r="I33" s="4"/>
    </row>
    <row r="34" customHeight="1" spans="1:9">
      <c r="A34" s="4">
        <v>0.0330599</v>
      </c>
      <c r="B34" s="4">
        <v>149843000</v>
      </c>
      <c r="C34" s="4"/>
      <c r="D34" s="4">
        <v>0.0330343</v>
      </c>
      <c r="E34" s="4">
        <v>168485000</v>
      </c>
      <c r="F34" s="4"/>
      <c r="G34" s="4"/>
      <c r="H34" s="4"/>
      <c r="I34" s="4"/>
    </row>
    <row r="35" customHeight="1" spans="1:9">
      <c r="A35" s="4">
        <v>0.0339712</v>
      </c>
      <c r="B35" s="4">
        <v>146569000</v>
      </c>
      <c r="C35" s="4"/>
      <c r="D35" s="4">
        <v>0.0340003</v>
      </c>
      <c r="E35" s="4">
        <v>171832000</v>
      </c>
      <c r="F35" s="4"/>
      <c r="G35" s="4"/>
      <c r="H35" s="4"/>
      <c r="I35" s="4"/>
    </row>
    <row r="36" customHeight="1" spans="1:9">
      <c r="A36" s="4">
        <v>0.0349792</v>
      </c>
      <c r="B36" s="4">
        <v>145832000</v>
      </c>
      <c r="C36" s="4"/>
      <c r="D36" s="4">
        <v>0.0350136</v>
      </c>
      <c r="E36" s="4">
        <v>152070000</v>
      </c>
      <c r="F36" s="4"/>
      <c r="G36" s="4"/>
      <c r="H36" s="4"/>
      <c r="I36" s="4"/>
    </row>
    <row r="37" customHeight="1" spans="1:9">
      <c r="A37" s="4">
        <v>0.0360078</v>
      </c>
      <c r="B37" s="4">
        <v>150556000</v>
      </c>
      <c r="C37" s="4"/>
      <c r="D37" s="4">
        <v>0.0359662</v>
      </c>
      <c r="E37" s="4">
        <v>160585000</v>
      </c>
      <c r="F37" s="4"/>
      <c r="G37" s="4"/>
      <c r="H37" s="4"/>
      <c r="I37" s="4"/>
    </row>
    <row r="38" customHeight="1" spans="1:9">
      <c r="A38" s="4">
        <v>0.037004</v>
      </c>
      <c r="B38" s="4">
        <v>143608000</v>
      </c>
      <c r="C38" s="4"/>
      <c r="D38" s="4">
        <v>0.0369535</v>
      </c>
      <c r="E38" s="4">
        <v>170773000</v>
      </c>
      <c r="F38" s="4"/>
      <c r="G38" s="4"/>
      <c r="H38" s="4"/>
      <c r="I38" s="4"/>
    </row>
    <row r="39" customHeight="1" spans="1:9">
      <c r="A39" s="4">
        <v>0.037967</v>
      </c>
      <c r="B39" s="4">
        <v>148011000</v>
      </c>
      <c r="C39" s="4"/>
      <c r="D39" s="4">
        <v>0.0379783</v>
      </c>
      <c r="E39" s="4">
        <v>167691000</v>
      </c>
      <c r="F39" s="4"/>
      <c r="G39" s="4"/>
      <c r="H39" s="4"/>
      <c r="I39" s="4"/>
    </row>
    <row r="40" customHeight="1" spans="1:9">
      <c r="A40" s="4">
        <v>0.0388767</v>
      </c>
      <c r="B40" s="4">
        <v>155275000</v>
      </c>
      <c r="C40" s="4"/>
      <c r="D40" s="4">
        <v>0.0389621</v>
      </c>
      <c r="E40" s="4">
        <v>167016000</v>
      </c>
      <c r="F40" s="4"/>
      <c r="G40" s="4"/>
      <c r="H40" s="4"/>
      <c r="I40" s="4"/>
    </row>
    <row r="41" customHeight="1" spans="1:9">
      <c r="A41" s="4">
        <v>0.0399596</v>
      </c>
      <c r="B41" s="4">
        <v>149144000</v>
      </c>
      <c r="C41" s="4"/>
      <c r="D41" s="4">
        <v>0.0399833</v>
      </c>
      <c r="E41" s="4">
        <v>164057000</v>
      </c>
      <c r="F41" s="4"/>
      <c r="G41" s="4"/>
      <c r="H41" s="4"/>
      <c r="I41" s="4"/>
    </row>
    <row r="42" customHeight="1" spans="1:9">
      <c r="A42" s="4">
        <v>0.0410086</v>
      </c>
      <c r="B42" s="4">
        <v>155816000</v>
      </c>
      <c r="C42" s="4"/>
      <c r="D42" s="4">
        <v>0.0410304</v>
      </c>
      <c r="E42" s="4">
        <v>165824000</v>
      </c>
      <c r="F42" s="4"/>
      <c r="G42" s="4"/>
      <c r="H42" s="4"/>
      <c r="I42" s="4"/>
    </row>
    <row r="43" customHeight="1" spans="1:9">
      <c r="A43" s="4">
        <v>0.0419976</v>
      </c>
      <c r="B43" s="4">
        <v>150035000</v>
      </c>
      <c r="C43" s="4"/>
      <c r="D43" s="4">
        <v>0.0419987</v>
      </c>
      <c r="E43" s="4">
        <v>168557000</v>
      </c>
      <c r="F43" s="4"/>
      <c r="G43" s="4"/>
      <c r="H43" s="4"/>
      <c r="I43" s="4"/>
    </row>
    <row r="44" customHeight="1" spans="1:9">
      <c r="A44" s="4">
        <v>0.0429526</v>
      </c>
      <c r="B44" s="4">
        <v>152952000</v>
      </c>
      <c r="C44" s="4"/>
      <c r="D44" s="4">
        <v>0.0430261</v>
      </c>
      <c r="E44" s="4">
        <v>166091000</v>
      </c>
      <c r="F44" s="4"/>
      <c r="G44" s="4"/>
      <c r="H44" s="4"/>
      <c r="I44" s="4"/>
    </row>
    <row r="45" customHeight="1" spans="1:9">
      <c r="A45" s="4">
        <v>0.0440666</v>
      </c>
      <c r="B45" s="4">
        <v>146263000</v>
      </c>
      <c r="C45" s="4"/>
      <c r="D45" s="4">
        <v>0.0440602</v>
      </c>
      <c r="E45" s="4">
        <v>160891000</v>
      </c>
      <c r="F45" s="4"/>
      <c r="G45" s="4"/>
      <c r="H45" s="4"/>
      <c r="I45" s="4"/>
    </row>
    <row r="46" customHeight="1" spans="1:9">
      <c r="A46" s="4">
        <v>0.0450315</v>
      </c>
      <c r="B46" s="4">
        <v>144910000</v>
      </c>
      <c r="C46" s="4"/>
      <c r="D46" s="4">
        <v>0.0450072</v>
      </c>
      <c r="E46" s="4">
        <v>166102000</v>
      </c>
      <c r="F46" s="4"/>
      <c r="G46" s="4"/>
      <c r="H46" s="4"/>
      <c r="I46" s="4"/>
    </row>
    <row r="47" customHeight="1" spans="1:9">
      <c r="A47" s="4">
        <v>0.0460464</v>
      </c>
      <c r="B47" s="4">
        <v>154096000</v>
      </c>
      <c r="C47" s="4"/>
      <c r="D47" s="4">
        <v>0.0459464</v>
      </c>
      <c r="E47" s="4">
        <v>167673000</v>
      </c>
      <c r="F47" s="4"/>
      <c r="G47" s="4"/>
      <c r="H47" s="4"/>
      <c r="I47" s="4"/>
    </row>
    <row r="48" customHeight="1" spans="1:9">
      <c r="A48" s="4">
        <v>0.0470174</v>
      </c>
      <c r="B48" s="4">
        <v>151502000</v>
      </c>
      <c r="C48" s="4"/>
      <c r="D48" s="4">
        <v>0.0469512</v>
      </c>
      <c r="E48" s="4">
        <v>166652000</v>
      </c>
      <c r="F48" s="4"/>
      <c r="G48" s="4"/>
      <c r="H48" s="4"/>
      <c r="I48" s="4"/>
    </row>
    <row r="49" customHeight="1" spans="1:9">
      <c r="A49" s="4">
        <v>0.048029</v>
      </c>
      <c r="B49" s="4">
        <v>149747000</v>
      </c>
      <c r="C49" s="4"/>
      <c r="D49" s="4">
        <v>0.0479176</v>
      </c>
      <c r="E49" s="4">
        <v>166806000</v>
      </c>
      <c r="F49" s="4"/>
      <c r="G49" s="4"/>
      <c r="H49" s="4"/>
      <c r="I49" s="4"/>
    </row>
    <row r="50" customHeight="1" spans="1:9">
      <c r="A50" s="4">
        <v>0.048992</v>
      </c>
      <c r="B50" s="4">
        <v>150253000</v>
      </c>
      <c r="C50" s="4"/>
      <c r="D50" s="4">
        <v>0.0489916</v>
      </c>
      <c r="E50" s="4">
        <v>175109000</v>
      </c>
      <c r="F50" s="4"/>
      <c r="G50" s="4"/>
      <c r="H50" s="4"/>
      <c r="I50" s="4"/>
    </row>
    <row r="51" customHeight="1" spans="1:9">
      <c r="A51" s="4">
        <v>0.0499869</v>
      </c>
      <c r="B51" s="4">
        <v>157384000</v>
      </c>
      <c r="C51" s="4"/>
      <c r="D51" s="4">
        <v>0.0499658</v>
      </c>
      <c r="E51" s="4">
        <v>177989000</v>
      </c>
      <c r="F51" s="4"/>
      <c r="G51" s="4"/>
      <c r="H51" s="4"/>
      <c r="I51" s="4"/>
    </row>
    <row r="52" customHeight="1" spans="1:9">
      <c r="A52" s="4">
        <v>0.0510476</v>
      </c>
      <c r="B52" s="4">
        <v>154518000</v>
      </c>
      <c r="C52" s="4"/>
      <c r="D52" s="4">
        <v>0.0509774</v>
      </c>
      <c r="E52" s="4">
        <v>178558000</v>
      </c>
      <c r="F52" s="4"/>
      <c r="G52" s="4"/>
      <c r="H52" s="4"/>
      <c r="I52" s="4"/>
    </row>
    <row r="53" customHeight="1" spans="1:9">
      <c r="A53" s="4">
        <v>0.05203</v>
      </c>
      <c r="B53" s="4">
        <v>152453000</v>
      </c>
      <c r="C53" s="4"/>
      <c r="D53" s="4">
        <v>0.0520444</v>
      </c>
      <c r="E53" s="4">
        <v>173340000</v>
      </c>
      <c r="F53" s="4"/>
      <c r="G53" s="4"/>
      <c r="H53" s="4"/>
      <c r="I53" s="4"/>
    </row>
    <row r="54" customHeight="1" spans="1:9">
      <c r="A54" s="4">
        <v>0.0529967</v>
      </c>
      <c r="B54" s="4">
        <v>151794000</v>
      </c>
      <c r="C54" s="4"/>
      <c r="D54" s="4">
        <v>0.0530327</v>
      </c>
      <c r="E54" s="4">
        <v>172956000</v>
      </c>
      <c r="F54" s="4"/>
      <c r="G54" s="4"/>
      <c r="H54" s="4"/>
      <c r="I54" s="4"/>
    </row>
    <row r="55" customHeight="1" spans="1:9">
      <c r="A55" s="4">
        <v>0.0539626</v>
      </c>
      <c r="B55" s="4">
        <v>164297000</v>
      </c>
      <c r="C55" s="4"/>
      <c r="D55" s="4"/>
      <c r="E55" s="4"/>
      <c r="F55" s="4"/>
      <c r="G55" s="4"/>
      <c r="H55" s="4"/>
      <c r="I55" s="4"/>
    </row>
    <row r="56" customHeight="1" spans="1:9">
      <c r="A56" s="4"/>
      <c r="B56" s="4"/>
      <c r="C56" s="4"/>
      <c r="D56" s="4"/>
      <c r="E56" s="4"/>
      <c r="F56" s="4"/>
      <c r="G56" s="4"/>
      <c r="H56" s="4"/>
      <c r="I56" s="4"/>
    </row>
  </sheetData>
  <mergeCells count="1">
    <mergeCell ref="J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5"/>
  <sheetViews>
    <sheetView zoomScale="180" zoomScaleNormal="180" workbookViewId="0">
      <selection activeCell="C2" sqref="C2"/>
    </sheetView>
  </sheetViews>
  <sheetFormatPr defaultColWidth="9.01481481481481" defaultRowHeight="15" customHeight="1"/>
  <cols>
    <col min="1" max="1" width="13.562962962963" style="2" customWidth="1"/>
  </cols>
  <sheetData>
    <row r="1" customHeight="1" spans="1:46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N1" s="19" t="s">
        <v>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AA1" s="19" t="s">
        <v>4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N1" s="20" t="s">
        <v>5</v>
      </c>
      <c r="AO1" s="20" t="s">
        <v>6</v>
      </c>
      <c r="AP1" s="20" t="s">
        <v>7</v>
      </c>
      <c r="AQ1" s="20" t="s">
        <v>8</v>
      </c>
      <c r="AR1" s="3" t="s">
        <v>9</v>
      </c>
      <c r="AS1" s="3" t="s">
        <v>10</v>
      </c>
      <c r="AT1" s="3" t="s">
        <v>11</v>
      </c>
    </row>
    <row r="2" customHeight="1" spans="1:46">
      <c r="A2" s="4">
        <v>0.00104202</v>
      </c>
      <c r="B2" s="4">
        <v>0.00179094</v>
      </c>
      <c r="C2" s="4">
        <v>20966300000000</v>
      </c>
      <c r="D2" s="4">
        <v>4675300000</v>
      </c>
      <c r="E2" s="4">
        <v>0</v>
      </c>
      <c r="F2" s="4">
        <v>0</v>
      </c>
      <c r="G2" s="4">
        <v>2</v>
      </c>
      <c r="H2" s="4">
        <v>5841500000000</v>
      </c>
      <c r="I2" s="4">
        <v>4892930000000</v>
      </c>
      <c r="J2" s="4">
        <v>4964040000000</v>
      </c>
      <c r="K2" s="4">
        <v>5055090000000</v>
      </c>
      <c r="L2" s="4">
        <v>212759000000</v>
      </c>
      <c r="M2" s="4"/>
      <c r="N2" s="4">
        <v>0.000246174</v>
      </c>
      <c r="O2" s="4">
        <v>0.00102935</v>
      </c>
      <c r="P2" s="4">
        <v>20330900000000</v>
      </c>
      <c r="Q2" s="4">
        <v>3743700000</v>
      </c>
      <c r="R2" s="4">
        <v>0</v>
      </c>
      <c r="S2" s="4">
        <v>0</v>
      </c>
      <c r="T2" s="4">
        <v>2</v>
      </c>
      <c r="U2" s="4">
        <v>5627840000000</v>
      </c>
      <c r="V2" s="4">
        <v>4774670000000</v>
      </c>
      <c r="W2" s="4">
        <v>4863030000000</v>
      </c>
      <c r="X2" s="4">
        <v>4834510000000</v>
      </c>
      <c r="Y2" s="4">
        <v>230842000000</v>
      </c>
      <c r="Z2" s="4"/>
      <c r="AA2" s="4">
        <v>0.00113959</v>
      </c>
      <c r="AB2" s="4">
        <v>0.00188902</v>
      </c>
      <c r="AC2" s="4">
        <v>21154300000000</v>
      </c>
      <c r="AD2" s="4">
        <v>1060680000</v>
      </c>
      <c r="AE2" s="4">
        <v>0</v>
      </c>
      <c r="AF2" s="4">
        <v>0</v>
      </c>
      <c r="AG2" s="4">
        <v>2</v>
      </c>
      <c r="AH2" s="4">
        <v>5202280000000</v>
      </c>
      <c r="AI2" s="4">
        <v>5190980000000</v>
      </c>
      <c r="AJ2" s="4">
        <v>5253580000000</v>
      </c>
      <c r="AK2" s="4">
        <v>5193290000000</v>
      </c>
      <c r="AL2" s="4">
        <v>314122000000</v>
      </c>
      <c r="AM2" s="4"/>
      <c r="AN2" s="5">
        <f t="shared" ref="AN2:AN31" si="0">A2</f>
        <v>0.00104202</v>
      </c>
      <c r="AO2" s="5">
        <f t="shared" ref="AO2:AO31" si="1">(C2+P2+AC2)/3</f>
        <v>20817166666666.7</v>
      </c>
      <c r="AP2" s="5">
        <f t="shared" ref="AP2:AP31" si="2">MIN(C2,P2,AC2)</f>
        <v>20330900000000</v>
      </c>
      <c r="AQ2" s="5">
        <f t="shared" ref="AQ2:AQ31" si="3">MAX(C2,P2,AC2)</f>
        <v>21154300000000</v>
      </c>
      <c r="AR2" s="5">
        <f t="shared" ref="AR2:AR31" si="4">(L2+Y2+AL2)/3</f>
        <v>252574333333.333</v>
      </c>
      <c r="AS2" s="5">
        <f t="shared" ref="AS2:AS31" si="5">MIN(L2,Y2,AL2)</f>
        <v>212759000000</v>
      </c>
      <c r="AT2" s="5">
        <f t="shared" ref="AT2:AT31" si="6">MAX(L2,Y2,AL2)</f>
        <v>314122000000</v>
      </c>
    </row>
    <row r="3" customHeight="1" spans="1:46">
      <c r="A3" s="4">
        <v>0.00217019</v>
      </c>
      <c r="B3" s="4">
        <v>0.00293691</v>
      </c>
      <c r="C3" s="4">
        <v>22749700000000</v>
      </c>
      <c r="D3" s="4">
        <v>2431500000</v>
      </c>
      <c r="E3" s="4">
        <v>0</v>
      </c>
      <c r="F3" s="4">
        <v>0</v>
      </c>
      <c r="G3" s="4">
        <v>2</v>
      </c>
      <c r="H3" s="4">
        <v>6127000000000</v>
      </c>
      <c r="I3" s="4">
        <v>5056740000000</v>
      </c>
      <c r="J3" s="4">
        <v>5352380000000</v>
      </c>
      <c r="K3" s="4">
        <v>5735480000000</v>
      </c>
      <c r="L3" s="4">
        <v>478113000000</v>
      </c>
      <c r="M3" s="4"/>
      <c r="N3" s="4">
        <v>0.00106296</v>
      </c>
      <c r="O3" s="4">
        <v>0.00197564</v>
      </c>
      <c r="P3" s="4">
        <v>21744500000000</v>
      </c>
      <c r="Q3" s="4">
        <v>6275740000</v>
      </c>
      <c r="R3" s="4">
        <v>0</v>
      </c>
      <c r="S3" s="4">
        <v>0</v>
      </c>
      <c r="T3" s="4">
        <v>2</v>
      </c>
      <c r="U3" s="4">
        <v>6109810000000</v>
      </c>
      <c r="V3" s="4">
        <v>4998040000000</v>
      </c>
      <c r="W3" s="4">
        <v>5258820000000</v>
      </c>
      <c r="X3" s="4">
        <v>5053040000000</v>
      </c>
      <c r="Y3" s="4">
        <v>324818000000</v>
      </c>
      <c r="Z3" s="4"/>
      <c r="AA3" s="4">
        <v>0.0021483</v>
      </c>
      <c r="AB3" s="4">
        <v>0.00289959</v>
      </c>
      <c r="AC3" s="4">
        <v>23373300000000</v>
      </c>
      <c r="AD3" s="4">
        <v>3751640000</v>
      </c>
      <c r="AE3" s="4">
        <v>0</v>
      </c>
      <c r="AF3" s="4">
        <v>0</v>
      </c>
      <c r="AG3" s="4">
        <v>2</v>
      </c>
      <c r="AH3" s="4">
        <v>5527180000000</v>
      </c>
      <c r="AI3" s="4">
        <v>5476100000000</v>
      </c>
      <c r="AJ3" s="4">
        <v>5848000000000</v>
      </c>
      <c r="AK3" s="4">
        <v>5834020000000</v>
      </c>
      <c r="AL3" s="4">
        <v>688007000000</v>
      </c>
      <c r="AM3" s="4"/>
      <c r="AN3" s="5">
        <f t="shared" si="0"/>
        <v>0.00217019</v>
      </c>
      <c r="AO3" s="5">
        <f t="shared" si="1"/>
        <v>22622500000000</v>
      </c>
      <c r="AP3" s="5">
        <f t="shared" si="2"/>
        <v>21744500000000</v>
      </c>
      <c r="AQ3" s="5">
        <f t="shared" si="3"/>
        <v>23373300000000</v>
      </c>
      <c r="AR3" s="5">
        <f t="shared" si="4"/>
        <v>496979333333.333</v>
      </c>
      <c r="AS3" s="5">
        <f t="shared" si="5"/>
        <v>324818000000</v>
      </c>
      <c r="AT3" s="5">
        <f t="shared" si="6"/>
        <v>688007000000</v>
      </c>
    </row>
    <row r="4" customHeight="1" spans="1:46">
      <c r="A4" s="4">
        <v>0.00287935</v>
      </c>
      <c r="B4" s="4">
        <v>0.00361945</v>
      </c>
      <c r="C4" s="4">
        <v>23524300000000</v>
      </c>
      <c r="D4" s="4">
        <v>2523850000</v>
      </c>
      <c r="E4" s="4">
        <v>0</v>
      </c>
      <c r="F4" s="4">
        <v>0</v>
      </c>
      <c r="G4" s="4">
        <v>2</v>
      </c>
      <c r="H4" s="4">
        <v>6093800000000</v>
      </c>
      <c r="I4" s="4">
        <v>5418710000000</v>
      </c>
      <c r="J4" s="4">
        <v>5609460000000</v>
      </c>
      <c r="K4" s="4">
        <v>5755980000000</v>
      </c>
      <c r="L4" s="4">
        <v>646354000000</v>
      </c>
      <c r="M4" s="4"/>
      <c r="N4" s="4">
        <v>0.00178865</v>
      </c>
      <c r="O4" s="4">
        <v>0.00267112</v>
      </c>
      <c r="P4" s="4">
        <v>22347300000000</v>
      </c>
      <c r="Q4" s="4">
        <v>3754020000</v>
      </c>
      <c r="R4" s="4">
        <v>0</v>
      </c>
      <c r="S4" s="4">
        <v>0</v>
      </c>
      <c r="T4" s="4">
        <v>2</v>
      </c>
      <c r="U4" s="4">
        <v>6433320000000</v>
      </c>
      <c r="V4" s="4">
        <v>5061690000000</v>
      </c>
      <c r="W4" s="4">
        <v>5100350000000</v>
      </c>
      <c r="X4" s="4">
        <v>5361730000000</v>
      </c>
      <c r="Y4" s="4">
        <v>390187000000</v>
      </c>
      <c r="Z4" s="4"/>
      <c r="AA4" s="4">
        <v>0.00310114</v>
      </c>
      <c r="AB4" s="4">
        <v>0.00381142</v>
      </c>
      <c r="AC4" s="4">
        <v>25427500000000</v>
      </c>
      <c r="AD4" s="4">
        <v>4239570000</v>
      </c>
      <c r="AE4" s="4">
        <v>0</v>
      </c>
      <c r="AF4" s="4">
        <v>0</v>
      </c>
      <c r="AG4" s="4">
        <v>2</v>
      </c>
      <c r="AH4" s="4">
        <v>5540300000000</v>
      </c>
      <c r="AI4" s="4">
        <v>6657420000000</v>
      </c>
      <c r="AJ4" s="4">
        <v>7138820000000</v>
      </c>
      <c r="AK4" s="4">
        <v>5375490000000</v>
      </c>
      <c r="AL4" s="4">
        <v>715486000000</v>
      </c>
      <c r="AM4" s="4"/>
      <c r="AN4" s="5">
        <f t="shared" si="0"/>
        <v>0.00287935</v>
      </c>
      <c r="AO4" s="5">
        <f t="shared" si="1"/>
        <v>23766366666666.7</v>
      </c>
      <c r="AP4" s="5">
        <f t="shared" si="2"/>
        <v>22347300000000</v>
      </c>
      <c r="AQ4" s="5">
        <f t="shared" si="3"/>
        <v>25427500000000</v>
      </c>
      <c r="AR4" s="5">
        <f t="shared" si="4"/>
        <v>584009000000</v>
      </c>
      <c r="AS4" s="5">
        <f t="shared" si="5"/>
        <v>390187000000</v>
      </c>
      <c r="AT4" s="5">
        <f t="shared" si="6"/>
        <v>715486000000</v>
      </c>
    </row>
    <row r="5" customHeight="1" spans="1:46">
      <c r="A5" s="4">
        <v>0.0041307</v>
      </c>
      <c r="B5" s="4">
        <v>0.00486712</v>
      </c>
      <c r="C5" s="4">
        <v>24865500000000</v>
      </c>
      <c r="D5" s="4">
        <v>3110790000</v>
      </c>
      <c r="E5" s="4">
        <v>0</v>
      </c>
      <c r="F5" s="4">
        <v>0</v>
      </c>
      <c r="G5" s="4">
        <v>2</v>
      </c>
      <c r="H5" s="4">
        <v>7209420000000</v>
      </c>
      <c r="I5" s="4">
        <v>5771810000000</v>
      </c>
      <c r="J5" s="4">
        <v>5389690000000</v>
      </c>
      <c r="K5" s="4">
        <v>5573580000000</v>
      </c>
      <c r="L5" s="4">
        <v>920959000000</v>
      </c>
      <c r="M5" s="4"/>
      <c r="N5" s="4">
        <v>0.00300158</v>
      </c>
      <c r="O5" s="4">
        <v>0.00386116</v>
      </c>
      <c r="P5" s="4">
        <v>26964600000000</v>
      </c>
      <c r="Q5" s="4">
        <v>18726400000</v>
      </c>
      <c r="R5" s="4">
        <v>0</v>
      </c>
      <c r="S5" s="4">
        <v>0</v>
      </c>
      <c r="T5" s="4">
        <v>2</v>
      </c>
      <c r="U5" s="4">
        <v>6678240000000</v>
      </c>
      <c r="V5" s="4">
        <v>7521180000000</v>
      </c>
      <c r="W5" s="4">
        <v>5099380000000</v>
      </c>
      <c r="X5" s="4">
        <v>6925740000000</v>
      </c>
      <c r="Y5" s="4">
        <v>740044000000</v>
      </c>
      <c r="Z5" s="4"/>
      <c r="AA5" s="4">
        <v>0.00377128</v>
      </c>
      <c r="AB5" s="4">
        <v>0.00448214</v>
      </c>
      <c r="AC5" s="4">
        <v>24965000000000</v>
      </c>
      <c r="AD5" s="4">
        <v>2934250000</v>
      </c>
      <c r="AE5" s="4">
        <v>0</v>
      </c>
      <c r="AF5" s="4">
        <v>0</v>
      </c>
      <c r="AG5" s="4">
        <v>2</v>
      </c>
      <c r="AH5" s="4">
        <v>6025670000000</v>
      </c>
      <c r="AI5" s="4">
        <v>5955190000000</v>
      </c>
      <c r="AJ5" s="4">
        <v>6588090000000</v>
      </c>
      <c r="AK5" s="4">
        <v>5654540000000</v>
      </c>
      <c r="AL5" s="4">
        <v>741474000000</v>
      </c>
      <c r="AM5" s="4"/>
      <c r="AN5" s="5">
        <f t="shared" si="0"/>
        <v>0.0041307</v>
      </c>
      <c r="AO5" s="5">
        <f t="shared" si="1"/>
        <v>25598366666666.7</v>
      </c>
      <c r="AP5" s="5">
        <f t="shared" si="2"/>
        <v>24865500000000</v>
      </c>
      <c r="AQ5" s="5">
        <f t="shared" si="3"/>
        <v>26964600000000</v>
      </c>
      <c r="AR5" s="5">
        <f t="shared" si="4"/>
        <v>800825666666.667</v>
      </c>
      <c r="AS5" s="5">
        <f t="shared" si="5"/>
        <v>740044000000</v>
      </c>
      <c r="AT5" s="5">
        <f t="shared" si="6"/>
        <v>920959000000</v>
      </c>
    </row>
    <row r="6" customHeight="1" spans="1:46">
      <c r="A6" s="4">
        <v>0.00500823</v>
      </c>
      <c r="B6" s="4">
        <v>0.00575766</v>
      </c>
      <c r="C6" s="4">
        <v>25957700000000</v>
      </c>
      <c r="D6" s="4">
        <v>5247360000</v>
      </c>
      <c r="E6" s="4">
        <v>0</v>
      </c>
      <c r="F6" s="4">
        <v>0</v>
      </c>
      <c r="G6" s="4">
        <v>2</v>
      </c>
      <c r="H6" s="4">
        <v>6622860000000</v>
      </c>
      <c r="I6" s="4">
        <v>6145120000000</v>
      </c>
      <c r="J6" s="4">
        <v>6040700000000</v>
      </c>
      <c r="K6" s="4">
        <v>5902840000000</v>
      </c>
      <c r="L6" s="4">
        <v>1246150000000</v>
      </c>
      <c r="M6" s="4"/>
      <c r="N6" s="4">
        <v>0.00400231</v>
      </c>
      <c r="O6" s="4">
        <v>0.00479001</v>
      </c>
      <c r="P6" s="4">
        <v>27284600000000</v>
      </c>
      <c r="Q6" s="4">
        <v>26795400000</v>
      </c>
      <c r="R6" s="4">
        <v>0</v>
      </c>
      <c r="S6" s="4">
        <v>0</v>
      </c>
      <c r="T6" s="4">
        <v>2</v>
      </c>
      <c r="U6" s="4">
        <v>7242430000000</v>
      </c>
      <c r="V6" s="4">
        <v>7761030000000</v>
      </c>
      <c r="W6" s="4">
        <v>5513570000000</v>
      </c>
      <c r="X6" s="4">
        <v>5706360000000</v>
      </c>
      <c r="Y6" s="4">
        <v>1061240000000</v>
      </c>
      <c r="Z6" s="4"/>
      <c r="AA6" s="4">
        <v>0.00506494</v>
      </c>
      <c r="AB6" s="4">
        <v>0.00578759</v>
      </c>
      <c r="AC6" s="4">
        <v>27335500000000</v>
      </c>
      <c r="AD6" s="4">
        <v>4247220000</v>
      </c>
      <c r="AE6" s="4">
        <v>0</v>
      </c>
      <c r="AF6" s="4">
        <v>0</v>
      </c>
      <c r="AG6" s="4">
        <v>2</v>
      </c>
      <c r="AH6" s="4">
        <v>7395650000000</v>
      </c>
      <c r="AI6" s="4">
        <v>7063870000000</v>
      </c>
      <c r="AJ6" s="4">
        <v>5391300000000</v>
      </c>
      <c r="AK6" s="4">
        <v>6449560000000</v>
      </c>
      <c r="AL6" s="4">
        <v>1035080000000</v>
      </c>
      <c r="AM6" s="4"/>
      <c r="AN6" s="5">
        <f t="shared" si="0"/>
        <v>0.00500823</v>
      </c>
      <c r="AO6" s="5">
        <f t="shared" si="1"/>
        <v>26859266666666.7</v>
      </c>
      <c r="AP6" s="5">
        <f t="shared" si="2"/>
        <v>25957700000000</v>
      </c>
      <c r="AQ6" s="5">
        <f t="shared" si="3"/>
        <v>27335500000000</v>
      </c>
      <c r="AR6" s="5">
        <f t="shared" si="4"/>
        <v>1114156666666.67</v>
      </c>
      <c r="AS6" s="5">
        <f t="shared" si="5"/>
        <v>1035080000000</v>
      </c>
      <c r="AT6" s="5">
        <f t="shared" si="6"/>
        <v>1246150000000</v>
      </c>
    </row>
    <row r="7" customHeight="1" spans="1:46">
      <c r="A7" s="4">
        <v>0.00603591</v>
      </c>
      <c r="B7" s="4">
        <v>0.00675241</v>
      </c>
      <c r="C7" s="4">
        <v>25675700000000</v>
      </c>
      <c r="D7" s="4">
        <v>4204760000</v>
      </c>
      <c r="E7" s="4">
        <v>0</v>
      </c>
      <c r="F7" s="4">
        <v>0</v>
      </c>
      <c r="G7" s="4">
        <v>2</v>
      </c>
      <c r="H7" s="4">
        <v>6586200000000</v>
      </c>
      <c r="I7" s="4">
        <v>5641190000000</v>
      </c>
      <c r="J7" s="4">
        <v>6579420000000</v>
      </c>
      <c r="K7" s="4">
        <v>5474400000000</v>
      </c>
      <c r="L7" s="4">
        <v>1394480000000</v>
      </c>
      <c r="M7" s="4"/>
      <c r="N7" s="4">
        <v>0.00502322</v>
      </c>
      <c r="O7" s="4">
        <v>0.00581017</v>
      </c>
      <c r="P7" s="4">
        <v>26221300000000</v>
      </c>
      <c r="Q7" s="4">
        <v>27585400000</v>
      </c>
      <c r="R7" s="4">
        <v>0</v>
      </c>
      <c r="S7" s="4">
        <v>0</v>
      </c>
      <c r="T7" s="4">
        <v>2</v>
      </c>
      <c r="U7" s="4">
        <v>7194090000000</v>
      </c>
      <c r="V7" s="4">
        <v>6278740000000</v>
      </c>
      <c r="W7" s="4">
        <v>5965300000000</v>
      </c>
      <c r="X7" s="4">
        <v>5593710000000</v>
      </c>
      <c r="Y7" s="4">
        <v>1189450000000</v>
      </c>
      <c r="Z7" s="4"/>
      <c r="AA7" s="4">
        <v>0.00598056</v>
      </c>
      <c r="AB7" s="4">
        <v>0.00670434</v>
      </c>
      <c r="AC7" s="4">
        <v>26298500000000</v>
      </c>
      <c r="AD7" s="4">
        <v>5893070000</v>
      </c>
      <c r="AE7" s="4">
        <v>0</v>
      </c>
      <c r="AF7" s="4">
        <v>0</v>
      </c>
      <c r="AG7" s="4">
        <v>2</v>
      </c>
      <c r="AH7" s="4">
        <v>5431510000000</v>
      </c>
      <c r="AI7" s="4">
        <v>7031730000000</v>
      </c>
      <c r="AJ7" s="4">
        <v>5401160000000</v>
      </c>
      <c r="AK7" s="4">
        <v>7212230000000</v>
      </c>
      <c r="AL7" s="4">
        <v>1221870000000</v>
      </c>
      <c r="AM7" s="4"/>
      <c r="AN7" s="5">
        <f t="shared" si="0"/>
        <v>0.00603591</v>
      </c>
      <c r="AO7" s="5">
        <f t="shared" si="1"/>
        <v>26065166666666.7</v>
      </c>
      <c r="AP7" s="5">
        <f t="shared" si="2"/>
        <v>25675700000000</v>
      </c>
      <c r="AQ7" s="5">
        <f t="shared" si="3"/>
        <v>26298500000000</v>
      </c>
      <c r="AR7" s="5">
        <f t="shared" si="4"/>
        <v>1268600000000</v>
      </c>
      <c r="AS7" s="5">
        <f t="shared" si="5"/>
        <v>1189450000000</v>
      </c>
      <c r="AT7" s="5">
        <f t="shared" si="6"/>
        <v>1394480000000</v>
      </c>
    </row>
    <row r="8" customHeight="1" spans="1:46">
      <c r="A8" s="4">
        <v>0.00701899</v>
      </c>
      <c r="B8" s="4">
        <v>0.00772004</v>
      </c>
      <c r="C8" s="4">
        <v>27605400000000</v>
      </c>
      <c r="D8" s="4">
        <v>6897270000</v>
      </c>
      <c r="E8" s="4">
        <v>0</v>
      </c>
      <c r="F8" s="4">
        <v>0</v>
      </c>
      <c r="G8" s="4">
        <v>2</v>
      </c>
      <c r="H8" s="4">
        <v>7387640000000</v>
      </c>
      <c r="I8" s="4">
        <v>5217900000000</v>
      </c>
      <c r="J8" s="4">
        <v>7633890000000</v>
      </c>
      <c r="K8" s="4">
        <v>5863590000000</v>
      </c>
      <c r="L8" s="4">
        <v>1502260000000</v>
      </c>
      <c r="M8" s="4"/>
      <c r="N8" s="4">
        <v>0.00598238</v>
      </c>
      <c r="O8" s="4">
        <v>0.00683322</v>
      </c>
      <c r="P8" s="4">
        <v>26365100000000</v>
      </c>
      <c r="Q8" s="4">
        <v>24378800000</v>
      </c>
      <c r="R8" s="4">
        <v>0</v>
      </c>
      <c r="S8" s="4">
        <v>0</v>
      </c>
      <c r="T8" s="4">
        <v>2</v>
      </c>
      <c r="U8" s="4">
        <v>6811060000000</v>
      </c>
      <c r="V8" s="4">
        <v>6537280000000</v>
      </c>
      <c r="W8" s="4">
        <v>6025720000000</v>
      </c>
      <c r="X8" s="4">
        <v>5798230000000</v>
      </c>
      <c r="Y8" s="4">
        <v>1192800000000</v>
      </c>
      <c r="Z8" s="4"/>
      <c r="AA8" s="4">
        <v>0.00704911</v>
      </c>
      <c r="AB8" s="4">
        <v>0.00774399</v>
      </c>
      <c r="AC8" s="4">
        <v>27153600000000</v>
      </c>
      <c r="AD8" s="4">
        <v>7837490000</v>
      </c>
      <c r="AE8" s="4">
        <v>0</v>
      </c>
      <c r="AF8" s="4">
        <v>0</v>
      </c>
      <c r="AG8" s="4">
        <v>2</v>
      </c>
      <c r="AH8" s="4">
        <v>5477530000000</v>
      </c>
      <c r="AI8" s="4">
        <v>7934280000000</v>
      </c>
      <c r="AJ8" s="4">
        <v>5699400000000</v>
      </c>
      <c r="AK8" s="4">
        <v>6981820000000</v>
      </c>
      <c r="AL8" s="4">
        <v>1060510000000</v>
      </c>
      <c r="AM8" s="4"/>
      <c r="AN8" s="5">
        <f t="shared" si="0"/>
        <v>0.00701899</v>
      </c>
      <c r="AO8" s="5">
        <f t="shared" si="1"/>
        <v>27041366666666.7</v>
      </c>
      <c r="AP8" s="5">
        <f t="shared" si="2"/>
        <v>26365100000000</v>
      </c>
      <c r="AQ8" s="5">
        <f t="shared" si="3"/>
        <v>27605400000000</v>
      </c>
      <c r="AR8" s="5">
        <f t="shared" si="4"/>
        <v>1251856666666.67</v>
      </c>
      <c r="AS8" s="5">
        <f t="shared" si="5"/>
        <v>1060510000000</v>
      </c>
      <c r="AT8" s="5">
        <f t="shared" si="6"/>
        <v>1502260000000</v>
      </c>
    </row>
    <row r="9" customHeight="1" spans="1:46">
      <c r="A9" s="4">
        <v>0.00797803</v>
      </c>
      <c r="B9" s="4">
        <v>0.00866793</v>
      </c>
      <c r="C9" s="4">
        <v>26646400000000</v>
      </c>
      <c r="D9" s="4">
        <v>5583770000</v>
      </c>
      <c r="E9" s="4">
        <v>0</v>
      </c>
      <c r="F9" s="4">
        <v>0</v>
      </c>
      <c r="G9" s="4">
        <v>2</v>
      </c>
      <c r="H9" s="4">
        <v>7273120000000</v>
      </c>
      <c r="I9" s="4">
        <v>5392910000000</v>
      </c>
      <c r="J9" s="4">
        <v>6819630000000</v>
      </c>
      <c r="K9" s="4">
        <v>5820600000000</v>
      </c>
      <c r="L9" s="4">
        <v>1340170000000</v>
      </c>
      <c r="M9" s="4"/>
      <c r="N9" s="4">
        <v>0.00696948</v>
      </c>
      <c r="O9" s="4">
        <v>0.00780528</v>
      </c>
      <c r="P9" s="4">
        <v>29368900000000</v>
      </c>
      <c r="Q9" s="4">
        <v>24795400000</v>
      </c>
      <c r="R9" s="4">
        <v>0</v>
      </c>
      <c r="S9" s="4">
        <v>0</v>
      </c>
      <c r="T9" s="4">
        <v>2</v>
      </c>
      <c r="U9" s="4">
        <v>7893750000000</v>
      </c>
      <c r="V9" s="4">
        <v>8257490000000</v>
      </c>
      <c r="W9" s="4">
        <v>6063860000000</v>
      </c>
      <c r="X9" s="4">
        <v>5739170000000</v>
      </c>
      <c r="Y9" s="4">
        <v>1414640000000</v>
      </c>
      <c r="Z9" s="4"/>
      <c r="AA9" s="4">
        <v>0.00796862</v>
      </c>
      <c r="AB9" s="4">
        <v>0.00868544</v>
      </c>
      <c r="AC9" s="4">
        <v>27201700000000</v>
      </c>
      <c r="AD9" s="4">
        <v>4864980000</v>
      </c>
      <c r="AE9" s="4">
        <v>0</v>
      </c>
      <c r="AF9" s="4">
        <v>0</v>
      </c>
      <c r="AG9" s="4">
        <v>2</v>
      </c>
      <c r="AH9" s="4">
        <v>6094370000000</v>
      </c>
      <c r="AI9" s="4">
        <v>7340010000000</v>
      </c>
      <c r="AJ9" s="4">
        <v>5766470000000</v>
      </c>
      <c r="AK9" s="4">
        <v>6382070000000</v>
      </c>
      <c r="AL9" s="4">
        <v>1618790000000</v>
      </c>
      <c r="AM9" s="4"/>
      <c r="AN9" s="5">
        <f t="shared" si="0"/>
        <v>0.00797803</v>
      </c>
      <c r="AO9" s="5">
        <f t="shared" si="1"/>
        <v>27739000000000</v>
      </c>
      <c r="AP9" s="5">
        <f t="shared" si="2"/>
        <v>26646400000000</v>
      </c>
      <c r="AQ9" s="5">
        <f t="shared" si="3"/>
        <v>29368900000000</v>
      </c>
      <c r="AR9" s="5">
        <f t="shared" si="4"/>
        <v>1457866666666.67</v>
      </c>
      <c r="AS9" s="5">
        <f t="shared" si="5"/>
        <v>1340170000000</v>
      </c>
      <c r="AT9" s="5">
        <f t="shared" si="6"/>
        <v>1618790000000</v>
      </c>
    </row>
    <row r="10" customHeight="1" spans="1:46">
      <c r="A10" s="4">
        <v>0.00904661</v>
      </c>
      <c r="B10" s="4">
        <v>0.00979569</v>
      </c>
      <c r="C10" s="4">
        <v>26764900000000</v>
      </c>
      <c r="D10" s="4">
        <v>4509060000</v>
      </c>
      <c r="E10" s="4">
        <v>0</v>
      </c>
      <c r="F10" s="4">
        <v>0</v>
      </c>
      <c r="G10" s="4">
        <v>2</v>
      </c>
      <c r="H10" s="4">
        <v>6540370000000</v>
      </c>
      <c r="I10" s="4">
        <v>6043770000000</v>
      </c>
      <c r="J10" s="4">
        <v>6950680000000</v>
      </c>
      <c r="K10" s="4">
        <v>5828920000000</v>
      </c>
      <c r="L10" s="4">
        <v>1401120000000</v>
      </c>
      <c r="M10" s="4"/>
      <c r="N10" s="4">
        <v>0.00797529</v>
      </c>
      <c r="O10" s="4">
        <v>0.00876205</v>
      </c>
      <c r="P10" s="4">
        <v>30762000000000</v>
      </c>
      <c r="Q10" s="4">
        <v>29653100000</v>
      </c>
      <c r="R10" s="4">
        <v>0</v>
      </c>
      <c r="S10" s="4">
        <v>0</v>
      </c>
      <c r="T10" s="4">
        <v>2</v>
      </c>
      <c r="U10" s="4">
        <v>8169680000000</v>
      </c>
      <c r="V10" s="4">
        <v>7632100000000</v>
      </c>
      <c r="W10" s="4">
        <v>7977190000000</v>
      </c>
      <c r="X10" s="4">
        <v>5282230000000</v>
      </c>
      <c r="Y10" s="4">
        <v>1700780000000</v>
      </c>
      <c r="Z10" s="4"/>
      <c r="AA10" s="4">
        <v>0.00892959</v>
      </c>
      <c r="AB10" s="4">
        <v>0.0096623</v>
      </c>
      <c r="AC10" s="4">
        <v>27370500000000</v>
      </c>
      <c r="AD10" s="4">
        <v>7241240000</v>
      </c>
      <c r="AE10" s="4">
        <v>0</v>
      </c>
      <c r="AF10" s="4">
        <v>0</v>
      </c>
      <c r="AG10" s="4">
        <v>2</v>
      </c>
      <c r="AH10" s="4">
        <v>6344760000000</v>
      </c>
      <c r="AI10" s="4">
        <v>7886510000000</v>
      </c>
      <c r="AJ10" s="4">
        <v>5464650000000</v>
      </c>
      <c r="AK10" s="4">
        <v>6014070000000</v>
      </c>
      <c r="AL10" s="4">
        <v>1660500000000</v>
      </c>
      <c r="AM10" s="4"/>
      <c r="AN10" s="5">
        <f t="shared" si="0"/>
        <v>0.00904661</v>
      </c>
      <c r="AO10" s="5">
        <f t="shared" si="1"/>
        <v>28299133333333.3</v>
      </c>
      <c r="AP10" s="5">
        <f t="shared" si="2"/>
        <v>26764900000000</v>
      </c>
      <c r="AQ10" s="5">
        <f t="shared" si="3"/>
        <v>30762000000000</v>
      </c>
      <c r="AR10" s="5">
        <f t="shared" si="4"/>
        <v>1587466666666.67</v>
      </c>
      <c r="AS10" s="5">
        <f t="shared" si="5"/>
        <v>1401120000000</v>
      </c>
      <c r="AT10" s="5">
        <f t="shared" si="6"/>
        <v>1700780000000</v>
      </c>
    </row>
    <row r="11" customHeight="1" spans="1:46">
      <c r="A11" s="4">
        <v>0.0100808</v>
      </c>
      <c r="B11" s="4">
        <v>0.0108063</v>
      </c>
      <c r="C11" s="4">
        <v>27148000000000</v>
      </c>
      <c r="D11" s="4">
        <v>4150280000</v>
      </c>
      <c r="E11" s="4">
        <v>0</v>
      </c>
      <c r="F11" s="4">
        <v>0</v>
      </c>
      <c r="G11" s="4">
        <v>2</v>
      </c>
      <c r="H11" s="4">
        <v>6451140000000</v>
      </c>
      <c r="I11" s="4">
        <v>6439860000000</v>
      </c>
      <c r="J11" s="4">
        <v>6959390000000</v>
      </c>
      <c r="K11" s="4">
        <v>5904690000000</v>
      </c>
      <c r="L11" s="4">
        <v>1392900000000</v>
      </c>
      <c r="M11" s="4"/>
      <c r="N11" s="4">
        <v>0.00898273</v>
      </c>
      <c r="O11" s="4">
        <v>0.00979663</v>
      </c>
      <c r="P11" s="4">
        <v>28855700000000</v>
      </c>
      <c r="Q11" s="4">
        <v>24620700000</v>
      </c>
      <c r="R11" s="4">
        <v>0</v>
      </c>
      <c r="S11" s="4">
        <v>0</v>
      </c>
      <c r="T11" s="4">
        <v>2</v>
      </c>
      <c r="U11" s="4">
        <v>7747430000000</v>
      </c>
      <c r="V11" s="4">
        <v>8165260000000</v>
      </c>
      <c r="W11" s="4">
        <v>6512760000000</v>
      </c>
      <c r="X11" s="4">
        <v>4721820000000</v>
      </c>
      <c r="Y11" s="4">
        <v>1708420000000</v>
      </c>
      <c r="Z11" s="4"/>
      <c r="AA11" s="4">
        <v>0.00995778</v>
      </c>
      <c r="AB11" s="4">
        <v>0.0106854</v>
      </c>
      <c r="AC11" s="4">
        <v>27048900000000</v>
      </c>
      <c r="AD11" s="4">
        <v>11300300000</v>
      </c>
      <c r="AE11" s="4">
        <v>0</v>
      </c>
      <c r="AF11" s="4">
        <v>0</v>
      </c>
      <c r="AG11" s="4">
        <v>2</v>
      </c>
      <c r="AH11" s="4">
        <v>6026610000000</v>
      </c>
      <c r="AI11" s="4">
        <v>7365130000000</v>
      </c>
      <c r="AJ11" s="4">
        <v>5710100000000</v>
      </c>
      <c r="AK11" s="4">
        <v>6208380000000</v>
      </c>
      <c r="AL11" s="4">
        <v>1738650000000</v>
      </c>
      <c r="AM11" s="4"/>
      <c r="AN11" s="5">
        <f t="shared" si="0"/>
        <v>0.0100808</v>
      </c>
      <c r="AO11" s="5">
        <f t="shared" si="1"/>
        <v>27684200000000</v>
      </c>
      <c r="AP11" s="5">
        <f t="shared" si="2"/>
        <v>27048900000000</v>
      </c>
      <c r="AQ11" s="5">
        <f t="shared" si="3"/>
        <v>28855700000000</v>
      </c>
      <c r="AR11" s="5">
        <f t="shared" si="4"/>
        <v>1613323333333.33</v>
      </c>
      <c r="AS11" s="5">
        <f t="shared" si="5"/>
        <v>1392900000000</v>
      </c>
      <c r="AT11" s="5">
        <f t="shared" si="6"/>
        <v>1738650000000</v>
      </c>
    </row>
    <row r="12" customHeight="1" spans="1:46">
      <c r="A12" s="4">
        <v>0.0109768</v>
      </c>
      <c r="B12" s="4">
        <v>0.0116747</v>
      </c>
      <c r="C12" s="4">
        <v>28247100000000</v>
      </c>
      <c r="D12" s="4">
        <v>9615030000</v>
      </c>
      <c r="E12" s="4">
        <v>0</v>
      </c>
      <c r="F12" s="4">
        <v>0</v>
      </c>
      <c r="G12" s="4">
        <v>2</v>
      </c>
      <c r="H12" s="4">
        <v>6347490000000</v>
      </c>
      <c r="I12" s="4">
        <v>7217460000000</v>
      </c>
      <c r="J12" s="4">
        <v>7126540000000</v>
      </c>
      <c r="K12" s="4">
        <v>6390310000000</v>
      </c>
      <c r="L12" s="4">
        <v>1165290000000</v>
      </c>
      <c r="M12" s="4"/>
      <c r="N12" s="4">
        <v>0.0100154</v>
      </c>
      <c r="O12" s="4">
        <v>0.0108521</v>
      </c>
      <c r="P12" s="4">
        <v>30898100000000</v>
      </c>
      <c r="Q12" s="4">
        <v>27038500000</v>
      </c>
      <c r="R12" s="4">
        <v>0</v>
      </c>
      <c r="S12" s="4">
        <v>0</v>
      </c>
      <c r="T12" s="4">
        <v>2</v>
      </c>
      <c r="U12" s="4">
        <v>8148390000000</v>
      </c>
      <c r="V12" s="4">
        <v>9730500000000</v>
      </c>
      <c r="W12" s="4">
        <v>5779970000000</v>
      </c>
      <c r="X12" s="4">
        <v>5312290000000</v>
      </c>
      <c r="Y12" s="4">
        <v>1926980000000</v>
      </c>
      <c r="Z12" s="4"/>
      <c r="AA12" s="4">
        <v>0.0109968</v>
      </c>
      <c r="AB12" s="4">
        <v>0.0117031</v>
      </c>
      <c r="AC12" s="4">
        <v>26825000000000</v>
      </c>
      <c r="AD12" s="4">
        <v>6996390000</v>
      </c>
      <c r="AE12" s="4">
        <v>0</v>
      </c>
      <c r="AF12" s="4">
        <v>0</v>
      </c>
      <c r="AG12" s="4">
        <v>2</v>
      </c>
      <c r="AH12" s="4">
        <v>5615490000000</v>
      </c>
      <c r="AI12" s="4">
        <v>7579280000000</v>
      </c>
      <c r="AJ12" s="4">
        <v>6062400000000</v>
      </c>
      <c r="AK12" s="4">
        <v>6024800000000</v>
      </c>
      <c r="AL12" s="4">
        <v>1543000000000</v>
      </c>
      <c r="AM12" s="4"/>
      <c r="AN12" s="5">
        <f t="shared" si="0"/>
        <v>0.0109768</v>
      </c>
      <c r="AO12" s="5">
        <f t="shared" si="1"/>
        <v>28656733333333.3</v>
      </c>
      <c r="AP12" s="5">
        <f t="shared" si="2"/>
        <v>26825000000000</v>
      </c>
      <c r="AQ12" s="5">
        <f t="shared" si="3"/>
        <v>30898100000000</v>
      </c>
      <c r="AR12" s="5">
        <f t="shared" si="4"/>
        <v>1545090000000</v>
      </c>
      <c r="AS12" s="5">
        <f t="shared" si="5"/>
        <v>1165290000000</v>
      </c>
      <c r="AT12" s="5">
        <f t="shared" si="6"/>
        <v>1926980000000</v>
      </c>
    </row>
    <row r="13" customHeight="1" spans="1:46">
      <c r="A13" s="4">
        <v>0.0119701</v>
      </c>
      <c r="B13" s="4">
        <v>0.0127146</v>
      </c>
      <c r="C13" s="4">
        <v>27239900000000</v>
      </c>
      <c r="D13" s="4">
        <v>6008510000</v>
      </c>
      <c r="E13" s="4">
        <v>0</v>
      </c>
      <c r="F13" s="4">
        <v>0</v>
      </c>
      <c r="G13" s="4">
        <v>2</v>
      </c>
      <c r="H13" s="4">
        <v>6729210000000</v>
      </c>
      <c r="I13" s="4">
        <v>6192820000000</v>
      </c>
      <c r="J13" s="4">
        <v>5880520000000</v>
      </c>
      <c r="K13" s="4">
        <v>6692520000000</v>
      </c>
      <c r="L13" s="4">
        <v>1744780000000</v>
      </c>
      <c r="M13" s="4"/>
      <c r="N13" s="4">
        <v>0.0110273</v>
      </c>
      <c r="O13" s="4">
        <v>0.0118454</v>
      </c>
      <c r="P13" s="4">
        <v>31638400000000</v>
      </c>
      <c r="Q13" s="4">
        <v>32128900000</v>
      </c>
      <c r="R13" s="4">
        <v>0</v>
      </c>
      <c r="S13" s="4">
        <v>0</v>
      </c>
      <c r="T13" s="4">
        <v>2</v>
      </c>
      <c r="U13" s="4">
        <v>8658210000000</v>
      </c>
      <c r="V13" s="4">
        <v>9146560000000</v>
      </c>
      <c r="W13" s="4">
        <v>6645120000000</v>
      </c>
      <c r="X13" s="4">
        <v>5317460000000</v>
      </c>
      <c r="Y13" s="4">
        <v>1871090000000</v>
      </c>
      <c r="Z13" s="4"/>
      <c r="AA13" s="4">
        <v>0.0120121</v>
      </c>
      <c r="AB13" s="4">
        <v>0.0127056</v>
      </c>
      <c r="AC13" s="4">
        <v>26618300000000</v>
      </c>
      <c r="AD13" s="4">
        <v>5756910000</v>
      </c>
      <c r="AE13" s="4">
        <v>0</v>
      </c>
      <c r="AF13" s="4">
        <v>0</v>
      </c>
      <c r="AG13" s="4">
        <v>2</v>
      </c>
      <c r="AH13" s="4">
        <v>5923940000000</v>
      </c>
      <c r="AI13" s="4">
        <v>6719550000000</v>
      </c>
      <c r="AJ13" s="4">
        <v>6287550000000</v>
      </c>
      <c r="AK13" s="4">
        <v>6221750000000</v>
      </c>
      <c r="AL13" s="4">
        <v>1465470000000</v>
      </c>
      <c r="AM13" s="4"/>
      <c r="AN13" s="5">
        <f t="shared" si="0"/>
        <v>0.0119701</v>
      </c>
      <c r="AO13" s="5">
        <f t="shared" si="1"/>
        <v>28498866666666.7</v>
      </c>
      <c r="AP13" s="5">
        <f t="shared" si="2"/>
        <v>26618300000000</v>
      </c>
      <c r="AQ13" s="5">
        <f t="shared" si="3"/>
        <v>31638400000000</v>
      </c>
      <c r="AR13" s="5">
        <f t="shared" si="4"/>
        <v>1693780000000</v>
      </c>
      <c r="AS13" s="5">
        <f t="shared" si="5"/>
        <v>1465470000000</v>
      </c>
      <c r="AT13" s="5">
        <f t="shared" si="6"/>
        <v>1871090000000</v>
      </c>
    </row>
    <row r="14" customHeight="1" spans="1:46">
      <c r="A14" s="4">
        <v>0.0131279</v>
      </c>
      <c r="B14" s="4">
        <v>0.013835</v>
      </c>
      <c r="C14" s="4">
        <v>28890200000000</v>
      </c>
      <c r="D14" s="4">
        <v>5980920000</v>
      </c>
      <c r="E14" s="4">
        <v>0</v>
      </c>
      <c r="F14" s="4">
        <v>0</v>
      </c>
      <c r="G14" s="4">
        <v>2</v>
      </c>
      <c r="H14" s="4">
        <v>6989430000000</v>
      </c>
      <c r="I14" s="4">
        <v>6609800000000</v>
      </c>
      <c r="J14" s="4">
        <v>7599260000000</v>
      </c>
      <c r="K14" s="4">
        <v>5901510000000</v>
      </c>
      <c r="L14" s="4">
        <v>1790190000000</v>
      </c>
      <c r="M14" s="4"/>
      <c r="N14" s="4">
        <v>0.0119842</v>
      </c>
      <c r="O14" s="4">
        <v>0.0127882</v>
      </c>
      <c r="P14" s="4">
        <v>29507500000000</v>
      </c>
      <c r="Q14" s="4">
        <v>31688700000</v>
      </c>
      <c r="R14" s="4">
        <v>0</v>
      </c>
      <c r="S14" s="4">
        <v>0</v>
      </c>
      <c r="T14" s="4">
        <v>2</v>
      </c>
      <c r="U14" s="4">
        <v>7494310000000</v>
      </c>
      <c r="V14" s="4">
        <v>8430770000000</v>
      </c>
      <c r="W14" s="4">
        <v>6468210000000</v>
      </c>
      <c r="X14" s="4">
        <v>5161640000000</v>
      </c>
      <c r="Y14" s="4">
        <v>1952520000000</v>
      </c>
      <c r="Z14" s="4"/>
      <c r="AA14" s="4">
        <v>0.0129114</v>
      </c>
      <c r="AB14" s="4">
        <v>0.0136311</v>
      </c>
      <c r="AC14" s="4">
        <v>25358900000000</v>
      </c>
      <c r="AD14" s="4">
        <v>6181560000</v>
      </c>
      <c r="AE14" s="4">
        <v>0</v>
      </c>
      <c r="AF14" s="4">
        <v>0</v>
      </c>
      <c r="AG14" s="4">
        <v>2</v>
      </c>
      <c r="AH14" s="4">
        <v>5518650000000</v>
      </c>
      <c r="AI14" s="4">
        <v>6073990000000</v>
      </c>
      <c r="AJ14" s="4">
        <v>6788640000000</v>
      </c>
      <c r="AK14" s="4">
        <v>5672740000000</v>
      </c>
      <c r="AL14" s="4">
        <v>1304920000000</v>
      </c>
      <c r="AM14" s="4"/>
      <c r="AN14" s="5">
        <f t="shared" si="0"/>
        <v>0.0131279</v>
      </c>
      <c r="AO14" s="5">
        <f t="shared" si="1"/>
        <v>27918866666666.7</v>
      </c>
      <c r="AP14" s="5">
        <f t="shared" si="2"/>
        <v>25358900000000</v>
      </c>
      <c r="AQ14" s="5">
        <f t="shared" si="3"/>
        <v>29507500000000</v>
      </c>
      <c r="AR14" s="5">
        <f t="shared" si="4"/>
        <v>1682543333333.33</v>
      </c>
      <c r="AS14" s="5">
        <f t="shared" si="5"/>
        <v>1304920000000</v>
      </c>
      <c r="AT14" s="5">
        <f t="shared" si="6"/>
        <v>1952520000000</v>
      </c>
    </row>
    <row r="15" customHeight="1" spans="1:46">
      <c r="A15" s="4">
        <v>0.0139836</v>
      </c>
      <c r="B15" s="4">
        <v>0.0146927</v>
      </c>
      <c r="C15" s="4">
        <v>27525300000000</v>
      </c>
      <c r="D15" s="4">
        <v>7471620000</v>
      </c>
      <c r="E15" s="4">
        <v>0</v>
      </c>
      <c r="F15" s="4">
        <v>0</v>
      </c>
      <c r="G15" s="4">
        <v>2</v>
      </c>
      <c r="H15" s="4">
        <v>6369940000000</v>
      </c>
      <c r="I15" s="4">
        <v>6344400000000</v>
      </c>
      <c r="J15" s="4">
        <v>7150470000000</v>
      </c>
      <c r="K15" s="4">
        <v>5827050000000</v>
      </c>
      <c r="L15" s="4">
        <v>1833400000000</v>
      </c>
      <c r="M15" s="4"/>
      <c r="N15" s="4">
        <v>0.0130274</v>
      </c>
      <c r="O15" s="4">
        <v>0.0138643</v>
      </c>
      <c r="P15" s="4">
        <v>29878000000000</v>
      </c>
      <c r="Q15" s="4">
        <v>31120600000</v>
      </c>
      <c r="R15" s="4">
        <v>0</v>
      </c>
      <c r="S15" s="4">
        <v>0</v>
      </c>
      <c r="T15" s="4">
        <v>2</v>
      </c>
      <c r="U15" s="4">
        <v>8468240000000</v>
      </c>
      <c r="V15" s="4">
        <v>7855670000000</v>
      </c>
      <c r="W15" s="4">
        <v>6732950000000</v>
      </c>
      <c r="X15" s="4">
        <v>4883830000000</v>
      </c>
      <c r="Y15" s="4">
        <v>1936310000000</v>
      </c>
      <c r="Z15" s="4"/>
      <c r="AA15" s="4">
        <v>0.0140355</v>
      </c>
      <c r="AB15" s="4">
        <v>0.0146944</v>
      </c>
      <c r="AC15" s="4">
        <v>26232600000000</v>
      </c>
      <c r="AD15" s="4">
        <v>10661000000</v>
      </c>
      <c r="AE15" s="4">
        <v>0</v>
      </c>
      <c r="AF15" s="4">
        <v>0</v>
      </c>
      <c r="AG15" s="4">
        <v>2</v>
      </c>
      <c r="AH15" s="4">
        <v>5974800000000</v>
      </c>
      <c r="AI15" s="4">
        <v>6952560000000</v>
      </c>
      <c r="AJ15" s="4">
        <v>7052510000000</v>
      </c>
      <c r="AK15" s="4">
        <v>5069230000000</v>
      </c>
      <c r="AL15" s="4">
        <v>1183480000000</v>
      </c>
      <c r="AM15" s="4"/>
      <c r="AN15" s="5">
        <f t="shared" si="0"/>
        <v>0.0139836</v>
      </c>
      <c r="AO15" s="5">
        <f t="shared" si="1"/>
        <v>27878633333333.3</v>
      </c>
      <c r="AP15" s="5">
        <f t="shared" si="2"/>
        <v>26232600000000</v>
      </c>
      <c r="AQ15" s="5">
        <f t="shared" si="3"/>
        <v>29878000000000</v>
      </c>
      <c r="AR15" s="5">
        <f t="shared" si="4"/>
        <v>1651063333333.33</v>
      </c>
      <c r="AS15" s="5">
        <f t="shared" si="5"/>
        <v>1183480000000</v>
      </c>
      <c r="AT15" s="5">
        <f t="shared" si="6"/>
        <v>1936310000000</v>
      </c>
    </row>
    <row r="16" customHeight="1" spans="1:46">
      <c r="A16" s="4">
        <v>0.0150589</v>
      </c>
      <c r="B16" s="4">
        <v>0.0157703</v>
      </c>
      <c r="C16" s="4">
        <v>27692800000000</v>
      </c>
      <c r="D16" s="4">
        <v>6438000000</v>
      </c>
      <c r="E16" s="4">
        <v>0</v>
      </c>
      <c r="F16" s="4">
        <v>0</v>
      </c>
      <c r="G16" s="4">
        <v>2</v>
      </c>
      <c r="H16" s="4">
        <v>6474610000000</v>
      </c>
      <c r="I16" s="4">
        <v>7062130000000</v>
      </c>
      <c r="J16" s="4">
        <v>6710800000000</v>
      </c>
      <c r="K16" s="4">
        <v>5641340000000</v>
      </c>
      <c r="L16" s="4">
        <v>1803920000000</v>
      </c>
      <c r="M16" s="4"/>
      <c r="N16" s="4">
        <v>0.0140448</v>
      </c>
      <c r="O16" s="4">
        <v>0.0148894</v>
      </c>
      <c r="P16" s="4">
        <v>32193300000000</v>
      </c>
      <c r="Q16" s="4">
        <v>18353100000</v>
      </c>
      <c r="R16" s="4">
        <v>0</v>
      </c>
      <c r="S16" s="4">
        <v>0</v>
      </c>
      <c r="T16" s="4">
        <v>2</v>
      </c>
      <c r="U16" s="4">
        <v>7965480000000</v>
      </c>
      <c r="V16" s="4">
        <v>8600790000000</v>
      </c>
      <c r="W16" s="4">
        <v>8362390000000</v>
      </c>
      <c r="X16" s="4">
        <v>5317960000000</v>
      </c>
      <c r="Y16" s="4">
        <v>1946700000000</v>
      </c>
      <c r="Z16" s="4"/>
      <c r="AA16" s="4">
        <v>0.0150428</v>
      </c>
      <c r="AB16" s="4">
        <v>0.0157417</v>
      </c>
      <c r="AC16" s="4">
        <v>27589600000000</v>
      </c>
      <c r="AD16" s="4">
        <v>5894890000</v>
      </c>
      <c r="AE16" s="4">
        <v>0</v>
      </c>
      <c r="AF16" s="4">
        <v>0</v>
      </c>
      <c r="AG16" s="4">
        <v>2</v>
      </c>
      <c r="AH16" s="4">
        <v>5470590000000</v>
      </c>
      <c r="AI16" s="4">
        <v>6643070000000</v>
      </c>
      <c r="AJ16" s="4">
        <v>8295790000000</v>
      </c>
      <c r="AK16" s="4">
        <v>5440600000000</v>
      </c>
      <c r="AL16" s="4">
        <v>1739550000000</v>
      </c>
      <c r="AM16" s="4"/>
      <c r="AN16" s="5">
        <f t="shared" si="0"/>
        <v>0.0150589</v>
      </c>
      <c r="AO16" s="5">
        <f t="shared" si="1"/>
        <v>29158566666666.7</v>
      </c>
      <c r="AP16" s="5">
        <f t="shared" si="2"/>
        <v>27589600000000</v>
      </c>
      <c r="AQ16" s="5">
        <f t="shared" si="3"/>
        <v>32193300000000</v>
      </c>
      <c r="AR16" s="5">
        <f t="shared" si="4"/>
        <v>1830056666666.67</v>
      </c>
      <c r="AS16" s="5">
        <f t="shared" si="5"/>
        <v>1739550000000</v>
      </c>
      <c r="AT16" s="5">
        <f t="shared" si="6"/>
        <v>1946700000000</v>
      </c>
    </row>
    <row r="17" customHeight="1" spans="1:46">
      <c r="A17" s="4">
        <v>0.0159503</v>
      </c>
      <c r="B17" s="4">
        <v>0.0166487</v>
      </c>
      <c r="C17" s="4">
        <v>28486700000000</v>
      </c>
      <c r="D17" s="4">
        <v>5156570000</v>
      </c>
      <c r="E17" s="4">
        <v>0</v>
      </c>
      <c r="F17" s="4">
        <v>0</v>
      </c>
      <c r="G17" s="4">
        <v>2</v>
      </c>
      <c r="H17" s="4">
        <v>7117180000000</v>
      </c>
      <c r="I17" s="4">
        <v>7591900000000</v>
      </c>
      <c r="J17" s="4">
        <v>5993480000000</v>
      </c>
      <c r="K17" s="4">
        <v>6009450000000</v>
      </c>
      <c r="L17" s="4">
        <v>1774650000000</v>
      </c>
      <c r="M17" s="4"/>
      <c r="N17" s="4">
        <v>0.0150208</v>
      </c>
      <c r="O17" s="4">
        <v>0.0158478</v>
      </c>
      <c r="P17" s="4">
        <v>30687900000000</v>
      </c>
      <c r="Q17" s="4">
        <v>37902000000</v>
      </c>
      <c r="R17" s="4">
        <v>0</v>
      </c>
      <c r="S17" s="4">
        <v>0</v>
      </c>
      <c r="T17" s="4">
        <v>2</v>
      </c>
      <c r="U17" s="4">
        <v>7764640000000</v>
      </c>
      <c r="V17" s="4">
        <v>8233410000000</v>
      </c>
      <c r="W17" s="4">
        <v>7070590000000</v>
      </c>
      <c r="X17" s="4">
        <v>5589140000000</v>
      </c>
      <c r="Y17" s="4">
        <v>2030090000000</v>
      </c>
      <c r="Z17" s="4"/>
      <c r="AA17" s="4">
        <v>0.0161557</v>
      </c>
      <c r="AB17" s="4">
        <v>0.0168444</v>
      </c>
      <c r="AC17" s="4">
        <v>28869400000000</v>
      </c>
      <c r="AD17" s="4">
        <v>4733450000</v>
      </c>
      <c r="AE17" s="4">
        <v>0</v>
      </c>
      <c r="AF17" s="4">
        <v>0</v>
      </c>
      <c r="AG17" s="4">
        <v>2</v>
      </c>
      <c r="AH17" s="4">
        <v>6052920000000</v>
      </c>
      <c r="AI17" s="4">
        <v>6143100000000</v>
      </c>
      <c r="AJ17" s="4">
        <v>8423820000000</v>
      </c>
      <c r="AK17" s="4">
        <v>6303530000000</v>
      </c>
      <c r="AL17" s="4">
        <v>1946000000000</v>
      </c>
      <c r="AM17" s="4"/>
      <c r="AN17" s="5">
        <f t="shared" si="0"/>
        <v>0.0159503</v>
      </c>
      <c r="AO17" s="5">
        <f t="shared" si="1"/>
        <v>29348000000000</v>
      </c>
      <c r="AP17" s="5">
        <f t="shared" si="2"/>
        <v>28486700000000</v>
      </c>
      <c r="AQ17" s="5">
        <f t="shared" si="3"/>
        <v>30687900000000</v>
      </c>
      <c r="AR17" s="5">
        <f t="shared" si="4"/>
        <v>1916913333333.33</v>
      </c>
      <c r="AS17" s="5">
        <f t="shared" si="5"/>
        <v>1774650000000</v>
      </c>
      <c r="AT17" s="5">
        <f t="shared" si="6"/>
        <v>2030090000000</v>
      </c>
    </row>
    <row r="18" customHeight="1" spans="1:46">
      <c r="A18" s="4">
        <v>0.0169981</v>
      </c>
      <c r="B18" s="4">
        <v>0.017703</v>
      </c>
      <c r="C18" s="4">
        <v>27461200000000</v>
      </c>
      <c r="D18" s="4">
        <v>6609120000</v>
      </c>
      <c r="E18" s="4">
        <v>0</v>
      </c>
      <c r="F18" s="4">
        <v>0</v>
      </c>
      <c r="G18" s="4">
        <v>2</v>
      </c>
      <c r="H18" s="4">
        <v>7007100000000</v>
      </c>
      <c r="I18" s="4">
        <v>6534120000000</v>
      </c>
      <c r="J18" s="4">
        <v>5676100000000</v>
      </c>
      <c r="K18" s="4">
        <v>6507390000000</v>
      </c>
      <c r="L18" s="4">
        <v>1736450000000</v>
      </c>
      <c r="M18" s="4"/>
      <c r="N18" s="4">
        <v>0.0160182</v>
      </c>
      <c r="O18" s="4">
        <v>0.0168539</v>
      </c>
      <c r="P18" s="4">
        <v>31853700000000</v>
      </c>
      <c r="Q18" s="4">
        <v>33959400000</v>
      </c>
      <c r="R18" s="4">
        <v>0</v>
      </c>
      <c r="S18" s="4">
        <v>0</v>
      </c>
      <c r="T18" s="4">
        <v>2</v>
      </c>
      <c r="U18" s="4">
        <v>7050690000000</v>
      </c>
      <c r="V18" s="4">
        <v>9379810000000</v>
      </c>
      <c r="W18" s="4">
        <v>6789310000000</v>
      </c>
      <c r="X18" s="4">
        <v>6550780000000</v>
      </c>
      <c r="Y18" s="4">
        <v>2083100000000</v>
      </c>
      <c r="Z18" s="4"/>
      <c r="AA18" s="4">
        <v>0.0169781</v>
      </c>
      <c r="AB18" s="4">
        <v>0.0176887</v>
      </c>
      <c r="AC18" s="4">
        <v>28348400000000</v>
      </c>
      <c r="AD18" s="4">
        <v>9770770000</v>
      </c>
      <c r="AE18" s="4">
        <v>0</v>
      </c>
      <c r="AF18" s="4">
        <v>0</v>
      </c>
      <c r="AG18" s="4">
        <v>2</v>
      </c>
      <c r="AH18" s="4">
        <v>6329230000000</v>
      </c>
      <c r="AI18" s="4">
        <v>6293340000000</v>
      </c>
      <c r="AJ18" s="4">
        <v>7345470000000</v>
      </c>
      <c r="AK18" s="4">
        <v>6253410000000</v>
      </c>
      <c r="AL18" s="4">
        <v>2126950000000</v>
      </c>
      <c r="AM18" s="4"/>
      <c r="AN18" s="5">
        <f t="shared" si="0"/>
        <v>0.0169981</v>
      </c>
      <c r="AO18" s="5">
        <f t="shared" si="1"/>
        <v>29221100000000</v>
      </c>
      <c r="AP18" s="5">
        <f t="shared" si="2"/>
        <v>27461200000000</v>
      </c>
      <c r="AQ18" s="5">
        <f t="shared" si="3"/>
        <v>31853700000000</v>
      </c>
      <c r="AR18" s="5">
        <f t="shared" si="4"/>
        <v>1982166666666.67</v>
      </c>
      <c r="AS18" s="5">
        <f t="shared" si="5"/>
        <v>1736450000000</v>
      </c>
      <c r="AT18" s="5">
        <f t="shared" si="6"/>
        <v>2126950000000</v>
      </c>
    </row>
    <row r="19" customHeight="1" spans="1:46">
      <c r="A19" s="4">
        <v>0.0179449</v>
      </c>
      <c r="B19" s="4">
        <v>0.0186607</v>
      </c>
      <c r="C19" s="4">
        <v>28831300000000</v>
      </c>
      <c r="D19" s="4">
        <v>6194050000</v>
      </c>
      <c r="E19" s="4">
        <v>0</v>
      </c>
      <c r="F19" s="4">
        <v>0</v>
      </c>
      <c r="G19" s="4">
        <v>2</v>
      </c>
      <c r="H19" s="4">
        <v>7820780000000</v>
      </c>
      <c r="I19" s="4">
        <v>6285390000000</v>
      </c>
      <c r="J19" s="4">
        <v>5897740000000</v>
      </c>
      <c r="K19" s="4">
        <v>6696600000000</v>
      </c>
      <c r="L19" s="4">
        <v>2130780000000</v>
      </c>
      <c r="M19" s="4"/>
      <c r="N19" s="4">
        <v>0.0169917</v>
      </c>
      <c r="O19" s="4">
        <v>0.0177951</v>
      </c>
      <c r="P19" s="4">
        <v>30797000000000</v>
      </c>
      <c r="Q19" s="4">
        <v>40857300000</v>
      </c>
      <c r="R19" s="4">
        <v>0</v>
      </c>
      <c r="S19" s="4">
        <v>0</v>
      </c>
      <c r="T19" s="4">
        <v>2</v>
      </c>
      <c r="U19" s="4">
        <v>6753290000000</v>
      </c>
      <c r="V19" s="4">
        <v>8958020000000</v>
      </c>
      <c r="W19" s="4">
        <v>6698520000000</v>
      </c>
      <c r="X19" s="4">
        <v>5952010000000</v>
      </c>
      <c r="Y19" s="4">
        <v>2435130000000</v>
      </c>
      <c r="Z19" s="4"/>
      <c r="AA19" s="4">
        <v>0.0180262</v>
      </c>
      <c r="AB19" s="4">
        <v>0.018717</v>
      </c>
      <c r="AC19" s="4">
        <v>26659200000000</v>
      </c>
      <c r="AD19" s="4">
        <v>6268570000</v>
      </c>
      <c r="AE19" s="4">
        <v>0</v>
      </c>
      <c r="AF19" s="4">
        <v>0</v>
      </c>
      <c r="AG19" s="4">
        <v>2</v>
      </c>
      <c r="AH19" s="4">
        <v>6093850000000</v>
      </c>
      <c r="AI19" s="4">
        <v>5802010000000</v>
      </c>
      <c r="AJ19" s="4">
        <v>6627420000000</v>
      </c>
      <c r="AK19" s="4">
        <v>6270500000000</v>
      </c>
      <c r="AL19" s="4">
        <v>1865440000000</v>
      </c>
      <c r="AM19" s="4"/>
      <c r="AN19" s="5">
        <f t="shared" si="0"/>
        <v>0.0179449</v>
      </c>
      <c r="AO19" s="5">
        <f t="shared" si="1"/>
        <v>28762500000000</v>
      </c>
      <c r="AP19" s="5">
        <f t="shared" si="2"/>
        <v>26659200000000</v>
      </c>
      <c r="AQ19" s="5">
        <f t="shared" si="3"/>
        <v>30797000000000</v>
      </c>
      <c r="AR19" s="5">
        <f t="shared" si="4"/>
        <v>2143783333333.33</v>
      </c>
      <c r="AS19" s="5">
        <f t="shared" si="5"/>
        <v>1865440000000</v>
      </c>
      <c r="AT19" s="5">
        <f t="shared" si="6"/>
        <v>2435130000000</v>
      </c>
    </row>
    <row r="20" customHeight="1" spans="1:46">
      <c r="A20" s="4">
        <v>0.0190204</v>
      </c>
      <c r="B20" s="4">
        <v>0.0197802</v>
      </c>
      <c r="C20" s="4">
        <v>27428900000000</v>
      </c>
      <c r="D20" s="4">
        <v>5630820000</v>
      </c>
      <c r="E20" s="4">
        <v>0</v>
      </c>
      <c r="F20" s="4">
        <v>0</v>
      </c>
      <c r="G20" s="4">
        <v>2</v>
      </c>
      <c r="H20" s="4">
        <v>6941350000000</v>
      </c>
      <c r="I20" s="4">
        <v>6985280000000</v>
      </c>
      <c r="J20" s="4">
        <v>5186670000000</v>
      </c>
      <c r="K20" s="4">
        <v>6375210000000</v>
      </c>
      <c r="L20" s="4">
        <v>1940380000000</v>
      </c>
      <c r="M20" s="4"/>
      <c r="N20" s="4">
        <v>0.0179888</v>
      </c>
      <c r="O20" s="4">
        <v>0.0188275</v>
      </c>
      <c r="P20" s="4">
        <v>32276600000000</v>
      </c>
      <c r="Q20" s="4">
        <v>39447000000</v>
      </c>
      <c r="R20" s="4">
        <v>0</v>
      </c>
      <c r="S20" s="4">
        <v>0</v>
      </c>
      <c r="T20" s="4">
        <v>2</v>
      </c>
      <c r="U20" s="4">
        <v>7513280000000</v>
      </c>
      <c r="V20" s="4">
        <v>9385760000000</v>
      </c>
      <c r="W20" s="4">
        <v>6945110000000</v>
      </c>
      <c r="X20" s="4">
        <v>5732200000000</v>
      </c>
      <c r="Y20" s="4">
        <v>2700120000000</v>
      </c>
      <c r="Z20" s="4"/>
      <c r="AA20" s="4">
        <v>0.0190051</v>
      </c>
      <c r="AB20" s="4">
        <v>0.0196829</v>
      </c>
      <c r="AC20" s="4">
        <v>29976100000000</v>
      </c>
      <c r="AD20" s="4">
        <v>3731650000</v>
      </c>
      <c r="AE20" s="4">
        <v>0</v>
      </c>
      <c r="AF20" s="4">
        <v>0</v>
      </c>
      <c r="AG20" s="4">
        <v>2</v>
      </c>
      <c r="AH20" s="4">
        <v>6467170000000</v>
      </c>
      <c r="AI20" s="4">
        <v>6282900000000</v>
      </c>
      <c r="AJ20" s="4">
        <v>8399960000000</v>
      </c>
      <c r="AK20" s="4">
        <v>6911650000000</v>
      </c>
      <c r="AL20" s="4">
        <v>1913910000000</v>
      </c>
      <c r="AM20" s="4"/>
      <c r="AN20" s="5">
        <f t="shared" si="0"/>
        <v>0.0190204</v>
      </c>
      <c r="AO20" s="5">
        <f t="shared" si="1"/>
        <v>29893866666666.7</v>
      </c>
      <c r="AP20" s="5">
        <f t="shared" si="2"/>
        <v>27428900000000</v>
      </c>
      <c r="AQ20" s="5">
        <f t="shared" si="3"/>
        <v>32276600000000</v>
      </c>
      <c r="AR20" s="5">
        <f t="shared" si="4"/>
        <v>2184803333333.33</v>
      </c>
      <c r="AS20" s="5">
        <f t="shared" si="5"/>
        <v>1913910000000</v>
      </c>
      <c r="AT20" s="5">
        <f t="shared" si="6"/>
        <v>2700120000000</v>
      </c>
    </row>
    <row r="21" customHeight="1" spans="1:46">
      <c r="A21" s="4">
        <v>0.0200359</v>
      </c>
      <c r="B21" s="4">
        <v>0.0207794</v>
      </c>
      <c r="C21" s="4">
        <v>28555800000000</v>
      </c>
      <c r="D21" s="4">
        <v>7516940000</v>
      </c>
      <c r="E21" s="4">
        <v>0</v>
      </c>
      <c r="F21" s="4">
        <v>0</v>
      </c>
      <c r="G21" s="4">
        <v>2</v>
      </c>
      <c r="H21" s="4">
        <v>7757060000000</v>
      </c>
      <c r="I21" s="4">
        <v>6821220000000</v>
      </c>
      <c r="J21" s="4">
        <v>5336070000000</v>
      </c>
      <c r="K21" s="4">
        <v>6483810000000</v>
      </c>
      <c r="L21" s="4">
        <v>2157610000000</v>
      </c>
      <c r="M21" s="4"/>
      <c r="N21" s="4">
        <v>0.0189754</v>
      </c>
      <c r="O21" s="4">
        <v>0.0197377</v>
      </c>
      <c r="P21" s="4">
        <v>32384100000000</v>
      </c>
      <c r="Q21" s="4">
        <v>35103000000</v>
      </c>
      <c r="R21" s="4">
        <v>0</v>
      </c>
      <c r="S21" s="4">
        <v>0</v>
      </c>
      <c r="T21" s="4">
        <v>2</v>
      </c>
      <c r="U21" s="4">
        <v>7677910000000</v>
      </c>
      <c r="V21" s="4">
        <v>9248000000000</v>
      </c>
      <c r="W21" s="4">
        <v>6990050000000</v>
      </c>
      <c r="X21" s="4">
        <v>5881230000000</v>
      </c>
      <c r="Y21" s="4">
        <v>2586920000000</v>
      </c>
      <c r="Z21" s="4"/>
      <c r="AA21" s="4">
        <v>0.0199444</v>
      </c>
      <c r="AB21" s="4">
        <v>0.020631</v>
      </c>
      <c r="AC21" s="4">
        <v>31938700000000</v>
      </c>
      <c r="AD21" s="4">
        <v>6015910000</v>
      </c>
      <c r="AE21" s="4">
        <v>0</v>
      </c>
      <c r="AF21" s="4">
        <v>0</v>
      </c>
      <c r="AG21" s="4">
        <v>2</v>
      </c>
      <c r="AH21" s="4">
        <v>6760640000000</v>
      </c>
      <c r="AI21" s="4">
        <v>6977810000000</v>
      </c>
      <c r="AJ21" s="4">
        <v>8064180000000</v>
      </c>
      <c r="AK21" s="4">
        <v>7884710000000</v>
      </c>
      <c r="AL21" s="4">
        <v>2251370000000</v>
      </c>
      <c r="AM21" s="4"/>
      <c r="AN21" s="5">
        <f t="shared" si="0"/>
        <v>0.0200359</v>
      </c>
      <c r="AO21" s="5">
        <f t="shared" si="1"/>
        <v>30959533333333.3</v>
      </c>
      <c r="AP21" s="5">
        <f t="shared" si="2"/>
        <v>28555800000000</v>
      </c>
      <c r="AQ21" s="5">
        <f t="shared" si="3"/>
        <v>32384100000000</v>
      </c>
      <c r="AR21" s="5">
        <f t="shared" si="4"/>
        <v>2331966666666.67</v>
      </c>
      <c r="AS21" s="5">
        <f t="shared" si="5"/>
        <v>2157610000000</v>
      </c>
      <c r="AT21" s="5">
        <f t="shared" si="6"/>
        <v>2586920000000</v>
      </c>
    </row>
    <row r="22" customHeight="1" spans="1:46">
      <c r="A22" s="4">
        <v>0.0210272</v>
      </c>
      <c r="B22" s="4">
        <v>0.0217797</v>
      </c>
      <c r="C22" s="4">
        <v>27114700000000</v>
      </c>
      <c r="D22" s="4">
        <v>7317370000</v>
      </c>
      <c r="E22" s="4">
        <v>0</v>
      </c>
      <c r="F22" s="4">
        <v>0</v>
      </c>
      <c r="G22" s="4">
        <v>2</v>
      </c>
      <c r="H22" s="4">
        <v>7470730000000</v>
      </c>
      <c r="I22" s="4">
        <v>6191940000000</v>
      </c>
      <c r="J22" s="4">
        <v>5392230000000</v>
      </c>
      <c r="K22" s="4">
        <v>6236770000000</v>
      </c>
      <c r="L22" s="4">
        <v>1823000000000</v>
      </c>
      <c r="M22" s="4"/>
      <c r="N22" s="4">
        <v>0.020003</v>
      </c>
      <c r="O22" s="4">
        <v>0.0208162</v>
      </c>
      <c r="P22" s="4">
        <v>32865100000000</v>
      </c>
      <c r="Q22" s="4">
        <v>32234400000</v>
      </c>
      <c r="R22" s="4">
        <v>0</v>
      </c>
      <c r="S22" s="4">
        <v>0</v>
      </c>
      <c r="T22" s="4">
        <v>2</v>
      </c>
      <c r="U22" s="4">
        <v>8596130000000</v>
      </c>
      <c r="V22" s="4">
        <v>8114970000000</v>
      </c>
      <c r="W22" s="4">
        <v>7365980000000</v>
      </c>
      <c r="X22" s="4">
        <v>6487720000000</v>
      </c>
      <c r="Y22" s="4">
        <v>2300330000000</v>
      </c>
      <c r="Z22" s="4"/>
      <c r="AA22" s="4">
        <v>0.0210546</v>
      </c>
      <c r="AB22" s="4">
        <v>0.0217389</v>
      </c>
      <c r="AC22" s="4">
        <v>33095000000000</v>
      </c>
      <c r="AD22" s="4">
        <v>4494250000</v>
      </c>
      <c r="AE22" s="4">
        <v>0</v>
      </c>
      <c r="AF22" s="4">
        <v>0</v>
      </c>
      <c r="AG22" s="4">
        <v>2</v>
      </c>
      <c r="AH22" s="4">
        <v>6740830000000</v>
      </c>
      <c r="AI22" s="4">
        <v>5966470000000</v>
      </c>
      <c r="AJ22" s="4">
        <v>9439480000000</v>
      </c>
      <c r="AK22" s="4">
        <v>8402650000000</v>
      </c>
      <c r="AL22" s="4">
        <v>2545610000000</v>
      </c>
      <c r="AM22" s="4"/>
      <c r="AN22" s="5">
        <f t="shared" si="0"/>
        <v>0.0210272</v>
      </c>
      <c r="AO22" s="5">
        <f t="shared" si="1"/>
        <v>31024933333333.3</v>
      </c>
      <c r="AP22" s="5">
        <f t="shared" si="2"/>
        <v>27114700000000</v>
      </c>
      <c r="AQ22" s="5">
        <f t="shared" si="3"/>
        <v>33095000000000</v>
      </c>
      <c r="AR22" s="5">
        <f t="shared" si="4"/>
        <v>2222980000000</v>
      </c>
      <c r="AS22" s="5">
        <f t="shared" si="5"/>
        <v>1823000000000</v>
      </c>
      <c r="AT22" s="5">
        <f t="shared" si="6"/>
        <v>2545610000000</v>
      </c>
    </row>
    <row r="23" customHeight="1" spans="1:46">
      <c r="A23" s="4">
        <v>0.0221185</v>
      </c>
      <c r="B23" s="4">
        <v>0.0228846</v>
      </c>
      <c r="C23" s="4">
        <v>26142200000000</v>
      </c>
      <c r="D23" s="4">
        <v>4907560000</v>
      </c>
      <c r="E23" s="4">
        <v>0</v>
      </c>
      <c r="F23" s="4">
        <v>0</v>
      </c>
      <c r="G23" s="4">
        <v>2</v>
      </c>
      <c r="H23" s="4">
        <v>6670670000000</v>
      </c>
      <c r="I23" s="4">
        <v>6181820000000</v>
      </c>
      <c r="J23" s="4">
        <v>5718130000000</v>
      </c>
      <c r="K23" s="4">
        <v>5641200000000</v>
      </c>
      <c r="L23" s="4">
        <v>1930410000000</v>
      </c>
      <c r="M23" s="4"/>
      <c r="N23" s="4">
        <v>0.0210273</v>
      </c>
      <c r="O23" s="4">
        <v>0.0218073</v>
      </c>
      <c r="P23" s="4">
        <v>35628800000000</v>
      </c>
      <c r="Q23" s="4">
        <v>36514000000</v>
      </c>
      <c r="R23" s="4">
        <v>0</v>
      </c>
      <c r="S23" s="4">
        <v>0</v>
      </c>
      <c r="T23" s="4">
        <v>2</v>
      </c>
      <c r="U23" s="4">
        <v>8718930000000</v>
      </c>
      <c r="V23" s="4">
        <v>9001590000000</v>
      </c>
      <c r="W23" s="4">
        <v>7716970000000</v>
      </c>
      <c r="X23" s="4">
        <v>7430220000000</v>
      </c>
      <c r="Y23" s="4">
        <v>2761040000000</v>
      </c>
      <c r="Z23" s="4"/>
      <c r="AA23" s="4">
        <v>0.022085</v>
      </c>
      <c r="AB23" s="4">
        <v>0.0227638</v>
      </c>
      <c r="AC23" s="4">
        <v>29612900000000</v>
      </c>
      <c r="AD23" s="4">
        <v>6267120000</v>
      </c>
      <c r="AE23" s="4">
        <v>0</v>
      </c>
      <c r="AF23" s="4">
        <v>0</v>
      </c>
      <c r="AG23" s="4">
        <v>2</v>
      </c>
      <c r="AH23" s="4">
        <v>6141980000000</v>
      </c>
      <c r="AI23" s="4">
        <v>5619260000000</v>
      </c>
      <c r="AJ23" s="4">
        <v>8769730000000</v>
      </c>
      <c r="AK23" s="4">
        <v>6747100000000</v>
      </c>
      <c r="AL23" s="4">
        <v>2334800000000</v>
      </c>
      <c r="AM23" s="4"/>
      <c r="AN23" s="5">
        <f t="shared" si="0"/>
        <v>0.0221185</v>
      </c>
      <c r="AO23" s="5">
        <f t="shared" si="1"/>
        <v>30461300000000</v>
      </c>
      <c r="AP23" s="5">
        <f t="shared" si="2"/>
        <v>26142200000000</v>
      </c>
      <c r="AQ23" s="5">
        <f t="shared" si="3"/>
        <v>35628800000000</v>
      </c>
      <c r="AR23" s="5">
        <f t="shared" si="4"/>
        <v>2342083333333.33</v>
      </c>
      <c r="AS23" s="5">
        <f t="shared" si="5"/>
        <v>1930410000000</v>
      </c>
      <c r="AT23" s="5">
        <f t="shared" si="6"/>
        <v>2761040000000</v>
      </c>
    </row>
    <row r="24" customHeight="1" spans="1:46">
      <c r="A24" s="4">
        <v>0.0229745</v>
      </c>
      <c r="B24" s="4">
        <v>0.0236891</v>
      </c>
      <c r="C24" s="4">
        <v>29001300000000</v>
      </c>
      <c r="D24" s="4">
        <v>6062020000</v>
      </c>
      <c r="E24" s="4">
        <v>0</v>
      </c>
      <c r="F24" s="4">
        <v>0</v>
      </c>
      <c r="G24" s="4">
        <v>2</v>
      </c>
      <c r="H24" s="4">
        <v>6998750000000</v>
      </c>
      <c r="I24" s="4">
        <v>7299380000000</v>
      </c>
      <c r="J24" s="4">
        <v>6683490000000</v>
      </c>
      <c r="K24" s="4">
        <v>5902670000000</v>
      </c>
      <c r="L24" s="4">
        <v>2117010000000</v>
      </c>
      <c r="M24" s="4"/>
      <c r="N24" s="4">
        <v>0.0220152</v>
      </c>
      <c r="O24" s="4">
        <v>0.0228322</v>
      </c>
      <c r="P24" s="4">
        <v>36941800000000</v>
      </c>
      <c r="Q24" s="4">
        <v>32823800000</v>
      </c>
      <c r="R24" s="4">
        <v>0</v>
      </c>
      <c r="S24" s="4">
        <v>0</v>
      </c>
      <c r="T24" s="4">
        <v>2</v>
      </c>
      <c r="U24" s="4">
        <v>8524590000000</v>
      </c>
      <c r="V24" s="4">
        <v>8945510000000</v>
      </c>
      <c r="W24" s="4">
        <v>7611540000000</v>
      </c>
      <c r="X24" s="4">
        <v>8707600000000</v>
      </c>
      <c r="Y24" s="4">
        <v>3152570000000</v>
      </c>
      <c r="Z24" s="4"/>
      <c r="AA24" s="4">
        <v>0.0230954</v>
      </c>
      <c r="AB24" s="4">
        <v>0.0238417</v>
      </c>
      <c r="AC24" s="4">
        <v>30838900000000</v>
      </c>
      <c r="AD24" s="4">
        <v>5880470000</v>
      </c>
      <c r="AE24" s="4">
        <v>0</v>
      </c>
      <c r="AF24" s="4">
        <v>0</v>
      </c>
      <c r="AG24" s="4">
        <v>2</v>
      </c>
      <c r="AH24" s="4">
        <v>6873280000000</v>
      </c>
      <c r="AI24" s="4">
        <v>6002930000000</v>
      </c>
      <c r="AJ24" s="4">
        <v>8717870000000</v>
      </c>
      <c r="AK24" s="4">
        <v>6431990000000</v>
      </c>
      <c r="AL24" s="4">
        <v>2812790000000</v>
      </c>
      <c r="AM24" s="4"/>
      <c r="AN24" s="5">
        <f t="shared" si="0"/>
        <v>0.0229745</v>
      </c>
      <c r="AO24" s="5">
        <f t="shared" si="1"/>
        <v>32260666666666.7</v>
      </c>
      <c r="AP24" s="5">
        <f t="shared" si="2"/>
        <v>29001300000000</v>
      </c>
      <c r="AQ24" s="5">
        <f t="shared" si="3"/>
        <v>36941800000000</v>
      </c>
      <c r="AR24" s="5">
        <f t="shared" si="4"/>
        <v>2694123333333.33</v>
      </c>
      <c r="AS24" s="5">
        <f t="shared" si="5"/>
        <v>2117010000000</v>
      </c>
      <c r="AT24" s="5">
        <f t="shared" si="6"/>
        <v>3152570000000</v>
      </c>
    </row>
    <row r="25" customHeight="1" spans="1:46">
      <c r="A25" s="4">
        <v>0.0239598</v>
      </c>
      <c r="B25" s="4">
        <v>0.0246378</v>
      </c>
      <c r="C25" s="4">
        <v>27946800000000</v>
      </c>
      <c r="D25" s="4">
        <v>8405200000</v>
      </c>
      <c r="E25" s="4">
        <v>0</v>
      </c>
      <c r="F25" s="4">
        <v>0</v>
      </c>
      <c r="G25" s="4">
        <v>2</v>
      </c>
      <c r="H25" s="4">
        <v>7721340000000</v>
      </c>
      <c r="I25" s="4">
        <v>6176960000000</v>
      </c>
      <c r="J25" s="4">
        <v>6858510000000</v>
      </c>
      <c r="K25" s="4">
        <v>5105500000000</v>
      </c>
      <c r="L25" s="4">
        <v>2084450000000</v>
      </c>
      <c r="M25" s="4"/>
      <c r="N25" s="4">
        <v>0.0230107</v>
      </c>
      <c r="O25" s="4">
        <v>0.0238026</v>
      </c>
      <c r="P25" s="4">
        <v>36590700000000</v>
      </c>
      <c r="Q25" s="4">
        <v>45938500000</v>
      </c>
      <c r="R25" s="4">
        <v>0</v>
      </c>
      <c r="S25" s="4">
        <v>0</v>
      </c>
      <c r="T25" s="4">
        <v>2</v>
      </c>
      <c r="U25" s="4">
        <v>7419950000000</v>
      </c>
      <c r="V25" s="4">
        <v>8641760000000</v>
      </c>
      <c r="W25" s="4">
        <v>8237440000000</v>
      </c>
      <c r="X25" s="4">
        <v>8870750000000</v>
      </c>
      <c r="Y25" s="4">
        <v>3420810000000</v>
      </c>
      <c r="Z25" s="4"/>
      <c r="AA25" s="4">
        <v>0.0239475</v>
      </c>
      <c r="AB25" s="4">
        <v>0.0246587</v>
      </c>
      <c r="AC25" s="4">
        <v>32339300000000</v>
      </c>
      <c r="AD25" s="4">
        <v>6995220000</v>
      </c>
      <c r="AE25" s="4">
        <v>0</v>
      </c>
      <c r="AF25" s="4">
        <v>0</v>
      </c>
      <c r="AG25" s="4">
        <v>2</v>
      </c>
      <c r="AH25" s="4">
        <v>7485500000000</v>
      </c>
      <c r="AI25" s="4">
        <v>6707040000000</v>
      </c>
      <c r="AJ25" s="4">
        <v>8776350000000</v>
      </c>
      <c r="AK25" s="4">
        <v>6298120000000</v>
      </c>
      <c r="AL25" s="4">
        <v>3072250000000</v>
      </c>
      <c r="AM25" s="4"/>
      <c r="AN25" s="5">
        <f t="shared" si="0"/>
        <v>0.0239598</v>
      </c>
      <c r="AO25" s="5">
        <f t="shared" si="1"/>
        <v>32292266666666.7</v>
      </c>
      <c r="AP25" s="5">
        <f t="shared" si="2"/>
        <v>27946800000000</v>
      </c>
      <c r="AQ25" s="5">
        <f t="shared" si="3"/>
        <v>36590700000000</v>
      </c>
      <c r="AR25" s="5">
        <f t="shared" si="4"/>
        <v>2859170000000</v>
      </c>
      <c r="AS25" s="5">
        <f t="shared" si="5"/>
        <v>2084450000000</v>
      </c>
      <c r="AT25" s="5">
        <f t="shared" si="6"/>
        <v>3420810000000</v>
      </c>
    </row>
    <row r="26" customHeight="1" spans="1:46">
      <c r="A26" s="4">
        <v>0.024957</v>
      </c>
      <c r="B26" s="4">
        <v>0.0256651</v>
      </c>
      <c r="C26" s="4">
        <v>29179100000000</v>
      </c>
      <c r="D26" s="4">
        <v>5923540000</v>
      </c>
      <c r="E26" s="4">
        <v>0</v>
      </c>
      <c r="F26" s="4">
        <v>0</v>
      </c>
      <c r="G26" s="4">
        <v>2</v>
      </c>
      <c r="H26" s="4">
        <v>8339970000000</v>
      </c>
      <c r="I26" s="4">
        <v>5614250000000</v>
      </c>
      <c r="J26" s="4">
        <v>7030320000000</v>
      </c>
      <c r="K26" s="4">
        <v>5744270000000</v>
      </c>
      <c r="L26" s="4">
        <v>2450320000000</v>
      </c>
      <c r="M26" s="4"/>
      <c r="N26" s="4">
        <v>0.0240052</v>
      </c>
      <c r="O26" s="4">
        <v>0.0247671</v>
      </c>
      <c r="P26" s="4">
        <v>35135300000000</v>
      </c>
      <c r="Q26" s="4">
        <v>46109000000</v>
      </c>
      <c r="R26" s="4">
        <v>0</v>
      </c>
      <c r="S26" s="4">
        <v>0</v>
      </c>
      <c r="T26" s="4">
        <v>2</v>
      </c>
      <c r="U26" s="4">
        <v>7934460000000</v>
      </c>
      <c r="V26" s="4">
        <v>8236870000000</v>
      </c>
      <c r="W26" s="4">
        <v>8198410000000</v>
      </c>
      <c r="X26" s="4">
        <v>7410310000000</v>
      </c>
      <c r="Y26" s="4">
        <v>3355290000000</v>
      </c>
      <c r="Z26" s="4"/>
      <c r="AA26" s="4">
        <v>0.0249835</v>
      </c>
      <c r="AB26" s="4">
        <v>0.025684</v>
      </c>
      <c r="AC26" s="4">
        <v>31137600000000</v>
      </c>
      <c r="AD26" s="4">
        <v>4649040000</v>
      </c>
      <c r="AE26" s="4">
        <v>0</v>
      </c>
      <c r="AF26" s="4">
        <v>0</v>
      </c>
      <c r="AG26" s="4">
        <v>2</v>
      </c>
      <c r="AH26" s="4">
        <v>6111880000000</v>
      </c>
      <c r="AI26" s="4">
        <v>7627100000000</v>
      </c>
      <c r="AJ26" s="4">
        <v>8644140000000</v>
      </c>
      <c r="AK26" s="4">
        <v>6145320000000</v>
      </c>
      <c r="AL26" s="4">
        <v>2609190000000</v>
      </c>
      <c r="AM26" s="4"/>
      <c r="AN26" s="5">
        <f t="shared" si="0"/>
        <v>0.024957</v>
      </c>
      <c r="AO26" s="5">
        <f t="shared" si="1"/>
        <v>31817333333333.3</v>
      </c>
      <c r="AP26" s="5">
        <f t="shared" si="2"/>
        <v>29179100000000</v>
      </c>
      <c r="AQ26" s="5">
        <f t="shared" si="3"/>
        <v>35135300000000</v>
      </c>
      <c r="AR26" s="5">
        <f t="shared" si="4"/>
        <v>2804933333333.33</v>
      </c>
      <c r="AS26" s="5">
        <f t="shared" si="5"/>
        <v>2450320000000</v>
      </c>
      <c r="AT26" s="5">
        <f t="shared" si="6"/>
        <v>3355290000000</v>
      </c>
    </row>
    <row r="27" customHeight="1" spans="1:46">
      <c r="A27" s="4">
        <v>0.0259222</v>
      </c>
      <c r="B27" s="4">
        <v>0.0266915</v>
      </c>
      <c r="C27" s="4">
        <v>30628200000000</v>
      </c>
      <c r="D27" s="4">
        <v>4480620000</v>
      </c>
      <c r="E27" s="4">
        <v>0</v>
      </c>
      <c r="F27" s="4">
        <v>0</v>
      </c>
      <c r="G27" s="4">
        <v>2</v>
      </c>
      <c r="H27" s="4">
        <v>7126610000000</v>
      </c>
      <c r="I27" s="4">
        <v>5590720000000</v>
      </c>
      <c r="J27" s="4">
        <v>8269610000000</v>
      </c>
      <c r="K27" s="4">
        <v>6815880000000</v>
      </c>
      <c r="L27" s="4">
        <v>2825370000000</v>
      </c>
      <c r="M27" s="4"/>
      <c r="N27" s="4">
        <v>0.0250294</v>
      </c>
      <c r="O27" s="4">
        <v>0.025792</v>
      </c>
      <c r="P27" s="4">
        <v>36903800000000</v>
      </c>
      <c r="Q27" s="4">
        <v>39728600000</v>
      </c>
      <c r="R27" s="4">
        <v>0</v>
      </c>
      <c r="S27" s="4">
        <v>0</v>
      </c>
      <c r="T27" s="4">
        <v>2</v>
      </c>
      <c r="U27" s="4">
        <v>8618310000000</v>
      </c>
      <c r="V27" s="4">
        <v>7944190000000</v>
      </c>
      <c r="W27" s="4">
        <v>9978100000000</v>
      </c>
      <c r="X27" s="4">
        <v>7153750000000</v>
      </c>
      <c r="Y27" s="4">
        <v>3209410000000</v>
      </c>
      <c r="Z27" s="4"/>
      <c r="AA27" s="4">
        <v>0.0259983</v>
      </c>
      <c r="AB27" s="4">
        <v>0.0267064</v>
      </c>
      <c r="AC27" s="4">
        <v>31300000000000</v>
      </c>
      <c r="AD27" s="4">
        <v>6405980000</v>
      </c>
      <c r="AE27" s="4">
        <v>0</v>
      </c>
      <c r="AF27" s="4">
        <v>0</v>
      </c>
      <c r="AG27" s="4">
        <v>2</v>
      </c>
      <c r="AH27" s="4">
        <v>5558920000000</v>
      </c>
      <c r="AI27" s="4">
        <v>7507740000000</v>
      </c>
      <c r="AJ27" s="4">
        <v>9284640000000</v>
      </c>
      <c r="AK27" s="4">
        <v>6376160000000</v>
      </c>
      <c r="AL27" s="4">
        <v>2572570000000</v>
      </c>
      <c r="AM27" s="4"/>
      <c r="AN27" s="5">
        <f t="shared" si="0"/>
        <v>0.0259222</v>
      </c>
      <c r="AO27" s="5">
        <f t="shared" si="1"/>
        <v>32944000000000</v>
      </c>
      <c r="AP27" s="5">
        <f t="shared" si="2"/>
        <v>30628200000000</v>
      </c>
      <c r="AQ27" s="5">
        <f t="shared" si="3"/>
        <v>36903800000000</v>
      </c>
      <c r="AR27" s="5">
        <f t="shared" si="4"/>
        <v>2869116666666.67</v>
      </c>
      <c r="AS27" s="5">
        <f t="shared" si="5"/>
        <v>2572570000000</v>
      </c>
      <c r="AT27" s="5">
        <f t="shared" si="6"/>
        <v>3209410000000</v>
      </c>
    </row>
    <row r="28" customHeight="1" spans="1:46">
      <c r="A28" s="4">
        <v>0.0269829</v>
      </c>
      <c r="B28" s="4">
        <v>0.0277043</v>
      </c>
      <c r="C28" s="4">
        <v>30958800000000</v>
      </c>
      <c r="D28" s="4">
        <v>5955290000</v>
      </c>
      <c r="E28" s="4">
        <v>0</v>
      </c>
      <c r="F28" s="4">
        <v>0</v>
      </c>
      <c r="G28" s="4">
        <v>2</v>
      </c>
      <c r="H28" s="4">
        <v>7699070000000</v>
      </c>
      <c r="I28" s="4">
        <v>6672410000000</v>
      </c>
      <c r="J28" s="4">
        <v>6384770000000</v>
      </c>
      <c r="K28" s="4">
        <v>7500800000000</v>
      </c>
      <c r="L28" s="4">
        <v>2701760000000</v>
      </c>
      <c r="M28" s="4"/>
      <c r="N28" s="4">
        <v>0.0259978</v>
      </c>
      <c r="O28" s="4">
        <v>0.0267511</v>
      </c>
      <c r="P28" s="4">
        <v>38089800000000</v>
      </c>
      <c r="Q28" s="4">
        <v>32967200000</v>
      </c>
      <c r="R28" s="4">
        <v>0</v>
      </c>
      <c r="S28" s="4">
        <v>0</v>
      </c>
      <c r="T28" s="4">
        <v>2</v>
      </c>
      <c r="U28" s="4">
        <v>9033410000000</v>
      </c>
      <c r="V28" s="4">
        <v>7580210000000</v>
      </c>
      <c r="W28" s="4">
        <v>11085900000000</v>
      </c>
      <c r="X28" s="4">
        <v>6960240000000</v>
      </c>
      <c r="Y28" s="4">
        <v>3429870000000</v>
      </c>
      <c r="Z28" s="4"/>
      <c r="AA28" s="4">
        <v>0.0270421</v>
      </c>
      <c r="AB28" s="4">
        <v>0.0277557</v>
      </c>
      <c r="AC28" s="4">
        <v>30120700000000</v>
      </c>
      <c r="AD28" s="4">
        <v>8884490000</v>
      </c>
      <c r="AE28" s="4">
        <v>0</v>
      </c>
      <c r="AF28" s="4">
        <v>0</v>
      </c>
      <c r="AG28" s="4">
        <v>2</v>
      </c>
      <c r="AH28" s="4">
        <v>5851210000000</v>
      </c>
      <c r="AI28" s="4">
        <v>7223920000000</v>
      </c>
      <c r="AJ28" s="4">
        <v>8734260000000</v>
      </c>
      <c r="AK28" s="4">
        <v>6014110000000</v>
      </c>
      <c r="AL28" s="4">
        <v>2297220000000</v>
      </c>
      <c r="AM28" s="4"/>
      <c r="AN28" s="5">
        <f t="shared" si="0"/>
        <v>0.0269829</v>
      </c>
      <c r="AO28" s="5">
        <f t="shared" si="1"/>
        <v>33056433333333.3</v>
      </c>
      <c r="AP28" s="5">
        <f t="shared" si="2"/>
        <v>30120700000000</v>
      </c>
      <c r="AQ28" s="5">
        <f t="shared" si="3"/>
        <v>38089800000000</v>
      </c>
      <c r="AR28" s="5">
        <f t="shared" si="4"/>
        <v>2809616666666.67</v>
      </c>
      <c r="AS28" s="5">
        <f t="shared" si="5"/>
        <v>2297220000000</v>
      </c>
      <c r="AT28" s="5">
        <f t="shared" si="6"/>
        <v>3429870000000</v>
      </c>
    </row>
    <row r="29" customHeight="1" spans="1:46">
      <c r="A29" s="4">
        <v>0.0279789</v>
      </c>
      <c r="B29" s="4">
        <v>0.0287055</v>
      </c>
      <c r="C29" s="4">
        <v>31773300000000</v>
      </c>
      <c r="D29" s="4">
        <v>5781440000</v>
      </c>
      <c r="E29" s="4">
        <v>0</v>
      </c>
      <c r="F29" s="4">
        <v>0</v>
      </c>
      <c r="G29" s="4">
        <v>2</v>
      </c>
      <c r="H29" s="4">
        <v>8187680000000</v>
      </c>
      <c r="I29" s="4">
        <v>7543380000000</v>
      </c>
      <c r="J29" s="4">
        <v>6125730000000</v>
      </c>
      <c r="K29" s="4">
        <v>7352260000000</v>
      </c>
      <c r="L29" s="4">
        <v>2564270000000</v>
      </c>
      <c r="M29" s="4"/>
      <c r="N29" s="4">
        <v>0.0270185</v>
      </c>
      <c r="O29" s="4">
        <v>0.0277872</v>
      </c>
      <c r="P29" s="4">
        <v>36075600000000</v>
      </c>
      <c r="Q29" s="4">
        <v>39808800000</v>
      </c>
      <c r="R29" s="4">
        <v>0</v>
      </c>
      <c r="S29" s="4">
        <v>0</v>
      </c>
      <c r="T29" s="4">
        <v>2</v>
      </c>
      <c r="U29" s="4">
        <v>8566510000000</v>
      </c>
      <c r="V29" s="4">
        <v>8192440000000</v>
      </c>
      <c r="W29" s="4">
        <v>10079900000000</v>
      </c>
      <c r="X29" s="4">
        <v>6113160000000</v>
      </c>
      <c r="Y29" s="4">
        <v>3123620000000</v>
      </c>
      <c r="Z29" s="4"/>
      <c r="AA29" s="4">
        <v>0.0280222</v>
      </c>
      <c r="AB29" s="4">
        <v>0.0287477</v>
      </c>
      <c r="AC29" s="4">
        <v>30915900000000</v>
      </c>
      <c r="AD29" s="4">
        <v>7607520000</v>
      </c>
      <c r="AE29" s="4">
        <v>0</v>
      </c>
      <c r="AF29" s="4">
        <v>0</v>
      </c>
      <c r="AG29" s="4">
        <v>2</v>
      </c>
      <c r="AH29" s="4">
        <v>6036850000000</v>
      </c>
      <c r="AI29" s="4">
        <v>6658940000000</v>
      </c>
      <c r="AJ29" s="4">
        <v>9270860000000</v>
      </c>
      <c r="AK29" s="4">
        <v>6742050000000</v>
      </c>
      <c r="AL29" s="4">
        <v>2207200000000</v>
      </c>
      <c r="AM29" s="4"/>
      <c r="AN29" s="5">
        <f t="shared" si="0"/>
        <v>0.0279789</v>
      </c>
      <c r="AO29" s="5">
        <f t="shared" si="1"/>
        <v>32921600000000</v>
      </c>
      <c r="AP29" s="5">
        <f t="shared" si="2"/>
        <v>30915900000000</v>
      </c>
      <c r="AQ29" s="5">
        <f t="shared" si="3"/>
        <v>36075600000000</v>
      </c>
      <c r="AR29" s="5">
        <f t="shared" si="4"/>
        <v>2631696666666.67</v>
      </c>
      <c r="AS29" s="5">
        <f t="shared" si="5"/>
        <v>2207200000000</v>
      </c>
      <c r="AT29" s="5">
        <f t="shared" si="6"/>
        <v>3123620000000</v>
      </c>
    </row>
    <row r="30" customHeight="1" spans="1:46">
      <c r="A30" s="4">
        <v>0.0289654</v>
      </c>
      <c r="B30" s="4">
        <v>0.0296673</v>
      </c>
      <c r="C30" s="4">
        <v>32495200000000</v>
      </c>
      <c r="D30" s="4">
        <v>6564840000</v>
      </c>
      <c r="E30" s="4">
        <v>0</v>
      </c>
      <c r="F30" s="4">
        <v>0</v>
      </c>
      <c r="G30" s="4">
        <v>2</v>
      </c>
      <c r="H30" s="4">
        <v>7570850000000</v>
      </c>
      <c r="I30" s="4">
        <v>7930120000000</v>
      </c>
      <c r="J30" s="4">
        <v>6552050000000</v>
      </c>
      <c r="K30" s="4">
        <v>7866860000000</v>
      </c>
      <c r="L30" s="4">
        <v>2575330000000</v>
      </c>
      <c r="M30" s="4"/>
      <c r="N30" s="4">
        <v>0.0280016</v>
      </c>
      <c r="O30" s="4">
        <v>0.0287819</v>
      </c>
      <c r="P30" s="4">
        <v>35030100000000</v>
      </c>
      <c r="Q30" s="4">
        <v>31819300000</v>
      </c>
      <c r="R30" s="4">
        <v>0</v>
      </c>
      <c r="S30" s="4">
        <v>0</v>
      </c>
      <c r="T30" s="4">
        <v>2</v>
      </c>
      <c r="U30" s="4">
        <v>9083210000000</v>
      </c>
      <c r="V30" s="4">
        <v>7448330000000</v>
      </c>
      <c r="W30" s="4">
        <v>8768470000000</v>
      </c>
      <c r="X30" s="4">
        <v>6575210000000</v>
      </c>
      <c r="Y30" s="4">
        <v>3154900000000</v>
      </c>
      <c r="Z30" s="4"/>
      <c r="AA30" s="4">
        <v>0.0289983</v>
      </c>
      <c r="AB30" s="4">
        <v>0.0297059</v>
      </c>
      <c r="AC30" s="4">
        <v>30995600000000</v>
      </c>
      <c r="AD30" s="4">
        <v>9529790000</v>
      </c>
      <c r="AE30" s="4">
        <v>0</v>
      </c>
      <c r="AF30" s="4">
        <v>0</v>
      </c>
      <c r="AG30" s="4">
        <v>2</v>
      </c>
      <c r="AH30" s="4">
        <v>6253150000000</v>
      </c>
      <c r="AI30" s="4">
        <v>7155680000000</v>
      </c>
      <c r="AJ30" s="4">
        <v>7019260000000</v>
      </c>
      <c r="AK30" s="4">
        <v>7575580000000</v>
      </c>
      <c r="AL30" s="4">
        <v>2991970000000</v>
      </c>
      <c r="AM30" s="4"/>
      <c r="AN30" s="5">
        <f t="shared" si="0"/>
        <v>0.0289654</v>
      </c>
      <c r="AO30" s="5">
        <f t="shared" si="1"/>
        <v>32840300000000</v>
      </c>
      <c r="AP30" s="5">
        <f t="shared" si="2"/>
        <v>30995600000000</v>
      </c>
      <c r="AQ30" s="5">
        <f t="shared" si="3"/>
        <v>35030100000000</v>
      </c>
      <c r="AR30" s="5">
        <f t="shared" si="4"/>
        <v>2907400000000</v>
      </c>
      <c r="AS30" s="5">
        <f t="shared" si="5"/>
        <v>2575330000000</v>
      </c>
      <c r="AT30" s="5">
        <f t="shared" si="6"/>
        <v>3154900000000</v>
      </c>
    </row>
    <row r="31" customHeight="1" spans="1:46">
      <c r="A31" s="4">
        <v>0.0300372</v>
      </c>
      <c r="B31" s="4">
        <v>0.0307332</v>
      </c>
      <c r="C31" s="4">
        <v>32228700000000</v>
      </c>
      <c r="D31" s="4">
        <v>7509140000</v>
      </c>
      <c r="E31" s="4">
        <v>0</v>
      </c>
      <c r="F31" s="4">
        <v>0</v>
      </c>
      <c r="G31" s="4">
        <v>2</v>
      </c>
      <c r="H31" s="4">
        <v>7474250000000</v>
      </c>
      <c r="I31" s="4">
        <v>7277060000000</v>
      </c>
      <c r="J31" s="4">
        <v>6634440000000</v>
      </c>
      <c r="K31" s="4">
        <v>8304890000000</v>
      </c>
      <c r="L31" s="4">
        <v>2538080000000</v>
      </c>
      <c r="M31" s="4"/>
      <c r="N31" s="4">
        <v>0.0290077</v>
      </c>
      <c r="O31" s="4">
        <v>0.0298475</v>
      </c>
      <c r="P31" s="4">
        <v>36026600000000</v>
      </c>
      <c r="Q31" s="4">
        <v>52826300000</v>
      </c>
      <c r="R31" s="4">
        <v>0</v>
      </c>
      <c r="S31" s="4">
        <v>0</v>
      </c>
      <c r="T31" s="4">
        <v>2</v>
      </c>
      <c r="U31" s="4">
        <v>8464460000000</v>
      </c>
      <c r="V31" s="4">
        <v>8652660000000</v>
      </c>
      <c r="W31" s="4">
        <v>8813910000000</v>
      </c>
      <c r="X31" s="4">
        <v>6329110000000</v>
      </c>
      <c r="Y31" s="4">
        <v>3766500000000</v>
      </c>
      <c r="Z31" s="4"/>
      <c r="AA31" s="4">
        <v>0.0299474</v>
      </c>
      <c r="AB31" s="4">
        <v>0.0306955</v>
      </c>
      <c r="AC31" s="4">
        <v>32379100000000</v>
      </c>
      <c r="AD31" s="4">
        <v>6914740000</v>
      </c>
      <c r="AE31" s="4">
        <v>0</v>
      </c>
      <c r="AF31" s="4">
        <v>0</v>
      </c>
      <c r="AG31" s="4">
        <v>2</v>
      </c>
      <c r="AH31" s="4">
        <v>7029990000000</v>
      </c>
      <c r="AI31" s="4">
        <v>6301680000000</v>
      </c>
      <c r="AJ31" s="4">
        <v>7807170000000</v>
      </c>
      <c r="AK31" s="4">
        <v>7288590000000</v>
      </c>
      <c r="AL31" s="4">
        <v>3951700000000</v>
      </c>
      <c r="AM31" s="4"/>
      <c r="AN31" s="5">
        <f t="shared" si="0"/>
        <v>0.0300372</v>
      </c>
      <c r="AO31" s="5">
        <f t="shared" si="1"/>
        <v>33544800000000</v>
      </c>
      <c r="AP31" s="5">
        <f t="shared" si="2"/>
        <v>32228700000000</v>
      </c>
      <c r="AQ31" s="5">
        <f t="shared" si="3"/>
        <v>36026600000000</v>
      </c>
      <c r="AR31" s="5">
        <f t="shared" si="4"/>
        <v>3418760000000</v>
      </c>
      <c r="AS31" s="5">
        <f t="shared" si="5"/>
        <v>2538080000000</v>
      </c>
      <c r="AT31" s="5">
        <f t="shared" si="6"/>
        <v>3951700000000</v>
      </c>
    </row>
    <row r="32" customHeight="1" spans="1:46">
      <c r="A32" s="4">
        <v>0.0309323</v>
      </c>
      <c r="B32" s="4">
        <v>0.031637</v>
      </c>
      <c r="C32" s="4">
        <v>31846500000000</v>
      </c>
      <c r="D32" s="4">
        <v>11691900000</v>
      </c>
      <c r="E32" s="4">
        <v>0</v>
      </c>
      <c r="F32" s="4">
        <v>0</v>
      </c>
      <c r="G32" s="4">
        <v>2</v>
      </c>
      <c r="H32" s="4">
        <v>7619240000000</v>
      </c>
      <c r="I32" s="4">
        <v>6877690000000</v>
      </c>
      <c r="J32" s="4">
        <v>6347020000000</v>
      </c>
      <c r="K32" s="4">
        <v>7802860000000</v>
      </c>
      <c r="L32" s="4">
        <v>3199720000000</v>
      </c>
      <c r="M32" s="4"/>
      <c r="N32" s="4">
        <v>0.0299812</v>
      </c>
      <c r="O32" s="4">
        <v>0.0307846</v>
      </c>
      <c r="P32" s="4">
        <v>36784200000000</v>
      </c>
      <c r="Q32" s="4">
        <v>37023600000</v>
      </c>
      <c r="R32" s="4">
        <v>0</v>
      </c>
      <c r="S32" s="4">
        <v>0</v>
      </c>
      <c r="T32" s="4">
        <v>2</v>
      </c>
      <c r="U32" s="4">
        <v>7858870000000</v>
      </c>
      <c r="V32" s="4">
        <v>9219820000000</v>
      </c>
      <c r="W32" s="4">
        <v>8907790000000</v>
      </c>
      <c r="X32" s="4">
        <v>7062920000000</v>
      </c>
      <c r="Y32" s="4">
        <v>3734810000000</v>
      </c>
      <c r="Z32" s="4"/>
      <c r="AA32" s="4">
        <v>0.0309797</v>
      </c>
      <c r="AB32" s="4">
        <v>0.0317527</v>
      </c>
      <c r="AC32" s="4">
        <v>33581800000000</v>
      </c>
      <c r="AD32" s="4">
        <v>6616260000</v>
      </c>
      <c r="AE32" s="4">
        <v>0</v>
      </c>
      <c r="AF32" s="4">
        <v>0</v>
      </c>
      <c r="AG32" s="4">
        <v>2</v>
      </c>
      <c r="AH32" s="4">
        <v>7661220000000</v>
      </c>
      <c r="AI32" s="4">
        <v>6690890000000</v>
      </c>
      <c r="AJ32" s="4">
        <v>8700950000000</v>
      </c>
      <c r="AK32" s="4">
        <v>6463320000000</v>
      </c>
      <c r="AL32" s="4">
        <v>4065430000000</v>
      </c>
      <c r="AM32" s="4"/>
      <c r="AN32" s="5"/>
      <c r="AO32" s="5"/>
      <c r="AP32" s="5"/>
      <c r="AQ32" s="5"/>
      <c r="AR32" s="5"/>
      <c r="AS32" s="5"/>
      <c r="AT32" s="5"/>
    </row>
    <row r="33" customHeight="1" spans="1:46">
      <c r="A33" s="4">
        <v>0.0320134</v>
      </c>
      <c r="B33" s="4">
        <v>0.0327179</v>
      </c>
      <c r="C33" s="4">
        <v>33710100000000</v>
      </c>
      <c r="D33" s="4">
        <v>6992340000</v>
      </c>
      <c r="E33" s="4">
        <v>0</v>
      </c>
      <c r="F33" s="4">
        <v>0</v>
      </c>
      <c r="G33" s="4">
        <v>2</v>
      </c>
      <c r="H33" s="4">
        <v>7618430000000</v>
      </c>
      <c r="I33" s="4">
        <v>8874140000000</v>
      </c>
      <c r="J33" s="4">
        <v>6539860000000</v>
      </c>
      <c r="K33" s="4">
        <v>7445290000000</v>
      </c>
      <c r="L33" s="4">
        <v>3232400000000</v>
      </c>
      <c r="M33" s="4"/>
      <c r="N33" s="4">
        <v>0.0310202</v>
      </c>
      <c r="O33" s="4">
        <v>0.0318356</v>
      </c>
      <c r="P33" s="4">
        <v>36234400000000</v>
      </c>
      <c r="Q33" s="4">
        <v>45144100000</v>
      </c>
      <c r="R33" s="4">
        <v>0</v>
      </c>
      <c r="S33" s="4">
        <v>0</v>
      </c>
      <c r="T33" s="4">
        <v>2</v>
      </c>
      <c r="U33" s="4">
        <v>8345690000000</v>
      </c>
      <c r="V33" s="4">
        <v>8931920000000</v>
      </c>
      <c r="W33" s="4">
        <v>7765380000000</v>
      </c>
      <c r="X33" s="4">
        <v>7575360000000</v>
      </c>
      <c r="Y33" s="4">
        <v>3616050000000</v>
      </c>
      <c r="Z33" s="4"/>
      <c r="AA33" s="4">
        <v>0.0318878</v>
      </c>
      <c r="AB33" s="4">
        <v>0.0326334</v>
      </c>
      <c r="AC33" s="4">
        <v>33030600000000</v>
      </c>
      <c r="AD33" s="4">
        <v>10146500000</v>
      </c>
      <c r="AE33" s="4">
        <v>0</v>
      </c>
      <c r="AF33" s="4">
        <v>0</v>
      </c>
      <c r="AG33" s="4">
        <v>2</v>
      </c>
      <c r="AH33" s="4">
        <v>7264080000000</v>
      </c>
      <c r="AI33" s="4">
        <v>6687630000000</v>
      </c>
      <c r="AJ33" s="4">
        <v>7966320000000</v>
      </c>
      <c r="AK33" s="4">
        <v>7408530000000</v>
      </c>
      <c r="AL33" s="4">
        <v>3703940000000</v>
      </c>
      <c r="AM33" s="4"/>
      <c r="AN33" s="5"/>
      <c r="AO33" s="5"/>
      <c r="AP33" s="5"/>
      <c r="AQ33" s="5"/>
      <c r="AR33" s="5"/>
      <c r="AS33" s="5"/>
      <c r="AT33" s="5"/>
    </row>
    <row r="34" customHeight="1" spans="1:46">
      <c r="A34" s="4">
        <v>0.0330599</v>
      </c>
      <c r="B34" s="4">
        <v>0.0337739</v>
      </c>
      <c r="C34" s="4">
        <v>34484000000000</v>
      </c>
      <c r="D34" s="4">
        <v>7919730000</v>
      </c>
      <c r="E34" s="4">
        <v>0</v>
      </c>
      <c r="F34" s="4">
        <v>0</v>
      </c>
      <c r="G34" s="4">
        <v>2</v>
      </c>
      <c r="H34" s="4">
        <v>7845650000000</v>
      </c>
      <c r="I34" s="4">
        <v>8741400000000</v>
      </c>
      <c r="J34" s="4">
        <v>6836660000000</v>
      </c>
      <c r="K34" s="4">
        <v>7712610000000</v>
      </c>
      <c r="L34" s="4">
        <v>3347710000000</v>
      </c>
      <c r="M34" s="4"/>
      <c r="N34" s="4">
        <v>0.0320434</v>
      </c>
      <c r="O34" s="4">
        <v>0.0328535</v>
      </c>
      <c r="P34" s="4">
        <v>35519900000000</v>
      </c>
      <c r="Q34" s="4">
        <v>40231500000</v>
      </c>
      <c r="R34" s="4">
        <v>0</v>
      </c>
      <c r="S34" s="4">
        <v>0</v>
      </c>
      <c r="T34" s="4">
        <v>2</v>
      </c>
      <c r="U34" s="4">
        <v>8045170000000</v>
      </c>
      <c r="V34" s="4">
        <v>8097860000000</v>
      </c>
      <c r="W34" s="4">
        <v>8522440000000</v>
      </c>
      <c r="X34" s="4">
        <v>7662040000000</v>
      </c>
      <c r="Y34" s="4">
        <v>3192100000000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5"/>
      <c r="AO34" s="5"/>
      <c r="AP34" s="5"/>
      <c r="AQ34" s="5"/>
      <c r="AR34" s="5"/>
      <c r="AS34" s="5"/>
      <c r="AT34" s="5"/>
    </row>
    <row r="35" customHeight="1" spans="1:46">
      <c r="A35" s="4">
        <v>0.0339712</v>
      </c>
      <c r="B35" s="4">
        <v>0.0346696</v>
      </c>
      <c r="C35" s="4">
        <v>33771400000000</v>
      </c>
      <c r="D35" s="4">
        <v>9561960000</v>
      </c>
      <c r="E35" s="4">
        <v>0</v>
      </c>
      <c r="F35" s="4">
        <v>0</v>
      </c>
      <c r="G35" s="4">
        <v>2</v>
      </c>
      <c r="H35" s="4">
        <v>7708160000000</v>
      </c>
      <c r="I35" s="4">
        <v>7811150000000</v>
      </c>
      <c r="J35" s="4">
        <v>6873730000000</v>
      </c>
      <c r="K35" s="4">
        <v>7656660000000</v>
      </c>
      <c r="L35" s="4">
        <v>3721740000000</v>
      </c>
      <c r="M35" s="4"/>
      <c r="N35" s="4">
        <v>0.0330343</v>
      </c>
      <c r="O35" s="4">
        <v>0.0338372</v>
      </c>
      <c r="P35" s="4">
        <v>35217900000000</v>
      </c>
      <c r="Q35" s="4">
        <v>44566500000</v>
      </c>
      <c r="R35" s="4">
        <v>0</v>
      </c>
      <c r="S35" s="4">
        <v>0</v>
      </c>
      <c r="T35" s="4">
        <v>2</v>
      </c>
      <c r="U35" s="4">
        <v>7895260000000</v>
      </c>
      <c r="V35" s="4">
        <v>7598530000000</v>
      </c>
      <c r="W35" s="4">
        <v>8919330000000</v>
      </c>
      <c r="X35" s="4">
        <v>7740810000000</v>
      </c>
      <c r="Y35" s="4">
        <v>3063930000000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5"/>
      <c r="AO35" s="5"/>
      <c r="AP35" s="5"/>
      <c r="AQ35" s="5"/>
      <c r="AR35" s="5"/>
      <c r="AS35" s="5"/>
      <c r="AT35" s="5"/>
    </row>
    <row r="36" customHeight="1" spans="1:46">
      <c r="A36" s="4">
        <v>0.0349792</v>
      </c>
      <c r="B36" s="4">
        <v>0.0356741</v>
      </c>
      <c r="C36" s="4">
        <v>34653400000000</v>
      </c>
      <c r="D36" s="4">
        <v>5099700000</v>
      </c>
      <c r="E36" s="4">
        <v>0</v>
      </c>
      <c r="F36" s="4">
        <v>0</v>
      </c>
      <c r="G36" s="4">
        <v>2</v>
      </c>
      <c r="H36" s="4">
        <v>8114720000000</v>
      </c>
      <c r="I36" s="4">
        <v>7252870000000</v>
      </c>
      <c r="J36" s="4">
        <v>7546300000000</v>
      </c>
      <c r="K36" s="4">
        <v>7999330000000</v>
      </c>
      <c r="L36" s="4">
        <v>3740170000000</v>
      </c>
      <c r="M36" s="4"/>
      <c r="N36" s="4">
        <v>0.0340003</v>
      </c>
      <c r="O36" s="4">
        <v>0.0348192</v>
      </c>
      <c r="P36" s="4">
        <v>34767500000000</v>
      </c>
      <c r="Q36" s="4">
        <v>34382900000</v>
      </c>
      <c r="R36" s="4">
        <v>0</v>
      </c>
      <c r="S36" s="4">
        <v>0</v>
      </c>
      <c r="T36" s="4">
        <v>2</v>
      </c>
      <c r="U36" s="4">
        <v>7800430000000</v>
      </c>
      <c r="V36" s="4">
        <v>7793790000000</v>
      </c>
      <c r="W36" s="4">
        <v>8138760000000</v>
      </c>
      <c r="X36" s="4">
        <v>8058910000000</v>
      </c>
      <c r="Y36" s="4">
        <v>2975570000000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5"/>
      <c r="AO36" s="5"/>
      <c r="AP36" s="5"/>
      <c r="AQ36" s="5"/>
      <c r="AR36" s="5"/>
      <c r="AS36" s="5"/>
      <c r="AT36" s="5"/>
    </row>
    <row r="37" customHeight="1" spans="1:46">
      <c r="A37" s="4">
        <v>0.0360078</v>
      </c>
      <c r="B37" s="4">
        <v>0.0367252</v>
      </c>
      <c r="C37" s="4">
        <v>35768100000000</v>
      </c>
      <c r="D37" s="4">
        <v>9622170000</v>
      </c>
      <c r="E37" s="4">
        <v>0</v>
      </c>
      <c r="F37" s="4">
        <v>0</v>
      </c>
      <c r="G37" s="4">
        <v>2</v>
      </c>
      <c r="H37" s="4">
        <v>8903620000000</v>
      </c>
      <c r="I37" s="4">
        <v>8347200000000</v>
      </c>
      <c r="J37" s="4">
        <v>7779230000000</v>
      </c>
      <c r="K37" s="4">
        <v>7022910000000</v>
      </c>
      <c r="L37" s="4">
        <v>3715120000000</v>
      </c>
      <c r="M37" s="4"/>
      <c r="N37" s="4">
        <v>0.0350136</v>
      </c>
      <c r="O37" s="4">
        <v>0.0357383</v>
      </c>
      <c r="P37" s="4">
        <v>34851000000000</v>
      </c>
      <c r="Q37" s="4">
        <v>27987800000</v>
      </c>
      <c r="R37" s="4">
        <v>0</v>
      </c>
      <c r="S37" s="4">
        <v>0</v>
      </c>
      <c r="T37" s="4">
        <v>2</v>
      </c>
      <c r="U37" s="4">
        <v>7729050000000</v>
      </c>
      <c r="V37" s="4">
        <v>6547460000000</v>
      </c>
      <c r="W37" s="4">
        <v>9552770000000</v>
      </c>
      <c r="X37" s="4">
        <v>8145610000000</v>
      </c>
      <c r="Y37" s="4">
        <v>2876080000000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5"/>
      <c r="AO37" s="5"/>
      <c r="AP37" s="5"/>
      <c r="AQ37" s="5"/>
      <c r="AR37" s="5"/>
      <c r="AS37" s="5"/>
      <c r="AT37" s="5"/>
    </row>
    <row r="38" customHeight="1" spans="1:46">
      <c r="A38" s="4">
        <v>0.037004</v>
      </c>
      <c r="B38" s="4">
        <v>0.0376883</v>
      </c>
      <c r="C38" s="4">
        <v>36001600000000</v>
      </c>
      <c r="D38" s="4">
        <v>11422000000</v>
      </c>
      <c r="E38" s="4">
        <v>0</v>
      </c>
      <c r="F38" s="4">
        <v>0</v>
      </c>
      <c r="G38" s="4">
        <v>2</v>
      </c>
      <c r="H38" s="4">
        <v>9115480000000</v>
      </c>
      <c r="I38" s="4">
        <v>8088120000000</v>
      </c>
      <c r="J38" s="4">
        <v>7534830000000</v>
      </c>
      <c r="K38" s="4">
        <v>7640290000000</v>
      </c>
      <c r="L38" s="4">
        <v>3622880000000</v>
      </c>
      <c r="M38" s="4"/>
      <c r="N38" s="4">
        <v>0.0359662</v>
      </c>
      <c r="O38" s="4">
        <v>0.0367315</v>
      </c>
      <c r="P38" s="4">
        <v>36157300000000</v>
      </c>
      <c r="Q38" s="4">
        <v>40706900000</v>
      </c>
      <c r="R38" s="4">
        <v>0</v>
      </c>
      <c r="S38" s="4">
        <v>0</v>
      </c>
      <c r="T38" s="4">
        <v>2</v>
      </c>
      <c r="U38" s="4">
        <v>7803950000000</v>
      </c>
      <c r="V38" s="4">
        <v>7297650000000</v>
      </c>
      <c r="W38" s="4">
        <v>10152100000000</v>
      </c>
      <c r="X38" s="4">
        <v>7652810000000</v>
      </c>
      <c r="Y38" s="4">
        <v>3250790000000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  <c r="AO38" s="5"/>
      <c r="AP38" s="5"/>
      <c r="AQ38" s="5"/>
      <c r="AR38" s="5"/>
      <c r="AS38" s="5"/>
      <c r="AT38" s="5"/>
    </row>
    <row r="39" customHeight="1" spans="1:46">
      <c r="A39" s="4">
        <v>0.037967</v>
      </c>
      <c r="B39" s="4">
        <v>0.0386723</v>
      </c>
      <c r="C39" s="4">
        <v>34121300000000</v>
      </c>
      <c r="D39" s="4">
        <v>5385290000</v>
      </c>
      <c r="E39" s="4">
        <v>0</v>
      </c>
      <c r="F39" s="4">
        <v>0</v>
      </c>
      <c r="G39" s="4">
        <v>2</v>
      </c>
      <c r="H39" s="4">
        <v>7695270000000</v>
      </c>
      <c r="I39" s="4">
        <v>6990960000000</v>
      </c>
      <c r="J39" s="4">
        <v>7804630000000</v>
      </c>
      <c r="K39" s="4">
        <v>7858570000000</v>
      </c>
      <c r="L39" s="4">
        <v>3771880000000</v>
      </c>
      <c r="M39" s="4"/>
      <c r="N39" s="4">
        <v>0.0369535</v>
      </c>
      <c r="O39" s="4">
        <v>0.0377673</v>
      </c>
      <c r="P39" s="4">
        <v>35106600000000</v>
      </c>
      <c r="Q39" s="4">
        <v>47541000000</v>
      </c>
      <c r="R39" s="4">
        <v>0</v>
      </c>
      <c r="S39" s="4">
        <v>0</v>
      </c>
      <c r="T39" s="4">
        <v>2</v>
      </c>
      <c r="U39" s="4">
        <v>7944230000000</v>
      </c>
      <c r="V39" s="4">
        <v>7493570000000</v>
      </c>
      <c r="W39" s="4">
        <v>8883520000000</v>
      </c>
      <c r="X39" s="4">
        <v>7326960000000</v>
      </c>
      <c r="Y39" s="4">
        <v>3458350000000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5"/>
      <c r="AO39" s="5"/>
      <c r="AP39" s="5"/>
      <c r="AQ39" s="5"/>
      <c r="AR39" s="5"/>
      <c r="AS39" s="5"/>
      <c r="AT39" s="5"/>
    </row>
    <row r="40" customHeight="1" spans="1:46">
      <c r="A40" s="4">
        <v>0.0388767</v>
      </c>
      <c r="B40" s="4">
        <v>0.0396166</v>
      </c>
      <c r="C40" s="4">
        <v>34528300000000</v>
      </c>
      <c r="D40" s="4">
        <v>7475740000</v>
      </c>
      <c r="E40" s="4">
        <v>0</v>
      </c>
      <c r="F40" s="4">
        <v>0</v>
      </c>
      <c r="G40" s="4">
        <v>2</v>
      </c>
      <c r="H40" s="4">
        <v>9126160000000</v>
      </c>
      <c r="I40" s="4">
        <v>6666510000000</v>
      </c>
      <c r="J40" s="4">
        <v>6940760000000</v>
      </c>
      <c r="K40" s="4">
        <v>7972190000000</v>
      </c>
      <c r="L40" s="4">
        <v>3822550000000</v>
      </c>
      <c r="M40" s="4"/>
      <c r="N40" s="4">
        <v>0.0379783</v>
      </c>
      <c r="O40" s="4">
        <v>0.0387775</v>
      </c>
      <c r="P40" s="4">
        <v>31296800000000</v>
      </c>
      <c r="Q40" s="4">
        <v>48236900000</v>
      </c>
      <c r="R40" s="4">
        <v>0</v>
      </c>
      <c r="S40" s="4">
        <v>0</v>
      </c>
      <c r="T40" s="4">
        <v>2</v>
      </c>
      <c r="U40" s="4">
        <v>6991550000000</v>
      </c>
      <c r="V40" s="4">
        <v>6450980000000</v>
      </c>
      <c r="W40" s="4">
        <v>7650460000000</v>
      </c>
      <c r="X40" s="4">
        <v>7100590000000</v>
      </c>
      <c r="Y40" s="4">
        <v>3103180000000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5"/>
      <c r="AO40" s="5"/>
      <c r="AP40" s="5"/>
      <c r="AQ40" s="5"/>
      <c r="AR40" s="5"/>
      <c r="AS40" s="5"/>
      <c r="AT40" s="5"/>
    </row>
    <row r="41" customHeight="1" spans="1:46">
      <c r="A41" s="4">
        <v>0.0399596</v>
      </c>
      <c r="B41" s="4">
        <v>0.0406703</v>
      </c>
      <c r="C41" s="4">
        <v>36448600000000</v>
      </c>
      <c r="D41" s="4">
        <v>8489170000</v>
      </c>
      <c r="E41" s="4">
        <v>0</v>
      </c>
      <c r="F41" s="4">
        <v>0</v>
      </c>
      <c r="G41" s="4">
        <v>2</v>
      </c>
      <c r="H41" s="4">
        <v>9371660000000</v>
      </c>
      <c r="I41" s="4">
        <v>7465360000000</v>
      </c>
      <c r="J41" s="4">
        <v>6546410000000</v>
      </c>
      <c r="K41" s="4">
        <v>9117600000000</v>
      </c>
      <c r="L41" s="4">
        <v>3947550000000</v>
      </c>
      <c r="M41" s="4"/>
      <c r="N41" s="4">
        <v>0.0389621</v>
      </c>
      <c r="O41" s="4">
        <v>0.0397581</v>
      </c>
      <c r="P41" s="4">
        <v>29379700000000</v>
      </c>
      <c r="Q41" s="4">
        <v>49853100000</v>
      </c>
      <c r="R41" s="4">
        <v>0</v>
      </c>
      <c r="S41" s="4">
        <v>0</v>
      </c>
      <c r="T41" s="4">
        <v>2</v>
      </c>
      <c r="U41" s="4">
        <v>6649620000000</v>
      </c>
      <c r="V41" s="4">
        <v>6367830000000</v>
      </c>
      <c r="W41" s="4">
        <v>7609760000000</v>
      </c>
      <c r="X41" s="4">
        <v>5961960000000</v>
      </c>
      <c r="Y41" s="4">
        <v>2790510000000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5"/>
      <c r="AO41" s="5"/>
      <c r="AP41" s="5"/>
      <c r="AQ41" s="5"/>
      <c r="AR41" s="5"/>
      <c r="AS41" s="5"/>
      <c r="AT41" s="5"/>
    </row>
    <row r="42" customHeight="1" spans="1:46">
      <c r="A42" s="4">
        <v>0.0410086</v>
      </c>
      <c r="B42" s="4">
        <v>0.0417511</v>
      </c>
      <c r="C42" s="4">
        <v>35156000000000</v>
      </c>
      <c r="D42" s="4">
        <v>7687510000</v>
      </c>
      <c r="E42" s="4">
        <v>0</v>
      </c>
      <c r="F42" s="4">
        <v>0</v>
      </c>
      <c r="G42" s="4">
        <v>2</v>
      </c>
      <c r="H42" s="4">
        <v>9216140000000</v>
      </c>
      <c r="I42" s="4">
        <v>8052410000000</v>
      </c>
      <c r="J42" s="4">
        <v>5966100000000</v>
      </c>
      <c r="K42" s="4">
        <v>8280800000000</v>
      </c>
      <c r="L42" s="4">
        <v>3640590000000</v>
      </c>
      <c r="M42" s="4"/>
      <c r="N42" s="4">
        <v>0.0399833</v>
      </c>
      <c r="O42" s="4">
        <v>0.0407652</v>
      </c>
      <c r="P42" s="4">
        <v>30953400000000</v>
      </c>
      <c r="Q42" s="4">
        <v>27670200000</v>
      </c>
      <c r="R42" s="4">
        <v>0</v>
      </c>
      <c r="S42" s="4">
        <v>0</v>
      </c>
      <c r="T42" s="4">
        <v>2</v>
      </c>
      <c r="U42" s="4">
        <v>8110210000000</v>
      </c>
      <c r="V42" s="4">
        <v>5866540000000</v>
      </c>
      <c r="W42" s="4">
        <v>7837810000000</v>
      </c>
      <c r="X42" s="4">
        <v>6171540000000</v>
      </c>
      <c r="Y42" s="4">
        <v>2967270000000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5"/>
      <c r="AO42" s="5"/>
      <c r="AP42" s="5"/>
      <c r="AQ42" s="5"/>
      <c r="AR42" s="5"/>
      <c r="AS42" s="5"/>
      <c r="AT42" s="5"/>
    </row>
    <row r="43" customHeight="1" spans="1:46">
      <c r="A43" s="4">
        <v>0.0419976</v>
      </c>
      <c r="B43" s="4">
        <v>0.0427126</v>
      </c>
      <c r="C43" s="4">
        <v>33937300000000</v>
      </c>
      <c r="D43" s="4">
        <v>9782460000</v>
      </c>
      <c r="E43" s="4">
        <v>0</v>
      </c>
      <c r="F43" s="4">
        <v>0</v>
      </c>
      <c r="G43" s="4">
        <v>2</v>
      </c>
      <c r="H43" s="4">
        <v>9639740000000</v>
      </c>
      <c r="I43" s="4">
        <v>6611270000000</v>
      </c>
      <c r="J43" s="4">
        <v>6682670000000</v>
      </c>
      <c r="K43" s="4">
        <v>7709620000000</v>
      </c>
      <c r="L43" s="4">
        <v>3294030000000</v>
      </c>
      <c r="M43" s="4"/>
      <c r="N43" s="4">
        <v>0.0410304</v>
      </c>
      <c r="O43" s="4">
        <v>0.0418206</v>
      </c>
      <c r="P43" s="4">
        <v>33578700000000</v>
      </c>
      <c r="Q43" s="4">
        <v>40476600000</v>
      </c>
      <c r="R43" s="4">
        <v>0</v>
      </c>
      <c r="S43" s="4">
        <v>0</v>
      </c>
      <c r="T43" s="4">
        <v>2</v>
      </c>
      <c r="U43" s="4">
        <v>9962070000000</v>
      </c>
      <c r="V43" s="4">
        <v>7103480000000</v>
      </c>
      <c r="W43" s="4">
        <v>7778970000000</v>
      </c>
      <c r="X43" s="4">
        <v>5642030000000</v>
      </c>
      <c r="Y43" s="4">
        <v>3092140000000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5"/>
      <c r="AO43" s="5"/>
      <c r="AP43" s="5"/>
      <c r="AQ43" s="5"/>
      <c r="AR43" s="5"/>
      <c r="AS43" s="5"/>
      <c r="AT43" s="5"/>
    </row>
    <row r="44" customHeight="1" spans="1:46">
      <c r="A44" s="4">
        <v>0.0429526</v>
      </c>
      <c r="B44" s="4">
        <v>0.0436815</v>
      </c>
      <c r="C44" s="4">
        <v>33422300000000</v>
      </c>
      <c r="D44" s="4">
        <v>9121310000</v>
      </c>
      <c r="E44" s="4">
        <v>0</v>
      </c>
      <c r="F44" s="4">
        <v>0</v>
      </c>
      <c r="G44" s="4">
        <v>2</v>
      </c>
      <c r="H44" s="4">
        <v>9237820000000</v>
      </c>
      <c r="I44" s="4">
        <v>5416760000000</v>
      </c>
      <c r="J44" s="4">
        <v>7676920000000</v>
      </c>
      <c r="K44" s="4">
        <v>8001640000000</v>
      </c>
      <c r="L44" s="4">
        <v>3089210000000</v>
      </c>
      <c r="M44" s="4"/>
      <c r="N44" s="4">
        <v>0.0419987</v>
      </c>
      <c r="O44" s="4">
        <v>0.0428021</v>
      </c>
      <c r="P44" s="4">
        <v>32931800000000</v>
      </c>
      <c r="Q44" s="4">
        <v>37198100000</v>
      </c>
      <c r="R44" s="4">
        <v>0</v>
      </c>
      <c r="S44" s="4">
        <v>0</v>
      </c>
      <c r="T44" s="4">
        <v>2</v>
      </c>
      <c r="U44" s="4">
        <v>9409300000000</v>
      </c>
      <c r="V44" s="4">
        <v>6645810000000</v>
      </c>
      <c r="W44" s="4">
        <v>7379240000000</v>
      </c>
      <c r="X44" s="4">
        <v>6608760000000</v>
      </c>
      <c r="Y44" s="4">
        <v>2888680000000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5"/>
      <c r="AO44" s="5"/>
      <c r="AP44" s="5"/>
      <c r="AQ44" s="5"/>
      <c r="AR44" s="5"/>
      <c r="AS44" s="5"/>
      <c r="AT44" s="5"/>
    </row>
    <row r="45" customHeight="1" spans="1:46">
      <c r="A45" s="4">
        <v>0.0440666</v>
      </c>
      <c r="B45" s="4">
        <v>0.0447635</v>
      </c>
      <c r="C45" s="4">
        <v>33648700000000</v>
      </c>
      <c r="D45" s="4">
        <v>8489920000</v>
      </c>
      <c r="E45" s="4">
        <v>0</v>
      </c>
      <c r="F45" s="4">
        <v>0</v>
      </c>
      <c r="G45" s="4">
        <v>2</v>
      </c>
      <c r="H45" s="4">
        <v>10074200000000</v>
      </c>
      <c r="I45" s="4">
        <v>5413010000000</v>
      </c>
      <c r="J45" s="4">
        <v>7926170000000</v>
      </c>
      <c r="K45" s="4">
        <v>7066410000000</v>
      </c>
      <c r="L45" s="4">
        <v>3168860000000</v>
      </c>
      <c r="M45" s="4"/>
      <c r="N45" s="4">
        <v>0.0430261</v>
      </c>
      <c r="O45" s="4">
        <v>0.0438176</v>
      </c>
      <c r="P45" s="4">
        <v>35855200000000</v>
      </c>
      <c r="Q45" s="4">
        <v>41992800000</v>
      </c>
      <c r="R45" s="4">
        <v>0</v>
      </c>
      <c r="S45" s="4">
        <v>0</v>
      </c>
      <c r="T45" s="4">
        <v>2</v>
      </c>
      <c r="U45" s="4">
        <v>10056400000000</v>
      </c>
      <c r="V45" s="4">
        <v>7510960000000</v>
      </c>
      <c r="W45" s="4">
        <v>7223560000000</v>
      </c>
      <c r="X45" s="4">
        <v>7869290000000</v>
      </c>
      <c r="Y45" s="4">
        <v>3195040000000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5"/>
      <c r="AO45" s="5"/>
      <c r="AP45" s="5"/>
      <c r="AQ45" s="5"/>
      <c r="AR45" s="5"/>
      <c r="AS45" s="5"/>
      <c r="AT45" s="5"/>
    </row>
    <row r="46" customHeight="1" spans="1:46">
      <c r="A46" s="4">
        <v>0.0450315</v>
      </c>
      <c r="B46" s="4">
        <v>0.0457221</v>
      </c>
      <c r="C46" s="4">
        <v>34879900000000</v>
      </c>
      <c r="D46" s="4">
        <v>9533760000</v>
      </c>
      <c r="E46" s="4">
        <v>0</v>
      </c>
      <c r="F46" s="4">
        <v>0</v>
      </c>
      <c r="G46" s="4">
        <v>2</v>
      </c>
      <c r="H46" s="4">
        <v>10137500000000</v>
      </c>
      <c r="I46" s="4">
        <v>5420920000000</v>
      </c>
      <c r="J46" s="4">
        <v>8096260000000</v>
      </c>
      <c r="K46" s="4">
        <v>7806330000000</v>
      </c>
      <c r="L46" s="4">
        <v>3418950000000</v>
      </c>
      <c r="M46" s="4"/>
      <c r="N46" s="4">
        <v>0.0440602</v>
      </c>
      <c r="O46" s="4">
        <v>0.044827</v>
      </c>
      <c r="P46" s="4">
        <v>36356900000000</v>
      </c>
      <c r="Q46" s="4">
        <v>35270500000</v>
      </c>
      <c r="R46" s="4">
        <v>0</v>
      </c>
      <c r="S46" s="4">
        <v>0</v>
      </c>
      <c r="T46" s="4">
        <v>2</v>
      </c>
      <c r="U46" s="4">
        <v>10649500000000</v>
      </c>
      <c r="V46" s="4">
        <v>7633790000000</v>
      </c>
      <c r="W46" s="4">
        <v>7466300000000</v>
      </c>
      <c r="X46" s="4">
        <v>7428470000000</v>
      </c>
      <c r="Y46" s="4">
        <v>3178850000000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"/>
      <c r="AO46" s="5"/>
      <c r="AP46" s="5"/>
      <c r="AQ46" s="5"/>
      <c r="AR46" s="5"/>
      <c r="AS46" s="5"/>
      <c r="AT46" s="5"/>
    </row>
    <row r="47" customHeight="1" spans="1:46">
      <c r="A47" s="4">
        <v>0.0460464</v>
      </c>
      <c r="B47" s="4">
        <v>0.0467807</v>
      </c>
      <c r="C47" s="4">
        <v>35406900000000</v>
      </c>
      <c r="D47" s="4">
        <v>6606410000</v>
      </c>
      <c r="E47" s="4">
        <v>0</v>
      </c>
      <c r="F47" s="4">
        <v>0</v>
      </c>
      <c r="G47" s="4">
        <v>2</v>
      </c>
      <c r="H47" s="4">
        <v>10814600000000</v>
      </c>
      <c r="I47" s="4">
        <v>5496980000000</v>
      </c>
      <c r="J47" s="4">
        <v>7996550000000</v>
      </c>
      <c r="K47" s="4">
        <v>7685010000000</v>
      </c>
      <c r="L47" s="4">
        <v>3413760000000</v>
      </c>
      <c r="M47" s="4"/>
      <c r="N47" s="4">
        <v>0.0450072</v>
      </c>
      <c r="O47" s="4">
        <v>0.0457988</v>
      </c>
      <c r="P47" s="4">
        <v>37919900000000</v>
      </c>
      <c r="Q47" s="4">
        <v>38430800000</v>
      </c>
      <c r="R47" s="4">
        <v>0</v>
      </c>
      <c r="S47" s="4">
        <v>0</v>
      </c>
      <c r="T47" s="4">
        <v>2</v>
      </c>
      <c r="U47" s="4">
        <v>11159600000000</v>
      </c>
      <c r="V47" s="4">
        <v>7814640000000</v>
      </c>
      <c r="W47" s="4">
        <v>8137800000000</v>
      </c>
      <c r="X47" s="4">
        <v>7354150000000</v>
      </c>
      <c r="Y47" s="4">
        <v>3453710000000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5"/>
      <c r="AO47" s="5"/>
      <c r="AP47" s="5"/>
      <c r="AQ47" s="5"/>
      <c r="AR47" s="5"/>
      <c r="AS47" s="5"/>
      <c r="AT47" s="5"/>
    </row>
    <row r="48" customHeight="1" spans="1:46">
      <c r="A48" s="4">
        <v>0.0470174</v>
      </c>
      <c r="B48" s="4">
        <v>0.0477394</v>
      </c>
      <c r="C48" s="4">
        <v>33796700000000</v>
      </c>
      <c r="D48" s="4">
        <v>8432400000</v>
      </c>
      <c r="E48" s="4">
        <v>0</v>
      </c>
      <c r="F48" s="4">
        <v>0</v>
      </c>
      <c r="G48" s="4">
        <v>2</v>
      </c>
      <c r="H48" s="4">
        <v>9920540000000</v>
      </c>
      <c r="I48" s="4">
        <v>5319620000000</v>
      </c>
      <c r="J48" s="4">
        <v>7381260000000</v>
      </c>
      <c r="K48" s="4">
        <v>7685070000000</v>
      </c>
      <c r="L48" s="4">
        <v>3490180000000</v>
      </c>
      <c r="M48" s="4"/>
      <c r="N48" s="4">
        <v>0.0459464</v>
      </c>
      <c r="O48" s="4">
        <v>0.0467455</v>
      </c>
      <c r="P48" s="4">
        <v>39436400000000</v>
      </c>
      <c r="Q48" s="4">
        <v>49283400000</v>
      </c>
      <c r="R48" s="4">
        <v>0</v>
      </c>
      <c r="S48" s="4">
        <v>0</v>
      </c>
      <c r="T48" s="4">
        <v>2</v>
      </c>
      <c r="U48" s="4">
        <v>10875500000000</v>
      </c>
      <c r="V48" s="4">
        <v>8658010000000</v>
      </c>
      <c r="W48" s="4">
        <v>9353240000000</v>
      </c>
      <c r="X48" s="4">
        <v>6554350000000</v>
      </c>
      <c r="Y48" s="4">
        <v>3995280000000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5"/>
      <c r="AO48" s="5"/>
      <c r="AP48" s="5"/>
      <c r="AQ48" s="5"/>
      <c r="AR48" s="5"/>
      <c r="AS48" s="5"/>
      <c r="AT48" s="5"/>
    </row>
    <row r="49" customHeight="1" spans="1:46">
      <c r="A49" s="4">
        <v>0.048029</v>
      </c>
      <c r="B49" s="4">
        <v>0.0487426</v>
      </c>
      <c r="C49" s="4">
        <v>34188200000000</v>
      </c>
      <c r="D49" s="4">
        <v>9222480000</v>
      </c>
      <c r="E49" s="4">
        <v>0</v>
      </c>
      <c r="F49" s="4">
        <v>0</v>
      </c>
      <c r="G49" s="4">
        <v>2</v>
      </c>
      <c r="H49" s="4">
        <v>10446000000000</v>
      </c>
      <c r="I49" s="4">
        <v>5011780000000</v>
      </c>
      <c r="J49" s="4">
        <v>7173030000000</v>
      </c>
      <c r="K49" s="4">
        <v>8025220000000</v>
      </c>
      <c r="L49" s="4">
        <v>3532130000000</v>
      </c>
      <c r="M49" s="4"/>
      <c r="N49" s="4">
        <v>0.0469512</v>
      </c>
      <c r="O49" s="4">
        <v>0.0477454</v>
      </c>
      <c r="P49" s="4">
        <v>37917400000000</v>
      </c>
      <c r="Q49" s="4">
        <v>32098700000</v>
      </c>
      <c r="R49" s="4">
        <v>0</v>
      </c>
      <c r="S49" s="4">
        <v>0</v>
      </c>
      <c r="T49" s="4">
        <v>2</v>
      </c>
      <c r="U49" s="4">
        <v>9056480000000</v>
      </c>
      <c r="V49" s="4">
        <v>10556200000000</v>
      </c>
      <c r="W49" s="4">
        <v>8593890000000</v>
      </c>
      <c r="X49" s="4">
        <v>6333240000000</v>
      </c>
      <c r="Y49" s="4">
        <v>3377520000000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5"/>
      <c r="AO49" s="5"/>
      <c r="AP49" s="5"/>
      <c r="AQ49" s="5"/>
      <c r="AR49" s="5"/>
      <c r="AS49" s="5"/>
      <c r="AT49" s="5"/>
    </row>
    <row r="50" customHeight="1" spans="1:46">
      <c r="A50" s="4">
        <v>0.048992</v>
      </c>
      <c r="B50" s="4">
        <v>0.049708</v>
      </c>
      <c r="C50" s="4">
        <v>33339200000000</v>
      </c>
      <c r="D50" s="4">
        <v>7522310000</v>
      </c>
      <c r="E50" s="4">
        <v>0</v>
      </c>
      <c r="F50" s="4">
        <v>0</v>
      </c>
      <c r="G50" s="4">
        <v>2</v>
      </c>
      <c r="H50" s="4">
        <v>8865740000000</v>
      </c>
      <c r="I50" s="4">
        <v>5365760000000</v>
      </c>
      <c r="J50" s="4">
        <v>7060340000000</v>
      </c>
      <c r="K50" s="4">
        <v>8454300000000</v>
      </c>
      <c r="L50" s="4">
        <v>3593060000000</v>
      </c>
      <c r="M50" s="4"/>
      <c r="N50" s="4">
        <v>0.0479176</v>
      </c>
      <c r="O50" s="4">
        <v>0.0487125</v>
      </c>
      <c r="P50" s="4">
        <v>38310100000000</v>
      </c>
      <c r="Q50" s="4">
        <v>38582700000</v>
      </c>
      <c r="R50" s="4">
        <v>0</v>
      </c>
      <c r="S50" s="4">
        <v>0</v>
      </c>
      <c r="T50" s="4">
        <v>2</v>
      </c>
      <c r="U50" s="4">
        <v>7999850000000</v>
      </c>
      <c r="V50" s="4">
        <v>11059200000000</v>
      </c>
      <c r="W50" s="4">
        <v>9417190000000</v>
      </c>
      <c r="X50" s="4">
        <v>5975230000000</v>
      </c>
      <c r="Y50" s="4">
        <v>3858530000000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5"/>
      <c r="AO50" s="5"/>
      <c r="AP50" s="5"/>
      <c r="AQ50" s="5"/>
      <c r="AR50" s="5"/>
      <c r="AS50" s="5"/>
      <c r="AT50" s="5"/>
    </row>
    <row r="51" customHeight="1" spans="1:46">
      <c r="A51" s="4">
        <v>0.0499869</v>
      </c>
      <c r="B51" s="4">
        <v>0.0507369</v>
      </c>
      <c r="C51" s="4">
        <v>31903300000000</v>
      </c>
      <c r="D51" s="4">
        <v>6296840000</v>
      </c>
      <c r="E51" s="4">
        <v>0</v>
      </c>
      <c r="F51" s="4">
        <v>0</v>
      </c>
      <c r="G51" s="4">
        <v>2</v>
      </c>
      <c r="H51" s="4">
        <v>8923020000000</v>
      </c>
      <c r="I51" s="4">
        <v>5802850000000</v>
      </c>
      <c r="J51" s="4">
        <v>6099040000000</v>
      </c>
      <c r="K51" s="4">
        <v>7357110000000</v>
      </c>
      <c r="L51" s="4">
        <v>3721270000000</v>
      </c>
      <c r="M51" s="4"/>
      <c r="N51" s="4">
        <v>0.0489916</v>
      </c>
      <c r="O51" s="4">
        <v>0.0498261</v>
      </c>
      <c r="P51" s="4">
        <v>38825400000000</v>
      </c>
      <c r="Q51" s="4">
        <v>38108400000</v>
      </c>
      <c r="R51" s="4">
        <v>0</v>
      </c>
      <c r="S51" s="4">
        <v>0</v>
      </c>
      <c r="T51" s="4">
        <v>2</v>
      </c>
      <c r="U51" s="4">
        <v>8347350000000</v>
      </c>
      <c r="V51" s="4">
        <v>9960770000000</v>
      </c>
      <c r="W51" s="4">
        <v>10103200000000</v>
      </c>
      <c r="X51" s="4">
        <v>6327970000000</v>
      </c>
      <c r="Y51" s="4">
        <v>4086130000000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5"/>
      <c r="AO51" s="5"/>
      <c r="AP51" s="5"/>
      <c r="AQ51" s="5"/>
      <c r="AR51" s="5"/>
      <c r="AS51" s="5"/>
      <c r="AT51" s="5"/>
    </row>
    <row r="52" customHeight="1" spans="1:46">
      <c r="A52" s="4">
        <v>0.0510476</v>
      </c>
      <c r="B52" s="4">
        <v>0.0517839</v>
      </c>
      <c r="C52" s="4">
        <v>31893900000000</v>
      </c>
      <c r="D52" s="4">
        <v>8491750000</v>
      </c>
      <c r="E52" s="4">
        <v>0</v>
      </c>
      <c r="F52" s="4">
        <v>0</v>
      </c>
      <c r="G52" s="4">
        <v>2</v>
      </c>
      <c r="H52" s="4">
        <v>8140580000000</v>
      </c>
      <c r="I52" s="4">
        <v>6683800000000</v>
      </c>
      <c r="J52" s="4">
        <v>6005960000000</v>
      </c>
      <c r="K52" s="4">
        <v>7315830000000</v>
      </c>
      <c r="L52" s="4">
        <v>3747760000000</v>
      </c>
      <c r="M52" s="4"/>
      <c r="N52" s="4">
        <v>0.0499658</v>
      </c>
      <c r="O52" s="4">
        <v>0.050814</v>
      </c>
      <c r="P52" s="4">
        <v>38772300000000</v>
      </c>
      <c r="Q52" s="4">
        <v>47120700000</v>
      </c>
      <c r="R52" s="4">
        <v>0</v>
      </c>
      <c r="S52" s="4">
        <v>0</v>
      </c>
      <c r="T52" s="4">
        <v>2</v>
      </c>
      <c r="U52" s="4">
        <v>9663630000000</v>
      </c>
      <c r="V52" s="4">
        <v>8702780000000</v>
      </c>
      <c r="W52" s="4">
        <v>9518860000000</v>
      </c>
      <c r="X52" s="4">
        <v>6909820000000</v>
      </c>
      <c r="Y52" s="4">
        <v>3977240000000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5"/>
      <c r="AO52" s="5"/>
      <c r="AP52" s="5"/>
      <c r="AQ52" s="5"/>
      <c r="AR52" s="5"/>
      <c r="AS52" s="5"/>
      <c r="AT52" s="5"/>
    </row>
    <row r="53" customHeight="1" spans="1:40">
      <c r="A53" s="4">
        <v>0.05203</v>
      </c>
      <c r="B53" s="4">
        <v>0.0527565</v>
      </c>
      <c r="C53" s="4">
        <v>33004000000000</v>
      </c>
      <c r="D53" s="4">
        <v>6993460000</v>
      </c>
      <c r="E53" s="4">
        <v>0</v>
      </c>
      <c r="F53" s="4">
        <v>0</v>
      </c>
      <c r="G53" s="4">
        <v>2</v>
      </c>
      <c r="H53" s="4">
        <v>8117860000000</v>
      </c>
      <c r="I53" s="4">
        <v>7337240000000</v>
      </c>
      <c r="J53" s="4">
        <v>6339080000000</v>
      </c>
      <c r="K53" s="4">
        <v>7726720000000</v>
      </c>
      <c r="L53" s="4">
        <v>3483050000000</v>
      </c>
      <c r="M53" s="4"/>
      <c r="N53" s="4">
        <v>0.0509774</v>
      </c>
      <c r="O53" s="4">
        <v>0.0518284</v>
      </c>
      <c r="P53" s="4">
        <v>38870900000000</v>
      </c>
      <c r="Q53" s="4">
        <v>43981600000</v>
      </c>
      <c r="R53" s="4">
        <v>0</v>
      </c>
      <c r="S53" s="4">
        <v>0</v>
      </c>
      <c r="T53" s="4">
        <v>2</v>
      </c>
      <c r="U53" s="4">
        <v>9954390000000</v>
      </c>
      <c r="V53" s="4">
        <v>8192800000000</v>
      </c>
      <c r="W53" s="4">
        <v>9539550000000</v>
      </c>
      <c r="X53" s="4">
        <v>6793040000000</v>
      </c>
      <c r="Y53" s="4">
        <v>4391080000000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customHeight="1" spans="1:40">
      <c r="A54" s="4">
        <v>0.0529967</v>
      </c>
      <c r="B54" s="4">
        <v>0.05372</v>
      </c>
      <c r="C54" s="4">
        <v>33132200000000</v>
      </c>
      <c r="D54" s="4">
        <v>4919420000</v>
      </c>
      <c r="E54" s="4">
        <v>0</v>
      </c>
      <c r="F54" s="4">
        <v>0</v>
      </c>
      <c r="G54" s="4">
        <v>2</v>
      </c>
      <c r="H54" s="4">
        <v>8112520000000</v>
      </c>
      <c r="I54" s="4">
        <v>7839410000000</v>
      </c>
      <c r="J54" s="4">
        <v>6867900000000</v>
      </c>
      <c r="K54" s="4">
        <v>6886800000000</v>
      </c>
      <c r="L54" s="4">
        <v>3425550000000</v>
      </c>
      <c r="M54" s="4"/>
      <c r="N54" s="4">
        <v>0.0520444</v>
      </c>
      <c r="O54" s="4">
        <v>0.0528704</v>
      </c>
      <c r="P54" s="4">
        <v>39759800000000</v>
      </c>
      <c r="Q54" s="4">
        <v>40962900000</v>
      </c>
      <c r="R54" s="4">
        <v>0</v>
      </c>
      <c r="S54" s="4">
        <v>0</v>
      </c>
      <c r="T54" s="4">
        <v>2</v>
      </c>
      <c r="U54" s="4">
        <v>10985400000000</v>
      </c>
      <c r="V54" s="4">
        <v>9221940000000</v>
      </c>
      <c r="W54" s="4">
        <v>8228420000000</v>
      </c>
      <c r="X54" s="4">
        <v>6845850000000</v>
      </c>
      <c r="Y54" s="4">
        <v>4478200000000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customHeight="1" spans="1:25">
      <c r="A55" s="5">
        <v>0.0539626</v>
      </c>
      <c r="B55" s="5">
        <v>0.0547455</v>
      </c>
      <c r="C55" s="5">
        <v>32842200000000</v>
      </c>
      <c r="D55" s="5">
        <v>9428960000</v>
      </c>
      <c r="E55" s="5">
        <v>0</v>
      </c>
      <c r="F55" s="5">
        <v>0</v>
      </c>
      <c r="G55" s="5">
        <v>2</v>
      </c>
      <c r="H55" s="5">
        <v>7907850000000</v>
      </c>
      <c r="I55" s="5">
        <v>8403800000000</v>
      </c>
      <c r="J55" s="5">
        <v>6937870000000</v>
      </c>
      <c r="K55" s="5">
        <v>6308030000000</v>
      </c>
      <c r="L55" s="5">
        <v>3284680000000</v>
      </c>
      <c r="N55" s="18">
        <v>0.0530327</v>
      </c>
      <c r="O55" s="5">
        <v>0.0538569</v>
      </c>
      <c r="P55" s="5">
        <v>38095800000000</v>
      </c>
      <c r="Q55" s="5">
        <v>64970400000</v>
      </c>
      <c r="R55" s="5">
        <v>0</v>
      </c>
      <c r="S55" s="5">
        <v>0</v>
      </c>
      <c r="T55" s="5">
        <v>2</v>
      </c>
      <c r="U55" s="5">
        <v>9623250000000</v>
      </c>
      <c r="V55" s="5">
        <v>9151630000000</v>
      </c>
      <c r="W55" s="5">
        <v>7748710000000</v>
      </c>
      <c r="X55" s="5">
        <v>7293690000000</v>
      </c>
      <c r="Y55" s="5">
        <v>4278560000000</v>
      </c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7"/>
  <sheetViews>
    <sheetView zoomScale="180" zoomScaleNormal="180" workbookViewId="0">
      <selection activeCell="L5" sqref="L5"/>
    </sheetView>
  </sheetViews>
  <sheetFormatPr defaultColWidth="9.01481481481481" defaultRowHeight="15" customHeight="1"/>
  <cols>
    <col min="1" max="1" width="13.562962962963" style="2" customWidth="1"/>
    <col min="4" max="4" width="14.562962962963" style="2" customWidth="1"/>
    <col min="7" max="7" width="11.7407407407407" style="2" customWidth="1"/>
    <col min="8" max="8" width="11.5333333333333" style="2" customWidth="1"/>
    <col min="11" max="11" width="9.20740740740741" style="2" customWidth="1"/>
    <col min="16" max="16" width="12.437037037037" style="2" customWidth="1"/>
    <col min="18" max="18" width="12.437037037037" style="2" customWidth="1"/>
  </cols>
  <sheetData>
    <row r="1" customHeight="1" spans="1:19">
      <c r="A1" s="19" t="s">
        <v>12</v>
      </c>
      <c r="B1" s="19"/>
      <c r="D1" s="19" t="s">
        <v>13</v>
      </c>
      <c r="E1" s="19"/>
      <c r="G1" s="19" t="s">
        <v>4</v>
      </c>
      <c r="H1" s="19"/>
      <c r="J1" s="19" t="s">
        <v>25</v>
      </c>
      <c r="K1" s="19"/>
      <c r="N1" s="7"/>
      <c r="O1" s="7"/>
      <c r="S1" s="7"/>
    </row>
    <row r="2" customHeight="1" spans="1:19">
      <c r="A2" s="5">
        <v>0.00102188</v>
      </c>
      <c r="B2" s="5">
        <v>350017000</v>
      </c>
      <c r="D2" s="5">
        <v>0.000963356</v>
      </c>
      <c r="E2" s="5">
        <v>361296000</v>
      </c>
      <c r="G2" s="5">
        <v>0.0010417</v>
      </c>
      <c r="H2" s="18">
        <v>353684000</v>
      </c>
      <c r="K2" s="3" t="s">
        <v>16</v>
      </c>
      <c r="L2" s="3" t="s">
        <v>17</v>
      </c>
      <c r="M2" s="3" t="s">
        <v>18</v>
      </c>
      <c r="N2" s="7" t="s">
        <v>19</v>
      </c>
      <c r="O2" s="7" t="s">
        <v>20</v>
      </c>
      <c r="P2" s="3" t="s">
        <v>21</v>
      </c>
      <c r="Q2" s="3" t="s">
        <v>22</v>
      </c>
      <c r="R2" s="3" t="s">
        <v>23</v>
      </c>
      <c r="S2" s="7" t="s">
        <v>24</v>
      </c>
    </row>
    <row r="3" customHeight="1" spans="1:19">
      <c r="A3" s="5">
        <v>0.00197994</v>
      </c>
      <c r="B3" s="5">
        <v>314218000</v>
      </c>
      <c r="D3" s="5">
        <v>0.00202829</v>
      </c>
      <c r="E3" s="5">
        <v>306104000</v>
      </c>
      <c r="G3" s="18">
        <v>0.00203891</v>
      </c>
      <c r="H3" s="5">
        <v>311264000</v>
      </c>
      <c r="J3" s="3" t="s">
        <v>2</v>
      </c>
      <c r="K3" s="3">
        <f>AVERAGE(B28:B32)/1000000</f>
        <v>234.5666</v>
      </c>
      <c r="L3" s="5">
        <f>AVERAGE('400K_SR1e4'!L28:L32)</f>
        <v>4558170000000</v>
      </c>
      <c r="M3" s="5">
        <f>AVERAGE('400K_SR1e4'!C28:C32)</f>
        <v>70666750000000</v>
      </c>
      <c r="N3" s="7">
        <f>Graphs!$B$1*80.9*0.248*SQRT(L3)/1000000</f>
        <v>21.4173367869639</v>
      </c>
      <c r="O3" s="7">
        <f>Graphs!$B$2*80.9*0.248*SQRT(M3)/1000000</f>
        <v>8.43291583676126</v>
      </c>
      <c r="P3" s="3">
        <f>SQRT(N3^2+O3^2)</f>
        <v>23.0177406483811</v>
      </c>
      <c r="Q3" s="3">
        <f>K3*0.4707</f>
        <v>110.41049862</v>
      </c>
      <c r="R3" s="3">
        <f>Q3/P3</f>
        <v>4.79675656732042</v>
      </c>
      <c r="S3" s="7">
        <f>L3/M3</f>
        <v>0.0645023295963094</v>
      </c>
    </row>
    <row r="4" customHeight="1" spans="1:19">
      <c r="A4" s="5">
        <v>0.00296088</v>
      </c>
      <c r="B4" s="5">
        <v>277565000</v>
      </c>
      <c r="D4" s="5">
        <v>0.00306084</v>
      </c>
      <c r="E4" s="5">
        <v>265724000</v>
      </c>
      <c r="G4" s="18">
        <v>0.00294132</v>
      </c>
      <c r="H4" s="5">
        <v>282639000</v>
      </c>
      <c r="J4" s="3" t="s">
        <v>3</v>
      </c>
      <c r="K4" s="3">
        <f>AVERAGE(E28:E32)/1000000</f>
        <v>233.5924</v>
      </c>
      <c r="L4" s="5">
        <f>AVERAGE('400K_SR1e4'!Y28:Y32)</f>
        <v>3811575000000</v>
      </c>
      <c r="M4" s="5">
        <f>AVERAGE('400K_SR1e4'!P28:P32)</f>
        <v>63141175000000</v>
      </c>
      <c r="N4" s="7">
        <f>Graphs!$B$1*80.9*0.248*SQRT(L4)/1000000</f>
        <v>19.5849488507459</v>
      </c>
      <c r="O4" s="7">
        <f>Graphs!$B$2*80.9*0.248*SQRT(M4)/1000000</f>
        <v>7.97125195490126</v>
      </c>
      <c r="P4" s="3">
        <f>SQRT(N4^2+O4^2)</f>
        <v>21.1450012819779</v>
      </c>
      <c r="Q4" s="3">
        <f>K4*0.4707</f>
        <v>109.95194268</v>
      </c>
      <c r="R4" s="3">
        <f>Q4/P4</f>
        <v>5.19990238892598</v>
      </c>
      <c r="S4" s="7">
        <f>L4/M4</f>
        <v>0.0603659181191988</v>
      </c>
    </row>
    <row r="5" customHeight="1" spans="1:19">
      <c r="A5" s="5">
        <v>0.00407197</v>
      </c>
      <c r="B5" s="5">
        <v>258320000</v>
      </c>
      <c r="D5" s="5">
        <v>0.00397553</v>
      </c>
      <c r="E5" s="5">
        <v>264496000</v>
      </c>
      <c r="G5" s="18">
        <v>0.00394968</v>
      </c>
      <c r="H5" s="5">
        <v>271241000</v>
      </c>
      <c r="J5" s="3" t="s">
        <v>4</v>
      </c>
      <c r="K5" s="5">
        <f>AVERAGE(H28:H32)/1000000</f>
        <v>235.0988</v>
      </c>
      <c r="L5" s="5">
        <f>AVERAGE('400K_SR1e4'!AL27:AL31)</f>
        <v>3060894000000</v>
      </c>
      <c r="M5" s="5">
        <f>AVERAGE('400K_SR1e4'!AC28:AC32)</f>
        <v>60385350000000</v>
      </c>
      <c r="N5" s="7">
        <f>Graphs!$B$1*80.9*0.248*SQRT(L5)/1000000</f>
        <v>17.5506963250554</v>
      </c>
      <c r="O5" s="7">
        <f>Graphs!$B$2*80.9*0.248*SQRT(M5)/1000000</f>
        <v>7.79535684853176</v>
      </c>
      <c r="P5" s="3">
        <f>SQRT(N5^2+O5^2)</f>
        <v>19.2040237942537</v>
      </c>
      <c r="Q5" s="3">
        <f>K5*0.4707</f>
        <v>110.66100516</v>
      </c>
      <c r="R5" s="3">
        <f>Q5/P5</f>
        <v>5.7623863803539</v>
      </c>
      <c r="S5" s="7">
        <f>L5/M5</f>
        <v>0.050689347664624</v>
      </c>
    </row>
    <row r="6" customHeight="1" spans="1:8">
      <c r="A6" s="5">
        <v>0.00498499</v>
      </c>
      <c r="B6" s="5">
        <v>270691000</v>
      </c>
      <c r="D6" s="5">
        <v>0.0049934</v>
      </c>
      <c r="E6" s="5">
        <v>266452000</v>
      </c>
      <c r="G6" s="18">
        <v>0.0050406</v>
      </c>
      <c r="H6" s="5">
        <v>271997000</v>
      </c>
    </row>
    <row r="7" customHeight="1" spans="1:8">
      <c r="A7" s="5">
        <v>0.00595392</v>
      </c>
      <c r="B7" s="5">
        <v>277589000</v>
      </c>
      <c r="D7" s="5">
        <v>0.00604584</v>
      </c>
      <c r="E7" s="5">
        <v>256098000</v>
      </c>
      <c r="G7" s="18">
        <v>0.00595303</v>
      </c>
      <c r="H7" s="5">
        <v>262448000</v>
      </c>
    </row>
    <row r="8" customHeight="1" spans="1:8">
      <c r="A8" s="5">
        <v>0.00703483</v>
      </c>
      <c r="B8" s="5">
        <v>257927000</v>
      </c>
      <c r="D8" s="5">
        <v>0.0069632</v>
      </c>
      <c r="E8" s="5">
        <v>251898000</v>
      </c>
      <c r="G8" s="18">
        <v>0.0070536</v>
      </c>
      <c r="H8" s="5">
        <v>251785000</v>
      </c>
    </row>
    <row r="9" customHeight="1" spans="1:8">
      <c r="A9" s="5">
        <v>0.00801875</v>
      </c>
      <c r="B9" s="5">
        <v>255797000</v>
      </c>
      <c r="D9" s="5">
        <v>0.00797289</v>
      </c>
      <c r="E9" s="5">
        <v>234443000</v>
      </c>
      <c r="G9" s="18">
        <v>0.00800952</v>
      </c>
      <c r="H9" s="5">
        <v>255489000</v>
      </c>
    </row>
    <row r="10" customHeight="1" spans="1:8">
      <c r="A10" s="5">
        <v>0.009008</v>
      </c>
      <c r="B10" s="5">
        <v>268476000</v>
      </c>
      <c r="D10" s="5">
        <v>0.00904562</v>
      </c>
      <c r="E10" s="5">
        <v>239602000</v>
      </c>
      <c r="G10" s="18">
        <v>0.00896412</v>
      </c>
      <c r="H10" s="5">
        <v>244539000</v>
      </c>
    </row>
    <row r="11" customHeight="1" spans="1:19">
      <c r="A11" s="5">
        <v>0.00996393</v>
      </c>
      <c r="B11" s="5">
        <v>252650000</v>
      </c>
      <c r="D11" s="5">
        <v>0.00995191</v>
      </c>
      <c r="E11" s="5">
        <v>248153000</v>
      </c>
      <c r="G11" s="18">
        <v>0.0100392</v>
      </c>
      <c r="H11" s="5">
        <v>237363000</v>
      </c>
      <c r="J11" s="3" t="s">
        <v>2</v>
      </c>
      <c r="K11" s="3">
        <f>AVERAGE(B12:B16)/1000000</f>
        <v>251.3294</v>
      </c>
      <c r="L11" s="5">
        <f>AVERAGE('400K_SR1e4'!L12:L16)</f>
        <v>1757734000000</v>
      </c>
      <c r="M11" s="5">
        <f>AVERAGE('400K_SR1e4'!C12:C16)</f>
        <v>48671320000000</v>
      </c>
      <c r="N11" s="7">
        <f>Graphs!$B$1*80.9*0.248*SQRT(L11)/1000000</f>
        <v>13.2998512431855</v>
      </c>
      <c r="O11" s="7">
        <f>Graphs!$B$2*80.9*0.248*SQRT(M11)/1000000</f>
        <v>6.99852904221544</v>
      </c>
      <c r="P11" s="3">
        <f>SQRT(N11^2+O11^2)</f>
        <v>15.0288207070813</v>
      </c>
      <c r="Q11" s="3">
        <f>K11*0.4707</f>
        <v>118.30074858</v>
      </c>
      <c r="R11" s="3">
        <f>Q11/P11</f>
        <v>7.87159224836975</v>
      </c>
      <c r="S11" s="7">
        <f>L11/M11</f>
        <v>0.036114368790491</v>
      </c>
    </row>
    <row r="12" customHeight="1" spans="1:19">
      <c r="A12" s="5">
        <v>0.0110086</v>
      </c>
      <c r="B12" s="5">
        <v>246094000</v>
      </c>
      <c r="D12" s="5">
        <v>0.0109332</v>
      </c>
      <c r="E12" s="5">
        <v>254112000</v>
      </c>
      <c r="G12" s="18">
        <v>0.0109621</v>
      </c>
      <c r="H12" s="5">
        <v>265749000</v>
      </c>
      <c r="J12" s="3" t="s">
        <v>3</v>
      </c>
      <c r="K12" s="3">
        <f>AVERAGE(E12:E16)/1000000</f>
        <v>243.1692</v>
      </c>
      <c r="L12" s="5">
        <f>AVERAGE('400K_SR1e4'!Y12:Y16)</f>
        <v>2235864000000</v>
      </c>
      <c r="M12" s="5">
        <f>AVERAGE('400K_SR1e4'!P12:P16)</f>
        <v>55725020000000</v>
      </c>
      <c r="N12" s="7">
        <f>Graphs!$B$1*80.9*0.248*SQRT(L12)/1000000</f>
        <v>15.0000566229717</v>
      </c>
      <c r="O12" s="7">
        <f>Graphs!$B$2*80.9*0.248*SQRT(M12)/1000000</f>
        <v>7.48850843453887</v>
      </c>
      <c r="P12" s="3">
        <f>SQRT(N12^2+O12^2)</f>
        <v>16.7654244582866</v>
      </c>
      <c r="Q12" s="3">
        <f>K12*0.4707</f>
        <v>114.45974244</v>
      </c>
      <c r="R12" s="3">
        <f>Q12/P12</f>
        <v>6.82713060589564</v>
      </c>
      <c r="S12" s="7">
        <f>L12/M12</f>
        <v>0.0401231619118306</v>
      </c>
    </row>
    <row r="13" customHeight="1" spans="1:19">
      <c r="A13" s="5">
        <v>0.0119785</v>
      </c>
      <c r="B13" s="5">
        <v>245591000</v>
      </c>
      <c r="D13" s="5">
        <v>0.0120251</v>
      </c>
      <c r="E13" s="5">
        <v>243948000</v>
      </c>
      <c r="G13" s="18">
        <v>0.0119855</v>
      </c>
      <c r="H13" s="5">
        <v>267078000</v>
      </c>
      <c r="J13" s="3" t="s">
        <v>4</v>
      </c>
      <c r="K13" s="3">
        <f>AVERAGE(H12:H16)/1000000</f>
        <v>255.0352</v>
      </c>
      <c r="L13" s="5">
        <f>AVERAGE('400K_SR1e4'!AL12:AL16)</f>
        <v>1999528000000</v>
      </c>
      <c r="M13" s="5">
        <f>AVERAGE('400K_SR1e4'!AC12:AC16)</f>
        <v>52577920000000</v>
      </c>
      <c r="N13" s="7">
        <f>Graphs!$B$1*80.9*0.248*SQRT(L13)/1000000</f>
        <v>14.1851506281985</v>
      </c>
      <c r="O13" s="7">
        <f>Graphs!$B$2*80.9*0.248*SQRT(M13)/1000000</f>
        <v>7.27397673054279</v>
      </c>
      <c r="P13" s="3">
        <f>SQRT(N13^2+O13^2)</f>
        <v>15.9414314232179</v>
      </c>
      <c r="Q13" s="3">
        <f>K13*0.4707</f>
        <v>120.04506864</v>
      </c>
      <c r="R13" s="3">
        <f>Q13/P13</f>
        <v>7.53038202486388</v>
      </c>
      <c r="S13" s="7">
        <f>L13/M13</f>
        <v>0.0380298041459229</v>
      </c>
    </row>
    <row r="14" customHeight="1" spans="1:8">
      <c r="A14" s="5">
        <v>0.0129574</v>
      </c>
      <c r="B14" s="5">
        <v>258075000</v>
      </c>
      <c r="D14" s="5">
        <v>0.0130194</v>
      </c>
      <c r="E14" s="5">
        <v>231330000</v>
      </c>
      <c r="G14" s="18">
        <v>0.0130597</v>
      </c>
      <c r="H14" s="5">
        <v>243471000</v>
      </c>
    </row>
    <row r="15" customHeight="1" spans="1:8">
      <c r="A15" s="5">
        <v>0.014024</v>
      </c>
      <c r="B15" s="5">
        <v>254755000</v>
      </c>
      <c r="D15" s="5">
        <v>0.0140235</v>
      </c>
      <c r="E15" s="5">
        <v>241415000</v>
      </c>
      <c r="G15" s="18">
        <v>0.0140113</v>
      </c>
      <c r="H15" s="5">
        <v>248734000</v>
      </c>
    </row>
    <row r="16" customHeight="1" spans="1:8">
      <c r="A16" s="5">
        <v>0.0149727</v>
      </c>
      <c r="B16" s="5">
        <v>252132000</v>
      </c>
      <c r="D16" s="5">
        <v>0.0149985</v>
      </c>
      <c r="E16" s="5">
        <v>245041000</v>
      </c>
      <c r="G16" s="18">
        <v>0.0149661</v>
      </c>
      <c r="H16" s="5">
        <v>250144000</v>
      </c>
    </row>
    <row r="17" customHeight="1" spans="1:8">
      <c r="A17" s="5">
        <v>0.0160491</v>
      </c>
      <c r="B17" s="5">
        <v>242072000</v>
      </c>
      <c r="D17" s="5">
        <v>0.0160006</v>
      </c>
      <c r="E17" s="5">
        <v>232397000</v>
      </c>
      <c r="G17" s="18">
        <v>0.0160058</v>
      </c>
      <c r="H17" s="5">
        <v>250041000</v>
      </c>
    </row>
    <row r="18" customHeight="1" spans="1:8">
      <c r="A18" s="5">
        <v>0.0169949</v>
      </c>
      <c r="B18" s="5">
        <v>256742000</v>
      </c>
      <c r="D18" s="5">
        <v>0.0169858</v>
      </c>
      <c r="E18" s="5">
        <v>237580000</v>
      </c>
      <c r="G18" s="18">
        <v>0.0170428</v>
      </c>
      <c r="H18" s="5">
        <v>240682000</v>
      </c>
    </row>
    <row r="19" customHeight="1" spans="1:8">
      <c r="A19" s="5">
        <v>0.0180077</v>
      </c>
      <c r="B19" s="5">
        <v>246598000</v>
      </c>
      <c r="D19" s="5">
        <v>0.0179744</v>
      </c>
      <c r="E19" s="5">
        <v>233938000</v>
      </c>
      <c r="G19" s="18">
        <v>0.0180542</v>
      </c>
      <c r="H19" s="5">
        <v>248160000</v>
      </c>
    </row>
    <row r="20" customHeight="1" spans="1:8">
      <c r="A20" s="5">
        <v>0.0190439</v>
      </c>
      <c r="B20" s="5">
        <v>236621000</v>
      </c>
      <c r="D20" s="5">
        <v>0.0189924</v>
      </c>
      <c r="E20" s="5">
        <v>236067000</v>
      </c>
      <c r="G20" s="18">
        <v>0.0190134</v>
      </c>
      <c r="H20" s="5">
        <v>254560000</v>
      </c>
    </row>
    <row r="21" customHeight="1" spans="1:8">
      <c r="A21" s="5">
        <v>0.020001</v>
      </c>
      <c r="B21" s="5">
        <v>236542000</v>
      </c>
      <c r="D21" s="5">
        <v>0.0199881</v>
      </c>
      <c r="E21" s="5">
        <v>240554000</v>
      </c>
      <c r="G21" s="18">
        <v>0.0200091</v>
      </c>
      <c r="H21" s="5">
        <v>237756000</v>
      </c>
    </row>
    <row r="22" customHeight="1" spans="1:8">
      <c r="A22" s="5">
        <v>0.0209453</v>
      </c>
      <c r="B22" s="5">
        <v>236825000</v>
      </c>
      <c r="D22" s="5">
        <v>0.0210564</v>
      </c>
      <c r="E22" s="5">
        <v>237304000</v>
      </c>
      <c r="G22" s="18">
        <v>0.0209744</v>
      </c>
      <c r="H22" s="5">
        <v>239321000</v>
      </c>
    </row>
    <row r="23" customHeight="1" spans="1:8">
      <c r="A23" s="5">
        <v>0.0220266</v>
      </c>
      <c r="B23" s="5">
        <v>229311000</v>
      </c>
      <c r="D23" s="5">
        <v>0.0219728</v>
      </c>
      <c r="E23" s="5">
        <v>233515000</v>
      </c>
      <c r="G23" s="18">
        <v>0.022014</v>
      </c>
      <c r="H23" s="5">
        <v>247824000</v>
      </c>
    </row>
    <row r="24" customHeight="1" spans="1:8">
      <c r="A24" s="5">
        <v>0.0229874</v>
      </c>
      <c r="B24" s="5">
        <v>238586000</v>
      </c>
      <c r="D24" s="5">
        <v>0.0230247</v>
      </c>
      <c r="E24" s="5">
        <v>223892000</v>
      </c>
      <c r="G24" s="18">
        <v>0.023007</v>
      </c>
      <c r="H24" s="5">
        <v>244945000</v>
      </c>
    </row>
    <row r="25" customHeight="1" spans="1:8">
      <c r="A25" s="5">
        <v>0.0239655</v>
      </c>
      <c r="B25" s="5">
        <v>234572000</v>
      </c>
      <c r="D25" s="5">
        <v>0.0240027</v>
      </c>
      <c r="E25" s="5">
        <v>235421000</v>
      </c>
      <c r="G25" s="18">
        <v>0.0240314</v>
      </c>
      <c r="H25" s="5">
        <v>245618000</v>
      </c>
    </row>
    <row r="26" customHeight="1" spans="1:8">
      <c r="A26" s="5">
        <v>0.0250159</v>
      </c>
      <c r="B26" s="5">
        <v>227400000</v>
      </c>
      <c r="D26" s="5">
        <v>0.024972</v>
      </c>
      <c r="E26" s="5">
        <v>229235000</v>
      </c>
      <c r="G26" s="18">
        <v>0.0250434</v>
      </c>
      <c r="H26" s="5">
        <v>238954000</v>
      </c>
    </row>
    <row r="27" customHeight="1" spans="1:8">
      <c r="A27" s="5">
        <v>0.0260289</v>
      </c>
      <c r="B27" s="5">
        <v>233841000</v>
      </c>
      <c r="D27" s="5">
        <v>0.0260501</v>
      </c>
      <c r="E27" s="5">
        <v>236491000</v>
      </c>
      <c r="G27" s="18">
        <v>0.0260015</v>
      </c>
      <c r="H27" s="5">
        <v>244740000</v>
      </c>
    </row>
    <row r="28" customHeight="1" spans="1:8">
      <c r="A28" s="5">
        <v>0.0270096</v>
      </c>
      <c r="B28" s="5">
        <v>233351000</v>
      </c>
      <c r="D28" s="5">
        <v>0.0270333</v>
      </c>
      <c r="E28" s="5">
        <v>226414000</v>
      </c>
      <c r="G28" s="18">
        <v>0.0270663</v>
      </c>
      <c r="H28" s="5">
        <v>239286000</v>
      </c>
    </row>
    <row r="29" customHeight="1" spans="1:8">
      <c r="A29" s="5">
        <v>0.0279857</v>
      </c>
      <c r="B29" s="5">
        <v>241685000</v>
      </c>
      <c r="D29" s="5">
        <v>0.0280049</v>
      </c>
      <c r="E29" s="5">
        <v>237919000</v>
      </c>
      <c r="G29" s="18">
        <v>0.0280162</v>
      </c>
      <c r="H29" s="5">
        <v>227253000</v>
      </c>
    </row>
    <row r="30" customHeight="1" spans="1:8">
      <c r="A30" s="5">
        <v>0.0290064</v>
      </c>
      <c r="B30" s="5">
        <v>235431000</v>
      </c>
      <c r="D30" s="5">
        <v>0.0290274</v>
      </c>
      <c r="E30" s="5">
        <v>230894000</v>
      </c>
      <c r="G30" s="18">
        <v>0.0289839</v>
      </c>
      <c r="H30" s="5">
        <v>228350000</v>
      </c>
    </row>
    <row r="31" customHeight="1" spans="1:8">
      <c r="A31" s="5">
        <v>0.0300362</v>
      </c>
      <c r="B31" s="5">
        <v>224947000</v>
      </c>
      <c r="D31" s="5">
        <v>0.0300245</v>
      </c>
      <c r="E31" s="5">
        <v>230662000</v>
      </c>
      <c r="G31" s="18">
        <v>0.0300379</v>
      </c>
      <c r="H31" s="5">
        <v>242967000</v>
      </c>
    </row>
    <row r="32" customHeight="1" spans="1:8">
      <c r="A32" s="5">
        <v>0.0310124</v>
      </c>
      <c r="B32" s="5">
        <v>237419000</v>
      </c>
      <c r="D32" s="5">
        <v>0.0309599</v>
      </c>
      <c r="E32" s="5">
        <v>242073000</v>
      </c>
      <c r="G32" s="18">
        <v>0.0310728</v>
      </c>
      <c r="H32" s="5">
        <v>237638000</v>
      </c>
    </row>
    <row r="33" customHeight="1" spans="1:8">
      <c r="A33" s="5"/>
      <c r="B33" s="5"/>
      <c r="D33" s="5"/>
      <c r="E33" s="5"/>
      <c r="G33" s="18"/>
      <c r="H33" s="5"/>
    </row>
    <row r="34" customHeight="1" spans="1:8">
      <c r="A34" s="5"/>
      <c r="B34" s="5"/>
      <c r="D34" s="5"/>
      <c r="E34" s="5"/>
      <c r="G34" s="18"/>
      <c r="H34" s="5"/>
    </row>
    <row r="35" customHeight="1" spans="1:8">
      <c r="A35" s="5"/>
      <c r="B35" s="5"/>
      <c r="D35" s="5"/>
      <c r="E35" s="5"/>
      <c r="G35" s="18"/>
      <c r="H35" s="5"/>
    </row>
    <row r="36" customHeight="1" spans="1:8">
      <c r="A36" s="5"/>
      <c r="B36" s="5"/>
      <c r="D36" s="5"/>
      <c r="E36" s="5"/>
      <c r="G36" s="18"/>
      <c r="H36" s="5"/>
    </row>
    <row r="37" customHeight="1" spans="1:8">
      <c r="A37" s="5"/>
      <c r="B37" s="5"/>
      <c r="D37" s="5"/>
      <c r="E37" s="5"/>
      <c r="G37" s="18"/>
      <c r="H37" s="5"/>
    </row>
    <row r="38" customHeight="1" spans="1:8">
      <c r="A38" s="5"/>
      <c r="B38" s="5"/>
      <c r="D38" s="5"/>
      <c r="E38" s="5"/>
      <c r="G38" s="18"/>
      <c r="H38" s="5"/>
    </row>
    <row r="39" customHeight="1" spans="1:8">
      <c r="A39" s="5"/>
      <c r="B39" s="5"/>
      <c r="D39" s="5"/>
      <c r="E39" s="5"/>
      <c r="G39" s="18"/>
      <c r="H39" s="5"/>
    </row>
    <row r="40" customHeight="1" spans="1:8">
      <c r="A40" s="5"/>
      <c r="B40" s="5"/>
      <c r="D40" s="5"/>
      <c r="E40" s="5"/>
      <c r="G40" s="18"/>
      <c r="H40" s="5"/>
    </row>
    <row r="41" customHeight="1" spans="1:8">
      <c r="A41" s="5"/>
      <c r="B41" s="5"/>
      <c r="D41" s="5"/>
      <c r="E41" s="5"/>
      <c r="G41" s="18"/>
      <c r="H41" s="5"/>
    </row>
    <row r="42" customHeight="1" spans="1:8">
      <c r="A42" s="5"/>
      <c r="B42" s="5"/>
      <c r="D42" s="5"/>
      <c r="E42" s="5"/>
      <c r="G42" s="18"/>
      <c r="H42" s="5"/>
    </row>
    <row r="43" customHeight="1" spans="1:8">
      <c r="A43" s="5"/>
      <c r="B43" s="5"/>
      <c r="D43" s="5"/>
      <c r="E43" s="5"/>
      <c r="G43" s="18"/>
      <c r="H43" s="5"/>
    </row>
    <row r="44" customHeight="1" spans="1:8">
      <c r="A44" s="5"/>
      <c r="B44" s="5"/>
      <c r="D44" s="5"/>
      <c r="E44" s="5"/>
      <c r="G44" s="18"/>
      <c r="H44" s="5"/>
    </row>
    <row r="45" customHeight="1" spans="1:8">
      <c r="A45" s="5"/>
      <c r="B45" s="5"/>
      <c r="D45" s="5"/>
      <c r="E45" s="5"/>
      <c r="G45" s="18"/>
      <c r="H45" s="5"/>
    </row>
    <row r="46" customHeight="1" spans="1:8">
      <c r="A46" s="5"/>
      <c r="B46" s="5"/>
      <c r="D46" s="5"/>
      <c r="E46" s="5"/>
      <c r="G46" s="18"/>
      <c r="H46" s="5"/>
    </row>
    <row r="47" customHeight="1" spans="1:8">
      <c r="A47" s="5"/>
      <c r="B47" s="5"/>
      <c r="D47" s="5"/>
      <c r="E47" s="5"/>
      <c r="G47" s="18"/>
      <c r="H47" s="5"/>
    </row>
    <row r="48" customHeight="1" spans="1:8">
      <c r="A48" s="5"/>
      <c r="B48" s="5"/>
      <c r="D48" s="5"/>
      <c r="E48" s="5"/>
      <c r="G48" s="18"/>
      <c r="H48" s="5"/>
    </row>
    <row r="49" customHeight="1" spans="1:8">
      <c r="A49" s="5"/>
      <c r="B49" s="5"/>
      <c r="D49" s="5"/>
      <c r="E49" s="5"/>
      <c r="G49" s="18"/>
      <c r="H49" s="5"/>
    </row>
    <row r="50" customHeight="1" spans="1:8">
      <c r="A50" s="5"/>
      <c r="B50" s="5"/>
      <c r="D50" s="5"/>
      <c r="E50" s="5"/>
      <c r="G50" s="18"/>
      <c r="H50" s="5"/>
    </row>
    <row r="51" customHeight="1" spans="1:8">
      <c r="A51" s="5"/>
      <c r="B51" s="5"/>
      <c r="D51" s="5"/>
      <c r="E51" s="5"/>
      <c r="G51" s="18"/>
      <c r="H51" s="5"/>
    </row>
    <row r="52" customHeight="1" spans="1:8">
      <c r="A52" s="5"/>
      <c r="B52" s="5"/>
      <c r="D52" s="5"/>
      <c r="E52" s="5"/>
      <c r="G52" s="18"/>
      <c r="H52" s="5"/>
    </row>
    <row r="53" customHeight="1" spans="1:8">
      <c r="A53" s="5"/>
      <c r="B53" s="5"/>
      <c r="D53" s="5"/>
      <c r="E53" s="5"/>
      <c r="G53" s="18"/>
      <c r="H53" s="5"/>
    </row>
    <row r="54" customHeight="1" spans="4:5">
      <c r="D54" s="5"/>
      <c r="E54" s="5"/>
    </row>
    <row r="55" customHeight="1" spans="4:5">
      <c r="D55" s="5"/>
      <c r="E55" s="5"/>
    </row>
    <row r="56" customHeight="1" spans="4:5">
      <c r="D56" s="5"/>
      <c r="E56" s="5"/>
    </row>
    <row r="57" customHeight="1" spans="4:5">
      <c r="D57" s="5"/>
      <c r="E57" s="5"/>
    </row>
    <row r="58" customHeight="1" spans="4:5">
      <c r="D58" s="5"/>
      <c r="E58" s="5"/>
    </row>
    <row r="59" customHeight="1" spans="4:5">
      <c r="D59" s="5"/>
      <c r="E59" s="5"/>
    </row>
    <row r="60" customHeight="1" spans="4:5">
      <c r="D60" s="5"/>
      <c r="E60" s="5"/>
    </row>
    <row r="61" customHeight="1" spans="4:5">
      <c r="D61" s="5"/>
      <c r="E61" s="5"/>
    </row>
    <row r="62" customHeight="1" spans="4:5">
      <c r="D62" s="5"/>
      <c r="E62" s="5"/>
    </row>
    <row r="63" customHeight="1" spans="4:5">
      <c r="D63" s="5"/>
      <c r="E63" s="5"/>
    </row>
    <row r="64" customHeight="1" spans="4:5">
      <c r="D64" s="5"/>
      <c r="E64" s="5"/>
    </row>
    <row r="65" customHeight="1" spans="4:5">
      <c r="D65" s="5"/>
      <c r="E65" s="5"/>
    </row>
    <row r="66" customHeight="1" spans="4:5">
      <c r="D66" s="5"/>
      <c r="E66" s="5"/>
    </row>
    <row r="67" customHeight="1" spans="4:5">
      <c r="D67" s="5"/>
      <c r="E67" s="5"/>
    </row>
  </sheetData>
  <mergeCells count="4">
    <mergeCell ref="A1:B1"/>
    <mergeCell ref="D1:E1"/>
    <mergeCell ref="G1:H1"/>
    <mergeCell ref="J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7"/>
  <sheetViews>
    <sheetView zoomScale="180" zoomScaleNormal="180" workbookViewId="0">
      <selection activeCell="AA32" sqref="AA32"/>
    </sheetView>
  </sheetViews>
  <sheetFormatPr defaultColWidth="9.01481481481481" defaultRowHeight="15" customHeight="1"/>
  <cols>
    <col min="1" max="1" width="13.562962962963" style="2" customWidth="1"/>
  </cols>
  <sheetData>
    <row r="1" customHeight="1" spans="1:46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N1" s="19" t="s">
        <v>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AA1" s="19" t="s">
        <v>4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N1" s="20" t="s">
        <v>5</v>
      </c>
      <c r="AO1" s="20" t="s">
        <v>6</v>
      </c>
      <c r="AP1" s="20" t="s">
        <v>7</v>
      </c>
      <c r="AQ1" s="20" t="s">
        <v>8</v>
      </c>
      <c r="AR1" s="3" t="s">
        <v>9</v>
      </c>
      <c r="AS1" s="3" t="s">
        <v>10</v>
      </c>
      <c r="AT1" s="3" t="s">
        <v>11</v>
      </c>
    </row>
    <row r="2" customHeight="1" spans="1:46">
      <c r="A2" s="5">
        <v>0.00102188</v>
      </c>
      <c r="B2" s="5">
        <v>0.00268984</v>
      </c>
      <c r="C2" s="5">
        <v>28564700000000</v>
      </c>
      <c r="D2" s="5">
        <v>24651700000</v>
      </c>
      <c r="E2" s="5">
        <v>0</v>
      </c>
      <c r="F2" s="5">
        <v>0</v>
      </c>
      <c r="G2" s="5">
        <v>2</v>
      </c>
      <c r="H2" s="5">
        <v>7428630000000</v>
      </c>
      <c r="I2" s="5">
        <v>6993240000000</v>
      </c>
      <c r="J2" s="5">
        <v>7579920000000</v>
      </c>
      <c r="K2" s="5">
        <v>6340060000000</v>
      </c>
      <c r="L2" s="5">
        <v>222875000000</v>
      </c>
      <c r="N2" s="5">
        <v>0.000963356</v>
      </c>
      <c r="O2" s="5">
        <v>0.00268506</v>
      </c>
      <c r="P2" s="5">
        <v>26643500000000</v>
      </c>
      <c r="Q2" s="5">
        <v>22681000000</v>
      </c>
      <c r="R2" s="5">
        <v>0</v>
      </c>
      <c r="S2" s="5">
        <v>0</v>
      </c>
      <c r="T2" s="5">
        <v>2</v>
      </c>
      <c r="U2" s="5">
        <v>5854340000000</v>
      </c>
      <c r="V2" s="5">
        <v>7384610000000</v>
      </c>
      <c r="W2" s="5">
        <v>6324560000000</v>
      </c>
      <c r="X2" s="5">
        <v>6960200000000</v>
      </c>
      <c r="Y2" s="5">
        <v>119749000000</v>
      </c>
      <c r="AA2" s="5">
        <v>0.0010417</v>
      </c>
      <c r="AB2" s="5">
        <v>0.00272717</v>
      </c>
      <c r="AC2" s="5">
        <v>25314700000000</v>
      </c>
      <c r="AD2" s="5">
        <v>14828000000</v>
      </c>
      <c r="AE2" s="5">
        <v>0</v>
      </c>
      <c r="AF2" s="5">
        <v>0</v>
      </c>
      <c r="AG2" s="5">
        <v>2</v>
      </c>
      <c r="AH2" s="5">
        <v>6583190000000</v>
      </c>
      <c r="AI2" s="5">
        <v>6256630000000</v>
      </c>
      <c r="AJ2" s="5">
        <v>6562180000000</v>
      </c>
      <c r="AK2" s="5">
        <v>5828240000000</v>
      </c>
      <c r="AL2" s="5">
        <v>84438400000</v>
      </c>
      <c r="AN2" s="5">
        <f t="shared" ref="AN2:AN31" si="0">A2</f>
        <v>0.00102188</v>
      </c>
      <c r="AO2" s="5">
        <f t="shared" ref="AO2:AO31" si="1">AVERAGE(P2,C2,AC2)</f>
        <v>26840966666666.7</v>
      </c>
      <c r="AP2" s="5">
        <f t="shared" ref="AP2:AP31" si="2">MIN(C2,P2,AC2)</f>
        <v>25314700000000</v>
      </c>
      <c r="AQ2" s="5">
        <f t="shared" ref="AQ2:AQ31" si="3">MAX(C2,P2,AC2)</f>
        <v>28564700000000</v>
      </c>
      <c r="AR2" s="5">
        <f t="shared" ref="AR2:AR31" si="4">AVERAGE(L2,Y2,AL2)</f>
        <v>142354133333.333</v>
      </c>
      <c r="AS2" s="5">
        <f t="shared" ref="AS2:AS31" si="5">MIN(L2,Y2,AL2)</f>
        <v>84438400000</v>
      </c>
      <c r="AT2" s="5">
        <f t="shared" ref="AT2:AT31" si="6">MAX(L2,Y2,AL2)</f>
        <v>222875000000</v>
      </c>
    </row>
    <row r="3" customHeight="1" spans="1:46">
      <c r="A3" s="5">
        <v>0.00197994</v>
      </c>
      <c r="B3" s="5">
        <v>0.0034773</v>
      </c>
      <c r="C3" s="5">
        <v>38628900000000</v>
      </c>
      <c r="D3" s="5">
        <v>37212600000</v>
      </c>
      <c r="E3" s="5">
        <v>0</v>
      </c>
      <c r="F3" s="5">
        <v>0</v>
      </c>
      <c r="G3" s="5">
        <v>2</v>
      </c>
      <c r="H3" s="5">
        <v>10871100000000</v>
      </c>
      <c r="I3" s="5">
        <v>8663380000000</v>
      </c>
      <c r="J3" s="5">
        <v>9776380000000</v>
      </c>
      <c r="K3" s="5">
        <v>8723190000000</v>
      </c>
      <c r="L3" s="5">
        <v>594879000000</v>
      </c>
      <c r="N3" s="5">
        <v>0.00202829</v>
      </c>
      <c r="O3" s="5">
        <v>0.00348698</v>
      </c>
      <c r="P3" s="5">
        <v>41885700000000</v>
      </c>
      <c r="Q3" s="5">
        <v>26349400000</v>
      </c>
      <c r="R3" s="5">
        <v>0</v>
      </c>
      <c r="S3" s="5">
        <v>0</v>
      </c>
      <c r="T3" s="5">
        <v>2</v>
      </c>
      <c r="U3" s="5">
        <v>9231930000000</v>
      </c>
      <c r="V3" s="5">
        <v>10703200000000</v>
      </c>
      <c r="W3" s="5">
        <v>8161650000000</v>
      </c>
      <c r="X3" s="5">
        <v>13350500000000</v>
      </c>
      <c r="Y3" s="5">
        <v>438438000000</v>
      </c>
      <c r="AA3" s="5">
        <v>0.00203891</v>
      </c>
      <c r="AB3" s="5">
        <v>0.0035222</v>
      </c>
      <c r="AC3" s="5">
        <v>37788300000000</v>
      </c>
      <c r="AD3" s="5">
        <v>23631000000</v>
      </c>
      <c r="AE3" s="5">
        <v>0</v>
      </c>
      <c r="AF3" s="5">
        <v>0</v>
      </c>
      <c r="AG3" s="5">
        <v>2</v>
      </c>
      <c r="AH3" s="5">
        <v>9332470000000</v>
      </c>
      <c r="AI3" s="5">
        <v>8778550000000</v>
      </c>
      <c r="AJ3" s="5">
        <v>10973200000000</v>
      </c>
      <c r="AK3" s="5">
        <v>8456470000000</v>
      </c>
      <c r="AL3" s="5">
        <v>247547000000</v>
      </c>
      <c r="AN3" s="5">
        <f t="shared" si="0"/>
        <v>0.00197994</v>
      </c>
      <c r="AO3" s="5">
        <f t="shared" si="1"/>
        <v>39434300000000</v>
      </c>
      <c r="AP3" s="5">
        <f t="shared" si="2"/>
        <v>37788300000000</v>
      </c>
      <c r="AQ3" s="5">
        <f t="shared" si="3"/>
        <v>41885700000000</v>
      </c>
      <c r="AR3" s="5">
        <f t="shared" si="4"/>
        <v>426954666666.667</v>
      </c>
      <c r="AS3" s="5">
        <f t="shared" si="5"/>
        <v>247547000000</v>
      </c>
      <c r="AT3" s="5">
        <f t="shared" si="6"/>
        <v>594879000000</v>
      </c>
    </row>
    <row r="4" customHeight="1" spans="1:46">
      <c r="A4" s="5">
        <v>0.00296088</v>
      </c>
      <c r="B4" s="5">
        <v>0.00428356</v>
      </c>
      <c r="C4" s="5">
        <v>42692300000000</v>
      </c>
      <c r="D4" s="5">
        <v>20730500000</v>
      </c>
      <c r="E4" s="5">
        <v>0</v>
      </c>
      <c r="F4" s="5">
        <v>0</v>
      </c>
      <c r="G4" s="5">
        <v>2</v>
      </c>
      <c r="H4" s="5">
        <v>11577000000000</v>
      </c>
      <c r="I4" s="5">
        <v>8543230000000</v>
      </c>
      <c r="J4" s="5">
        <v>10770600000000</v>
      </c>
      <c r="K4" s="5">
        <v>10940200000000</v>
      </c>
      <c r="L4" s="5">
        <v>861269000000</v>
      </c>
      <c r="N4" s="5">
        <v>0.00306084</v>
      </c>
      <c r="O4" s="5">
        <v>0.00432711</v>
      </c>
      <c r="P4" s="5">
        <v>46674200000000</v>
      </c>
      <c r="Q4" s="5">
        <v>28973600000</v>
      </c>
      <c r="R4" s="5">
        <v>0</v>
      </c>
      <c r="S4" s="5">
        <v>0</v>
      </c>
      <c r="T4" s="5">
        <v>2</v>
      </c>
      <c r="U4" s="5">
        <v>10192700000000</v>
      </c>
      <c r="V4" s="5">
        <v>13466800000000</v>
      </c>
      <c r="W4" s="5">
        <v>9106730000000</v>
      </c>
      <c r="X4" s="5">
        <v>13387500000000</v>
      </c>
      <c r="Y4" s="5">
        <v>520449000000</v>
      </c>
      <c r="AA4" s="5">
        <v>0.00294132</v>
      </c>
      <c r="AB4" s="5">
        <v>0.00428822</v>
      </c>
      <c r="AC4" s="5">
        <v>43590500000000</v>
      </c>
      <c r="AD4" s="5">
        <v>25850700000</v>
      </c>
      <c r="AE4" s="5">
        <v>0</v>
      </c>
      <c r="AF4" s="5">
        <v>0</v>
      </c>
      <c r="AG4" s="5">
        <v>2</v>
      </c>
      <c r="AH4" s="5">
        <v>10382700000000</v>
      </c>
      <c r="AI4" s="5">
        <v>9880230000000</v>
      </c>
      <c r="AJ4" s="5">
        <v>13241700000000</v>
      </c>
      <c r="AK4" s="5">
        <v>9641770000000</v>
      </c>
      <c r="AL4" s="5">
        <v>444116000000</v>
      </c>
      <c r="AN4" s="5">
        <f t="shared" si="0"/>
        <v>0.00296088</v>
      </c>
      <c r="AO4" s="5">
        <f t="shared" si="1"/>
        <v>44319000000000</v>
      </c>
      <c r="AP4" s="5">
        <f t="shared" si="2"/>
        <v>42692300000000</v>
      </c>
      <c r="AQ4" s="5">
        <f t="shared" si="3"/>
        <v>46674200000000</v>
      </c>
      <c r="AR4" s="5">
        <f t="shared" si="4"/>
        <v>608611333333.333</v>
      </c>
      <c r="AS4" s="5">
        <f t="shared" si="5"/>
        <v>444116000000</v>
      </c>
      <c r="AT4" s="5">
        <f t="shared" si="6"/>
        <v>861269000000</v>
      </c>
    </row>
    <row r="5" customHeight="1" spans="1:46">
      <c r="A5" s="5">
        <v>0.00407197</v>
      </c>
      <c r="B5" s="5">
        <v>0.00530295</v>
      </c>
      <c r="C5" s="5">
        <v>47601800000000</v>
      </c>
      <c r="D5" s="5">
        <v>35244100000</v>
      </c>
      <c r="E5" s="5">
        <v>0</v>
      </c>
      <c r="F5" s="5">
        <v>0</v>
      </c>
      <c r="G5" s="5">
        <v>2</v>
      </c>
      <c r="H5" s="5">
        <v>9801510000000</v>
      </c>
      <c r="I5" s="5">
        <v>8642640000000</v>
      </c>
      <c r="J5" s="5">
        <v>15554200000000</v>
      </c>
      <c r="K5" s="5">
        <v>12452100000000</v>
      </c>
      <c r="L5" s="5">
        <v>1151330000000</v>
      </c>
      <c r="N5" s="5">
        <v>0.00397553</v>
      </c>
      <c r="O5" s="5">
        <v>0.00523596</v>
      </c>
      <c r="P5" s="5">
        <v>44924300000000</v>
      </c>
      <c r="Q5" s="5">
        <v>25990200000</v>
      </c>
      <c r="R5" s="5">
        <v>0</v>
      </c>
      <c r="S5" s="5">
        <v>0</v>
      </c>
      <c r="T5" s="5">
        <v>2</v>
      </c>
      <c r="U5" s="5">
        <v>11121600000000</v>
      </c>
      <c r="V5" s="5">
        <v>10627900000000</v>
      </c>
      <c r="W5" s="5">
        <v>9046760000000</v>
      </c>
      <c r="X5" s="5">
        <v>13409600000000</v>
      </c>
      <c r="Y5" s="5">
        <v>718401000000</v>
      </c>
      <c r="AA5" s="5">
        <v>0.00394968</v>
      </c>
      <c r="AB5" s="5">
        <v>0.00524226</v>
      </c>
      <c r="AC5" s="5">
        <v>43994400000000</v>
      </c>
      <c r="AD5" s="5">
        <v>26287300000</v>
      </c>
      <c r="AE5" s="5">
        <v>0</v>
      </c>
      <c r="AF5" s="5">
        <v>0</v>
      </c>
      <c r="AG5" s="5">
        <v>2</v>
      </c>
      <c r="AH5" s="5">
        <v>9306600000000</v>
      </c>
      <c r="AI5" s="5">
        <v>11969900000000</v>
      </c>
      <c r="AJ5" s="5">
        <v>12289000000000</v>
      </c>
      <c r="AK5" s="5">
        <v>9731560000000</v>
      </c>
      <c r="AL5" s="5">
        <v>697249000000</v>
      </c>
      <c r="AN5" s="5">
        <f t="shared" si="0"/>
        <v>0.00407197</v>
      </c>
      <c r="AO5" s="5">
        <f t="shared" si="1"/>
        <v>45506833333333.3</v>
      </c>
      <c r="AP5" s="5">
        <f t="shared" si="2"/>
        <v>43994400000000</v>
      </c>
      <c r="AQ5" s="5">
        <f t="shared" si="3"/>
        <v>47601800000000</v>
      </c>
      <c r="AR5" s="5">
        <f t="shared" si="4"/>
        <v>855660000000</v>
      </c>
      <c r="AS5" s="5">
        <f t="shared" si="5"/>
        <v>697249000000</v>
      </c>
      <c r="AT5" s="5">
        <f t="shared" si="6"/>
        <v>1151330000000</v>
      </c>
    </row>
    <row r="6" customHeight="1" spans="1:46">
      <c r="A6" s="5">
        <v>0.00498499</v>
      </c>
      <c r="B6" s="5">
        <v>0.00627493</v>
      </c>
      <c r="C6" s="5">
        <v>42990100000000</v>
      </c>
      <c r="D6" s="5">
        <v>36588200000</v>
      </c>
      <c r="E6" s="5">
        <v>0</v>
      </c>
      <c r="F6" s="5">
        <v>0</v>
      </c>
      <c r="G6" s="5">
        <v>2</v>
      </c>
      <c r="H6" s="5">
        <v>9924550000000</v>
      </c>
      <c r="I6" s="5">
        <v>8515080000000</v>
      </c>
      <c r="J6" s="5">
        <v>12829200000000</v>
      </c>
      <c r="K6" s="5">
        <v>10426100000000</v>
      </c>
      <c r="L6" s="5">
        <v>1295150000000</v>
      </c>
      <c r="N6" s="5">
        <v>0.0049934</v>
      </c>
      <c r="O6" s="5">
        <v>0.00626316</v>
      </c>
      <c r="P6" s="5">
        <v>53268000000000</v>
      </c>
      <c r="Q6" s="5">
        <v>27038900000</v>
      </c>
      <c r="R6" s="5">
        <v>0</v>
      </c>
      <c r="S6" s="5">
        <v>0</v>
      </c>
      <c r="T6" s="5">
        <v>2</v>
      </c>
      <c r="U6" s="5">
        <v>15008200000000</v>
      </c>
      <c r="V6" s="5">
        <v>11702300000000</v>
      </c>
      <c r="W6" s="5">
        <v>11356400000000</v>
      </c>
      <c r="X6" s="5">
        <v>13982100000000</v>
      </c>
      <c r="Y6" s="5">
        <v>1218870000000</v>
      </c>
      <c r="AA6" s="5">
        <v>0.0050406</v>
      </c>
      <c r="AB6" s="5">
        <v>0.00633677</v>
      </c>
      <c r="AC6" s="5">
        <v>49172100000000</v>
      </c>
      <c r="AD6" s="5">
        <v>29809400000</v>
      </c>
      <c r="AE6" s="5">
        <v>0</v>
      </c>
      <c r="AF6" s="5">
        <v>0</v>
      </c>
      <c r="AG6" s="5">
        <v>2</v>
      </c>
      <c r="AH6" s="5">
        <v>10999300000000</v>
      </c>
      <c r="AI6" s="5">
        <v>13840700000000</v>
      </c>
      <c r="AJ6" s="5">
        <v>11909500000000</v>
      </c>
      <c r="AK6" s="5">
        <v>11513300000000</v>
      </c>
      <c r="AL6" s="5">
        <v>909302000000</v>
      </c>
      <c r="AN6" s="5">
        <f t="shared" si="0"/>
        <v>0.00498499</v>
      </c>
      <c r="AO6" s="5">
        <f t="shared" si="1"/>
        <v>48476733333333.3</v>
      </c>
      <c r="AP6" s="5">
        <f t="shared" si="2"/>
        <v>42990100000000</v>
      </c>
      <c r="AQ6" s="5">
        <f t="shared" si="3"/>
        <v>53268000000000</v>
      </c>
      <c r="AR6" s="5">
        <f t="shared" si="4"/>
        <v>1141107333333.33</v>
      </c>
      <c r="AS6" s="5">
        <f t="shared" si="5"/>
        <v>909302000000</v>
      </c>
      <c r="AT6" s="5">
        <f t="shared" si="6"/>
        <v>1295150000000</v>
      </c>
    </row>
    <row r="7" customHeight="1" spans="1:46">
      <c r="A7" s="5">
        <v>0.00595392</v>
      </c>
      <c r="B7" s="5">
        <v>0.00727673</v>
      </c>
      <c r="C7" s="5">
        <v>45210300000000</v>
      </c>
      <c r="D7" s="5">
        <v>34847700000</v>
      </c>
      <c r="E7" s="5">
        <v>0</v>
      </c>
      <c r="F7" s="5">
        <v>0</v>
      </c>
      <c r="G7" s="5">
        <v>2</v>
      </c>
      <c r="H7" s="5">
        <v>11874900000000</v>
      </c>
      <c r="I7" s="5">
        <v>10669100000000</v>
      </c>
      <c r="J7" s="5">
        <v>10880800000000</v>
      </c>
      <c r="K7" s="5">
        <v>10714400000000</v>
      </c>
      <c r="L7" s="5">
        <v>1071040000000</v>
      </c>
      <c r="N7" s="5">
        <v>0.00604584</v>
      </c>
      <c r="O7" s="5">
        <v>0.00726624</v>
      </c>
      <c r="P7" s="5">
        <v>54635700000000</v>
      </c>
      <c r="Q7" s="5">
        <v>31916400000</v>
      </c>
      <c r="R7" s="5">
        <v>0</v>
      </c>
      <c r="S7" s="5">
        <v>0</v>
      </c>
      <c r="T7" s="5">
        <v>2</v>
      </c>
      <c r="U7" s="5">
        <v>13682300000000</v>
      </c>
      <c r="V7" s="5">
        <v>12898500000000</v>
      </c>
      <c r="W7" s="5">
        <v>13397900000000</v>
      </c>
      <c r="X7" s="5">
        <v>13129800000000</v>
      </c>
      <c r="Y7" s="5">
        <v>1527060000000</v>
      </c>
      <c r="AA7" s="5">
        <v>0.00595303</v>
      </c>
      <c r="AB7" s="5">
        <v>0.00720369</v>
      </c>
      <c r="AC7" s="5">
        <v>51602400000000</v>
      </c>
      <c r="AD7" s="5">
        <v>22141100000</v>
      </c>
      <c r="AE7" s="5">
        <v>0</v>
      </c>
      <c r="AF7" s="5">
        <v>0</v>
      </c>
      <c r="AG7" s="5">
        <v>2</v>
      </c>
      <c r="AH7" s="5">
        <v>14109300000000</v>
      </c>
      <c r="AI7" s="5">
        <v>12819800000000</v>
      </c>
      <c r="AJ7" s="5">
        <v>10652800000000</v>
      </c>
      <c r="AK7" s="5">
        <v>13067300000000</v>
      </c>
      <c r="AL7" s="5">
        <v>953155000000</v>
      </c>
      <c r="AN7" s="5">
        <f t="shared" si="0"/>
        <v>0.00595392</v>
      </c>
      <c r="AO7" s="5">
        <f t="shared" si="1"/>
        <v>50482800000000</v>
      </c>
      <c r="AP7" s="5">
        <f t="shared" si="2"/>
        <v>45210300000000</v>
      </c>
      <c r="AQ7" s="5">
        <f t="shared" si="3"/>
        <v>54635700000000</v>
      </c>
      <c r="AR7" s="5">
        <f t="shared" si="4"/>
        <v>1183751666666.67</v>
      </c>
      <c r="AS7" s="5">
        <f t="shared" si="5"/>
        <v>953155000000</v>
      </c>
      <c r="AT7" s="5">
        <f t="shared" si="6"/>
        <v>1527060000000</v>
      </c>
    </row>
    <row r="8" customHeight="1" spans="1:46">
      <c r="A8" s="5">
        <v>0.00703483</v>
      </c>
      <c r="B8" s="5">
        <v>0.00826394</v>
      </c>
      <c r="C8" s="5">
        <v>49642200000000</v>
      </c>
      <c r="D8" s="5">
        <v>39029300000</v>
      </c>
      <c r="E8" s="5">
        <v>0</v>
      </c>
      <c r="F8" s="5">
        <v>0</v>
      </c>
      <c r="G8" s="5">
        <v>2</v>
      </c>
      <c r="H8" s="5">
        <v>12184800000000</v>
      </c>
      <c r="I8" s="5">
        <v>12068200000000</v>
      </c>
      <c r="J8" s="5">
        <v>10990400000000</v>
      </c>
      <c r="K8" s="5">
        <v>13224200000000</v>
      </c>
      <c r="L8" s="5">
        <v>1174590000000</v>
      </c>
      <c r="N8" s="5">
        <v>0.0069632</v>
      </c>
      <c r="O8" s="5">
        <v>0.00816357</v>
      </c>
      <c r="P8" s="5">
        <v>55049500000000</v>
      </c>
      <c r="Q8" s="5">
        <v>34299300000</v>
      </c>
      <c r="R8" s="5">
        <v>0</v>
      </c>
      <c r="S8" s="5">
        <v>0</v>
      </c>
      <c r="T8" s="5">
        <v>2</v>
      </c>
      <c r="U8" s="5">
        <v>11155600000000</v>
      </c>
      <c r="V8" s="5">
        <v>13670400000000</v>
      </c>
      <c r="W8" s="5">
        <v>15009500000000</v>
      </c>
      <c r="X8" s="5">
        <v>13424100000000</v>
      </c>
      <c r="Y8" s="5">
        <v>1789870000000</v>
      </c>
      <c r="AA8" s="5">
        <v>0.0070536</v>
      </c>
      <c r="AB8" s="5">
        <v>0.00825345</v>
      </c>
      <c r="AC8" s="5">
        <v>50679900000000</v>
      </c>
      <c r="AD8" s="5">
        <v>29598000000</v>
      </c>
      <c r="AE8" s="5">
        <v>0</v>
      </c>
      <c r="AF8" s="5">
        <v>0</v>
      </c>
      <c r="AG8" s="5">
        <v>2</v>
      </c>
      <c r="AH8" s="5">
        <v>13948600000000</v>
      </c>
      <c r="AI8" s="5">
        <v>11886300000000</v>
      </c>
      <c r="AJ8" s="5">
        <v>9955430000000</v>
      </c>
      <c r="AK8" s="5">
        <v>13609900000000</v>
      </c>
      <c r="AL8" s="5">
        <v>1279740000000</v>
      </c>
      <c r="AN8" s="5">
        <f t="shared" si="0"/>
        <v>0.00703483</v>
      </c>
      <c r="AO8" s="5">
        <f t="shared" si="1"/>
        <v>51790533333333.3</v>
      </c>
      <c r="AP8" s="5">
        <f t="shared" si="2"/>
        <v>49642200000000</v>
      </c>
      <c r="AQ8" s="5">
        <f t="shared" si="3"/>
        <v>55049500000000</v>
      </c>
      <c r="AR8" s="5">
        <f t="shared" si="4"/>
        <v>1414733333333.33</v>
      </c>
      <c r="AS8" s="5">
        <f t="shared" si="5"/>
        <v>1174590000000</v>
      </c>
      <c r="AT8" s="5">
        <f t="shared" si="6"/>
        <v>1789870000000</v>
      </c>
    </row>
    <row r="9" customHeight="1" spans="1:46">
      <c r="A9" s="5">
        <v>0.00801875</v>
      </c>
      <c r="B9" s="5">
        <v>0.00923772</v>
      </c>
      <c r="C9" s="5">
        <v>48903000000000</v>
      </c>
      <c r="D9" s="5">
        <v>35029400000</v>
      </c>
      <c r="E9" s="5">
        <v>0</v>
      </c>
      <c r="F9" s="5">
        <v>0</v>
      </c>
      <c r="G9" s="5">
        <v>2</v>
      </c>
      <c r="H9" s="5">
        <v>12661500000000</v>
      </c>
      <c r="I9" s="5">
        <v>9459840000000</v>
      </c>
      <c r="J9" s="5">
        <v>11699100000000</v>
      </c>
      <c r="K9" s="5">
        <v>13503600000000</v>
      </c>
      <c r="L9" s="5">
        <v>1578960000000</v>
      </c>
      <c r="N9" s="5">
        <v>0.00797289</v>
      </c>
      <c r="O9" s="5">
        <v>0.0090901</v>
      </c>
      <c r="P9" s="5">
        <v>55632900000000</v>
      </c>
      <c r="Q9" s="5">
        <v>57921300000</v>
      </c>
      <c r="R9" s="5">
        <v>0</v>
      </c>
      <c r="S9" s="5">
        <v>0</v>
      </c>
      <c r="T9" s="5">
        <v>2</v>
      </c>
      <c r="U9" s="5">
        <v>11081900000000</v>
      </c>
      <c r="V9" s="5">
        <v>12817200000000</v>
      </c>
      <c r="W9" s="5">
        <v>16114500000000</v>
      </c>
      <c r="X9" s="5">
        <v>13491200000000</v>
      </c>
      <c r="Y9" s="5">
        <v>2128100000000</v>
      </c>
      <c r="AA9" s="5">
        <v>0.00800952</v>
      </c>
      <c r="AB9" s="5">
        <v>0.00922702</v>
      </c>
      <c r="AC9" s="5">
        <v>52879800000000</v>
      </c>
      <c r="AD9" s="5">
        <v>24099100000</v>
      </c>
      <c r="AE9" s="5">
        <v>0</v>
      </c>
      <c r="AF9" s="5">
        <v>0</v>
      </c>
      <c r="AG9" s="5">
        <v>2</v>
      </c>
      <c r="AH9" s="5">
        <v>12014700000000</v>
      </c>
      <c r="AI9" s="5">
        <v>14155300000000</v>
      </c>
      <c r="AJ9" s="5">
        <v>9444960000000</v>
      </c>
      <c r="AK9" s="5">
        <v>15861800000000</v>
      </c>
      <c r="AL9" s="5">
        <v>1403160000000</v>
      </c>
      <c r="AN9" s="5">
        <f t="shared" si="0"/>
        <v>0.00801875</v>
      </c>
      <c r="AO9" s="5">
        <f t="shared" si="1"/>
        <v>52471900000000</v>
      </c>
      <c r="AP9" s="5">
        <f t="shared" si="2"/>
        <v>48903000000000</v>
      </c>
      <c r="AQ9" s="5">
        <f t="shared" si="3"/>
        <v>55632900000000</v>
      </c>
      <c r="AR9" s="5">
        <f t="shared" si="4"/>
        <v>1703406666666.67</v>
      </c>
      <c r="AS9" s="5">
        <f t="shared" si="5"/>
        <v>1403160000000</v>
      </c>
      <c r="AT9" s="5">
        <f t="shared" si="6"/>
        <v>2128100000000</v>
      </c>
    </row>
    <row r="10" customHeight="1" spans="1:46">
      <c r="A10" s="5">
        <v>0.009008</v>
      </c>
      <c r="B10" s="5">
        <v>0.0102874</v>
      </c>
      <c r="C10" s="5">
        <v>46093900000000</v>
      </c>
      <c r="D10" s="5">
        <v>28371500000</v>
      </c>
      <c r="E10" s="5">
        <v>0</v>
      </c>
      <c r="F10" s="5">
        <v>0</v>
      </c>
      <c r="G10" s="5">
        <v>2</v>
      </c>
      <c r="H10" s="5">
        <v>12431800000000</v>
      </c>
      <c r="I10" s="5">
        <v>7777890000000</v>
      </c>
      <c r="J10" s="5">
        <v>11088500000000</v>
      </c>
      <c r="K10" s="5">
        <v>13111000000000</v>
      </c>
      <c r="L10" s="5">
        <v>1684730000000</v>
      </c>
      <c r="N10" s="5">
        <v>0.00904562</v>
      </c>
      <c r="O10" s="5">
        <v>0.0101874</v>
      </c>
      <c r="P10" s="5">
        <v>53069700000000</v>
      </c>
      <c r="Q10" s="5">
        <v>54020100000</v>
      </c>
      <c r="R10" s="5">
        <v>0</v>
      </c>
      <c r="S10" s="5">
        <v>0</v>
      </c>
      <c r="T10" s="5">
        <v>2</v>
      </c>
      <c r="U10" s="5">
        <v>12773000000000</v>
      </c>
      <c r="V10" s="5">
        <v>11545300000000</v>
      </c>
      <c r="W10" s="5">
        <v>15689600000000</v>
      </c>
      <c r="X10" s="5">
        <v>11312300000000</v>
      </c>
      <c r="Y10" s="5">
        <v>1749260000000</v>
      </c>
      <c r="AA10" s="5">
        <v>0.00896412</v>
      </c>
      <c r="AB10" s="5">
        <v>0.0101295</v>
      </c>
      <c r="AC10" s="5">
        <v>52912600000000</v>
      </c>
      <c r="AD10" s="5">
        <v>39606900000</v>
      </c>
      <c r="AE10" s="5">
        <v>0</v>
      </c>
      <c r="AF10" s="5">
        <v>0</v>
      </c>
      <c r="AG10" s="5">
        <v>2</v>
      </c>
      <c r="AH10" s="5">
        <v>12829800000000</v>
      </c>
      <c r="AI10" s="5">
        <v>12135400000000</v>
      </c>
      <c r="AJ10" s="5">
        <v>10737700000000</v>
      </c>
      <c r="AK10" s="5">
        <v>15637200000000</v>
      </c>
      <c r="AL10" s="5">
        <v>1572510000000</v>
      </c>
      <c r="AN10" s="5">
        <f t="shared" si="0"/>
        <v>0.009008</v>
      </c>
      <c r="AO10" s="5">
        <f t="shared" si="1"/>
        <v>50692066666666.7</v>
      </c>
      <c r="AP10" s="5">
        <f t="shared" si="2"/>
        <v>46093900000000</v>
      </c>
      <c r="AQ10" s="5">
        <f t="shared" si="3"/>
        <v>53069700000000</v>
      </c>
      <c r="AR10" s="5">
        <f t="shared" si="4"/>
        <v>1668833333333.33</v>
      </c>
      <c r="AS10" s="5">
        <f t="shared" si="5"/>
        <v>1572510000000</v>
      </c>
      <c r="AT10" s="5">
        <f t="shared" si="6"/>
        <v>1749260000000</v>
      </c>
    </row>
    <row r="11" customHeight="1" spans="1:46">
      <c r="A11" s="5">
        <v>0.00996393</v>
      </c>
      <c r="B11" s="5">
        <v>0.0111679</v>
      </c>
      <c r="C11" s="5">
        <v>51978800000000</v>
      </c>
      <c r="D11" s="5">
        <v>45895300000</v>
      </c>
      <c r="E11" s="5">
        <v>0</v>
      </c>
      <c r="F11" s="5">
        <v>0</v>
      </c>
      <c r="G11" s="5">
        <v>2</v>
      </c>
      <c r="H11" s="5">
        <v>14646200000000</v>
      </c>
      <c r="I11" s="5">
        <v>9767390000000</v>
      </c>
      <c r="J11" s="5">
        <v>11701700000000</v>
      </c>
      <c r="K11" s="5">
        <v>14171500000000</v>
      </c>
      <c r="L11" s="5">
        <v>1692060000000</v>
      </c>
      <c r="N11" s="5">
        <v>0.00995191</v>
      </c>
      <c r="O11" s="5">
        <v>0.0111345</v>
      </c>
      <c r="P11" s="5">
        <v>50910200000000</v>
      </c>
      <c r="Q11" s="5">
        <v>40008000000</v>
      </c>
      <c r="R11" s="5">
        <v>0</v>
      </c>
      <c r="S11" s="5">
        <v>0</v>
      </c>
      <c r="T11" s="5">
        <v>2</v>
      </c>
      <c r="U11" s="5">
        <v>12762500000000</v>
      </c>
      <c r="V11" s="5">
        <v>11884200000000</v>
      </c>
      <c r="W11" s="5">
        <v>13960400000000</v>
      </c>
      <c r="X11" s="5">
        <v>10389100000000</v>
      </c>
      <c r="Y11" s="5">
        <v>1914110000000</v>
      </c>
      <c r="AA11" s="5">
        <v>0.0100392</v>
      </c>
      <c r="AB11" s="5">
        <v>0.0111704</v>
      </c>
      <c r="AC11" s="5">
        <v>49108400000000</v>
      </c>
      <c r="AD11" s="5">
        <v>38957000000</v>
      </c>
      <c r="AE11" s="5">
        <v>0</v>
      </c>
      <c r="AF11" s="5">
        <v>0</v>
      </c>
      <c r="AG11" s="5">
        <v>2</v>
      </c>
      <c r="AH11" s="5">
        <v>12533800000000</v>
      </c>
      <c r="AI11" s="5">
        <v>10730300000000</v>
      </c>
      <c r="AJ11" s="5">
        <v>11080200000000</v>
      </c>
      <c r="AK11" s="5">
        <v>12997800000000</v>
      </c>
      <c r="AL11" s="5">
        <v>1766280000000</v>
      </c>
      <c r="AN11" s="5">
        <f t="shared" si="0"/>
        <v>0.00996393</v>
      </c>
      <c r="AO11" s="5">
        <f t="shared" si="1"/>
        <v>50665800000000</v>
      </c>
      <c r="AP11" s="5">
        <f t="shared" si="2"/>
        <v>49108400000000</v>
      </c>
      <c r="AQ11" s="5">
        <f t="shared" si="3"/>
        <v>51978800000000</v>
      </c>
      <c r="AR11" s="5">
        <f t="shared" si="4"/>
        <v>1790816666666.67</v>
      </c>
      <c r="AS11" s="5">
        <f t="shared" si="5"/>
        <v>1692060000000</v>
      </c>
      <c r="AT11" s="5">
        <f t="shared" si="6"/>
        <v>1914110000000</v>
      </c>
    </row>
    <row r="12" customHeight="1" spans="1:46">
      <c r="A12" s="5">
        <v>0.0110086</v>
      </c>
      <c r="B12" s="5">
        <v>0.0121813</v>
      </c>
      <c r="C12" s="5">
        <v>51882500000000</v>
      </c>
      <c r="D12" s="5">
        <v>31276900000</v>
      </c>
      <c r="E12" s="5">
        <v>0</v>
      </c>
      <c r="F12" s="5">
        <v>0</v>
      </c>
      <c r="G12" s="5">
        <v>2</v>
      </c>
      <c r="H12" s="5">
        <v>13513100000000</v>
      </c>
      <c r="I12" s="5">
        <v>11689600000000</v>
      </c>
      <c r="J12" s="5">
        <v>11588800000000</v>
      </c>
      <c r="K12" s="5">
        <v>13252600000000</v>
      </c>
      <c r="L12" s="5">
        <v>1838470000000</v>
      </c>
      <c r="N12" s="5">
        <v>0.0109332</v>
      </c>
      <c r="O12" s="5">
        <v>0.0121441</v>
      </c>
      <c r="P12" s="5">
        <v>53150400000000</v>
      </c>
      <c r="Q12" s="5">
        <v>44319100000</v>
      </c>
      <c r="R12" s="5">
        <v>0</v>
      </c>
      <c r="S12" s="5">
        <v>0</v>
      </c>
      <c r="T12" s="5">
        <v>2</v>
      </c>
      <c r="U12" s="5">
        <v>10779000000000</v>
      </c>
      <c r="V12" s="5">
        <v>13840500000000</v>
      </c>
      <c r="W12" s="5">
        <v>15656900000000</v>
      </c>
      <c r="X12" s="5">
        <v>11071800000000</v>
      </c>
      <c r="Y12" s="5">
        <v>1802320000000</v>
      </c>
      <c r="AA12" s="5">
        <v>0.0109621</v>
      </c>
      <c r="AB12" s="5">
        <v>0.0122285</v>
      </c>
      <c r="AC12" s="5">
        <v>45625700000000</v>
      </c>
      <c r="AD12" s="5">
        <v>30870200000</v>
      </c>
      <c r="AE12" s="5">
        <v>0</v>
      </c>
      <c r="AF12" s="5">
        <v>0</v>
      </c>
      <c r="AG12" s="5">
        <v>2</v>
      </c>
      <c r="AH12" s="5">
        <v>11579500000000</v>
      </c>
      <c r="AI12" s="5">
        <v>9543450000000</v>
      </c>
      <c r="AJ12" s="5">
        <v>10852700000000</v>
      </c>
      <c r="AK12" s="5">
        <v>11998900000000</v>
      </c>
      <c r="AL12" s="5">
        <v>1651120000000</v>
      </c>
      <c r="AN12" s="5">
        <f t="shared" si="0"/>
        <v>0.0110086</v>
      </c>
      <c r="AO12" s="5">
        <f t="shared" si="1"/>
        <v>50219533333333.3</v>
      </c>
      <c r="AP12" s="5">
        <f t="shared" si="2"/>
        <v>45625700000000</v>
      </c>
      <c r="AQ12" s="5">
        <f t="shared" si="3"/>
        <v>53150400000000</v>
      </c>
      <c r="AR12" s="5">
        <f t="shared" si="4"/>
        <v>1763970000000</v>
      </c>
      <c r="AS12" s="5">
        <f t="shared" si="5"/>
        <v>1651120000000</v>
      </c>
      <c r="AT12" s="5">
        <f t="shared" si="6"/>
        <v>1838470000000</v>
      </c>
    </row>
    <row r="13" customHeight="1" spans="1:46">
      <c r="A13" s="5">
        <v>0.0119785</v>
      </c>
      <c r="B13" s="5">
        <v>0.0131488</v>
      </c>
      <c r="C13" s="5">
        <v>48498600000000</v>
      </c>
      <c r="D13" s="5">
        <v>35047100000</v>
      </c>
      <c r="E13" s="5">
        <v>0</v>
      </c>
      <c r="F13" s="5">
        <v>0</v>
      </c>
      <c r="G13" s="5">
        <v>2</v>
      </c>
      <c r="H13" s="5">
        <v>11322200000000</v>
      </c>
      <c r="I13" s="5">
        <v>12151500000000</v>
      </c>
      <c r="J13" s="5">
        <v>11276000000000</v>
      </c>
      <c r="K13" s="5">
        <v>12044300000000</v>
      </c>
      <c r="L13" s="5">
        <v>1704720000000</v>
      </c>
      <c r="N13" s="5">
        <v>0.0120251</v>
      </c>
      <c r="O13" s="5">
        <v>0.0131876</v>
      </c>
      <c r="P13" s="5">
        <v>56803700000000</v>
      </c>
      <c r="Q13" s="5">
        <v>45643600000</v>
      </c>
      <c r="R13" s="5">
        <v>0</v>
      </c>
      <c r="S13" s="5">
        <v>0</v>
      </c>
      <c r="T13" s="5">
        <v>2</v>
      </c>
      <c r="U13" s="5">
        <v>11828600000000</v>
      </c>
      <c r="V13" s="5">
        <v>12170400000000</v>
      </c>
      <c r="W13" s="5">
        <v>18213900000000</v>
      </c>
      <c r="X13" s="5">
        <v>12459400000000</v>
      </c>
      <c r="Y13" s="5">
        <v>2131370000000</v>
      </c>
      <c r="AA13" s="5">
        <v>0.0119855</v>
      </c>
      <c r="AB13" s="5">
        <v>0.0132582</v>
      </c>
      <c r="AC13" s="5">
        <v>52032600000000</v>
      </c>
      <c r="AD13" s="5">
        <v>34501300000</v>
      </c>
      <c r="AE13" s="5">
        <v>0</v>
      </c>
      <c r="AF13" s="5">
        <v>0</v>
      </c>
      <c r="AG13" s="5">
        <v>2</v>
      </c>
      <c r="AH13" s="5">
        <v>14038900000000</v>
      </c>
      <c r="AI13" s="5">
        <v>10562900000000</v>
      </c>
      <c r="AJ13" s="5">
        <v>11629300000000</v>
      </c>
      <c r="AK13" s="5">
        <v>14114300000000</v>
      </c>
      <c r="AL13" s="5">
        <v>1687200000000</v>
      </c>
      <c r="AN13" s="5">
        <f t="shared" si="0"/>
        <v>0.0119785</v>
      </c>
      <c r="AO13" s="5">
        <f t="shared" si="1"/>
        <v>52444966666666.7</v>
      </c>
      <c r="AP13" s="5">
        <f t="shared" si="2"/>
        <v>48498600000000</v>
      </c>
      <c r="AQ13" s="5">
        <f t="shared" si="3"/>
        <v>56803700000000</v>
      </c>
      <c r="AR13" s="5">
        <f t="shared" si="4"/>
        <v>1841096666666.67</v>
      </c>
      <c r="AS13" s="5">
        <f t="shared" si="5"/>
        <v>1687200000000</v>
      </c>
      <c r="AT13" s="5">
        <f t="shared" si="6"/>
        <v>2131370000000</v>
      </c>
    </row>
    <row r="14" customHeight="1" spans="1:46">
      <c r="A14" s="5">
        <v>0.0129574</v>
      </c>
      <c r="B14" s="5">
        <v>0.0141872</v>
      </c>
      <c r="C14" s="5">
        <v>45992300000000</v>
      </c>
      <c r="D14" s="5">
        <v>37742300000</v>
      </c>
      <c r="E14" s="5">
        <v>0</v>
      </c>
      <c r="F14" s="5">
        <v>0</v>
      </c>
      <c r="G14" s="5">
        <v>2</v>
      </c>
      <c r="H14" s="5">
        <v>11962800000000</v>
      </c>
      <c r="I14" s="5">
        <v>9299630000000</v>
      </c>
      <c r="J14" s="5">
        <v>10136800000000</v>
      </c>
      <c r="K14" s="5">
        <v>12922300000000</v>
      </c>
      <c r="L14" s="5">
        <v>1670730000000</v>
      </c>
      <c r="N14" s="5">
        <v>0.0130194</v>
      </c>
      <c r="O14" s="5">
        <v>0.0141218</v>
      </c>
      <c r="P14" s="5">
        <v>54138700000000</v>
      </c>
      <c r="Q14" s="5">
        <v>42606900000</v>
      </c>
      <c r="R14" s="5">
        <v>0</v>
      </c>
      <c r="S14" s="5">
        <v>0</v>
      </c>
      <c r="T14" s="5">
        <v>2</v>
      </c>
      <c r="U14" s="5">
        <v>11509600000000</v>
      </c>
      <c r="V14" s="5">
        <v>11013600000000</v>
      </c>
      <c r="W14" s="5">
        <v>16680000000000</v>
      </c>
      <c r="X14" s="5">
        <v>12576700000000</v>
      </c>
      <c r="Y14" s="5">
        <v>2358860000000</v>
      </c>
      <c r="AA14" s="5">
        <v>0.0130597</v>
      </c>
      <c r="AB14" s="5">
        <v>0.0142199</v>
      </c>
      <c r="AC14" s="5">
        <v>54734600000000</v>
      </c>
      <c r="AD14" s="5">
        <v>40113300000</v>
      </c>
      <c r="AE14" s="5">
        <v>0</v>
      </c>
      <c r="AF14" s="5">
        <v>0</v>
      </c>
      <c r="AG14" s="5">
        <v>2</v>
      </c>
      <c r="AH14" s="5">
        <v>14459400000000</v>
      </c>
      <c r="AI14" s="5">
        <v>10110100000000</v>
      </c>
      <c r="AJ14" s="5">
        <v>13974700000000</v>
      </c>
      <c r="AK14" s="5">
        <v>14026600000000</v>
      </c>
      <c r="AL14" s="5">
        <v>2163710000000</v>
      </c>
      <c r="AN14" s="5">
        <f t="shared" si="0"/>
        <v>0.0129574</v>
      </c>
      <c r="AO14" s="5">
        <f t="shared" si="1"/>
        <v>51621866666666.7</v>
      </c>
      <c r="AP14" s="5">
        <f t="shared" si="2"/>
        <v>45992300000000</v>
      </c>
      <c r="AQ14" s="5">
        <f t="shared" si="3"/>
        <v>54734600000000</v>
      </c>
      <c r="AR14" s="5">
        <f t="shared" si="4"/>
        <v>2064433333333.33</v>
      </c>
      <c r="AS14" s="5">
        <f t="shared" si="5"/>
        <v>1670730000000</v>
      </c>
      <c r="AT14" s="5">
        <f t="shared" si="6"/>
        <v>2358860000000</v>
      </c>
    </row>
    <row r="15" customHeight="1" spans="1:46">
      <c r="A15" s="5">
        <v>0.014024</v>
      </c>
      <c r="B15" s="5">
        <v>0.015238</v>
      </c>
      <c r="C15" s="5">
        <v>47718300000000</v>
      </c>
      <c r="D15" s="5">
        <v>43661000000</v>
      </c>
      <c r="E15" s="5">
        <v>0</v>
      </c>
      <c r="F15" s="5">
        <v>0</v>
      </c>
      <c r="G15" s="5">
        <v>2</v>
      </c>
      <c r="H15" s="5">
        <v>12182900000000</v>
      </c>
      <c r="I15" s="5">
        <v>10156800000000</v>
      </c>
      <c r="J15" s="5">
        <v>10127300000000</v>
      </c>
      <c r="K15" s="5">
        <v>13454200000000</v>
      </c>
      <c r="L15" s="5">
        <v>1796680000000</v>
      </c>
      <c r="N15" s="5">
        <v>0.0140235</v>
      </c>
      <c r="O15" s="5">
        <v>0.0151739</v>
      </c>
      <c r="P15" s="5">
        <v>54182100000000</v>
      </c>
      <c r="Q15" s="5">
        <v>46656200000</v>
      </c>
      <c r="R15" s="5">
        <v>0</v>
      </c>
      <c r="S15" s="5">
        <v>0</v>
      </c>
      <c r="T15" s="5">
        <v>2</v>
      </c>
      <c r="U15" s="5">
        <v>13835600000000</v>
      </c>
      <c r="V15" s="5">
        <v>10899500000000</v>
      </c>
      <c r="W15" s="5">
        <v>13468400000000</v>
      </c>
      <c r="X15" s="5">
        <v>13791900000000</v>
      </c>
      <c r="Y15" s="5">
        <v>2186480000000</v>
      </c>
      <c r="AA15" s="5">
        <v>0.0140113</v>
      </c>
      <c r="AB15" s="5">
        <v>0.0151966</v>
      </c>
      <c r="AC15" s="5">
        <v>54953400000000</v>
      </c>
      <c r="AD15" s="5">
        <v>34203900000</v>
      </c>
      <c r="AE15" s="5">
        <v>0</v>
      </c>
      <c r="AF15" s="5">
        <v>0</v>
      </c>
      <c r="AG15" s="5">
        <v>2</v>
      </c>
      <c r="AH15" s="5">
        <v>14266600000000</v>
      </c>
      <c r="AI15" s="5">
        <v>8904580000000</v>
      </c>
      <c r="AJ15" s="5">
        <v>14595100000000</v>
      </c>
      <c r="AK15" s="5">
        <v>14838900000000</v>
      </c>
      <c r="AL15" s="5">
        <v>2348290000000</v>
      </c>
      <c r="AN15" s="5">
        <f t="shared" si="0"/>
        <v>0.014024</v>
      </c>
      <c r="AO15" s="5">
        <f t="shared" si="1"/>
        <v>52284600000000</v>
      </c>
      <c r="AP15" s="5">
        <f t="shared" si="2"/>
        <v>47718300000000</v>
      </c>
      <c r="AQ15" s="5">
        <f t="shared" si="3"/>
        <v>54953400000000</v>
      </c>
      <c r="AR15" s="5">
        <f t="shared" si="4"/>
        <v>2110483333333.33</v>
      </c>
      <c r="AS15" s="5">
        <f t="shared" si="5"/>
        <v>1796680000000</v>
      </c>
      <c r="AT15" s="5">
        <f t="shared" si="6"/>
        <v>2348290000000</v>
      </c>
    </row>
    <row r="16" customHeight="1" spans="1:46">
      <c r="A16" s="5">
        <v>0.0149727</v>
      </c>
      <c r="B16" s="5">
        <v>0.0161742</v>
      </c>
      <c r="C16" s="5">
        <v>49264900000000</v>
      </c>
      <c r="D16" s="5">
        <v>33567800000</v>
      </c>
      <c r="E16" s="5">
        <v>0</v>
      </c>
      <c r="F16" s="5">
        <v>0</v>
      </c>
      <c r="G16" s="5">
        <v>2</v>
      </c>
      <c r="H16" s="5">
        <v>13395100000000</v>
      </c>
      <c r="I16" s="5">
        <v>11519700000000</v>
      </c>
      <c r="J16" s="5">
        <v>8931440000000</v>
      </c>
      <c r="K16" s="5">
        <v>13640600000000</v>
      </c>
      <c r="L16" s="5">
        <v>1778070000000</v>
      </c>
      <c r="N16" s="5">
        <v>0.0149985</v>
      </c>
      <c r="O16" s="5">
        <v>0.0161662</v>
      </c>
      <c r="P16" s="5">
        <v>60350200000000</v>
      </c>
      <c r="Q16" s="5">
        <v>51496100000</v>
      </c>
      <c r="R16" s="5">
        <v>0</v>
      </c>
      <c r="S16" s="5">
        <v>0</v>
      </c>
      <c r="T16" s="5">
        <v>2</v>
      </c>
      <c r="U16" s="5">
        <v>14747400000000</v>
      </c>
      <c r="V16" s="5">
        <v>13367900000000</v>
      </c>
      <c r="W16" s="5">
        <v>14279800000000</v>
      </c>
      <c r="X16" s="5">
        <v>15254800000000</v>
      </c>
      <c r="Y16" s="5">
        <v>2700290000000</v>
      </c>
      <c r="AA16" s="5">
        <v>0.0149661</v>
      </c>
      <c r="AB16" s="5">
        <v>0.0161581</v>
      </c>
      <c r="AC16" s="5">
        <v>55543300000000</v>
      </c>
      <c r="AD16" s="5">
        <v>41608800000</v>
      </c>
      <c r="AE16" s="5">
        <v>0</v>
      </c>
      <c r="AF16" s="5">
        <v>0</v>
      </c>
      <c r="AG16" s="5">
        <v>2</v>
      </c>
      <c r="AH16" s="5">
        <v>13710200000000</v>
      </c>
      <c r="AI16" s="5">
        <v>8039810000000</v>
      </c>
      <c r="AJ16" s="5">
        <v>16663000000000</v>
      </c>
      <c r="AK16" s="5">
        <v>14983000000000</v>
      </c>
      <c r="AL16" s="5">
        <v>2147320000000</v>
      </c>
      <c r="AN16" s="5">
        <f t="shared" si="0"/>
        <v>0.0149727</v>
      </c>
      <c r="AO16" s="5">
        <f t="shared" si="1"/>
        <v>55052800000000</v>
      </c>
      <c r="AP16" s="5">
        <f t="shared" si="2"/>
        <v>49264900000000</v>
      </c>
      <c r="AQ16" s="5">
        <f t="shared" si="3"/>
        <v>60350200000000</v>
      </c>
      <c r="AR16" s="5">
        <f t="shared" si="4"/>
        <v>2208560000000</v>
      </c>
      <c r="AS16" s="5">
        <f t="shared" si="5"/>
        <v>1778070000000</v>
      </c>
      <c r="AT16" s="5">
        <f t="shared" si="6"/>
        <v>2700290000000</v>
      </c>
    </row>
    <row r="17" customHeight="1" spans="1:46">
      <c r="A17" s="5">
        <v>0.0160491</v>
      </c>
      <c r="B17" s="5">
        <v>0.0172026</v>
      </c>
      <c r="C17" s="5">
        <v>57291200000000</v>
      </c>
      <c r="D17" s="5">
        <v>39426700000</v>
      </c>
      <c r="E17" s="5">
        <v>0</v>
      </c>
      <c r="F17" s="5">
        <v>0</v>
      </c>
      <c r="G17" s="5">
        <v>2</v>
      </c>
      <c r="H17" s="5">
        <v>14782200000000</v>
      </c>
      <c r="I17" s="5">
        <v>13124500000000</v>
      </c>
      <c r="J17" s="5">
        <v>11458600000000</v>
      </c>
      <c r="K17" s="5">
        <v>15664000000000</v>
      </c>
      <c r="L17" s="5">
        <v>2261780000000</v>
      </c>
      <c r="N17" s="5">
        <v>0.0160006</v>
      </c>
      <c r="O17" s="5">
        <v>0.017108</v>
      </c>
      <c r="P17" s="5">
        <v>59370000000000</v>
      </c>
      <c r="Q17" s="5">
        <v>49612100000</v>
      </c>
      <c r="R17" s="5">
        <v>0</v>
      </c>
      <c r="S17" s="5">
        <v>0</v>
      </c>
      <c r="T17" s="5">
        <v>2</v>
      </c>
      <c r="U17" s="5">
        <v>13088100000000</v>
      </c>
      <c r="V17" s="5">
        <v>15094900000000</v>
      </c>
      <c r="W17" s="5">
        <v>13092100000000</v>
      </c>
      <c r="X17" s="5">
        <v>15138000000000</v>
      </c>
      <c r="Y17" s="5">
        <v>2956740000000</v>
      </c>
      <c r="AA17" s="5">
        <v>0.0160058</v>
      </c>
      <c r="AB17" s="5">
        <v>0.0171973</v>
      </c>
      <c r="AC17" s="5">
        <v>54307200000000</v>
      </c>
      <c r="AD17" s="5">
        <v>36591200000</v>
      </c>
      <c r="AE17" s="5">
        <v>0</v>
      </c>
      <c r="AF17" s="5">
        <v>0</v>
      </c>
      <c r="AG17" s="5">
        <v>2</v>
      </c>
      <c r="AH17" s="5">
        <v>12017900000000</v>
      </c>
      <c r="AI17" s="5">
        <v>9656150000000</v>
      </c>
      <c r="AJ17" s="5">
        <v>17144500000000</v>
      </c>
      <c r="AK17" s="5">
        <v>13322800000000</v>
      </c>
      <c r="AL17" s="5">
        <v>2164800000000</v>
      </c>
      <c r="AN17" s="5">
        <f t="shared" si="0"/>
        <v>0.0160491</v>
      </c>
      <c r="AO17" s="5">
        <f t="shared" si="1"/>
        <v>56989466666666.7</v>
      </c>
      <c r="AP17" s="5">
        <f t="shared" si="2"/>
        <v>54307200000000</v>
      </c>
      <c r="AQ17" s="5">
        <f t="shared" si="3"/>
        <v>59370000000000</v>
      </c>
      <c r="AR17" s="5">
        <f t="shared" si="4"/>
        <v>2461106666666.67</v>
      </c>
      <c r="AS17" s="5">
        <f t="shared" si="5"/>
        <v>2164800000000</v>
      </c>
      <c r="AT17" s="5">
        <f t="shared" si="6"/>
        <v>2956740000000</v>
      </c>
    </row>
    <row r="18" customHeight="1" spans="1:46">
      <c r="A18" s="5">
        <v>0.0169949</v>
      </c>
      <c r="B18" s="5">
        <v>0.0182184</v>
      </c>
      <c r="C18" s="5">
        <v>61423800000000</v>
      </c>
      <c r="D18" s="5">
        <v>36564600000</v>
      </c>
      <c r="E18" s="5">
        <v>0</v>
      </c>
      <c r="F18" s="5">
        <v>0</v>
      </c>
      <c r="G18" s="5">
        <v>2</v>
      </c>
      <c r="H18" s="5">
        <v>15331700000000</v>
      </c>
      <c r="I18" s="5">
        <v>12492900000000</v>
      </c>
      <c r="J18" s="5">
        <v>13138800000000</v>
      </c>
      <c r="K18" s="5">
        <v>17569200000000</v>
      </c>
      <c r="L18" s="5">
        <v>2891130000000</v>
      </c>
      <c r="N18" s="5">
        <v>0.0169858</v>
      </c>
      <c r="O18" s="5">
        <v>0.0181179</v>
      </c>
      <c r="P18" s="5">
        <v>60848200000000</v>
      </c>
      <c r="Q18" s="5">
        <v>41295200000</v>
      </c>
      <c r="R18" s="5">
        <v>0</v>
      </c>
      <c r="S18" s="5">
        <v>0</v>
      </c>
      <c r="T18" s="5">
        <v>2</v>
      </c>
      <c r="U18" s="5">
        <v>14602400000000</v>
      </c>
      <c r="V18" s="5">
        <v>14671100000000</v>
      </c>
      <c r="W18" s="5">
        <v>13932400000000</v>
      </c>
      <c r="X18" s="5">
        <v>14791500000000</v>
      </c>
      <c r="Y18" s="5">
        <v>2850710000000</v>
      </c>
      <c r="AA18" s="5">
        <v>0.0170428</v>
      </c>
      <c r="AB18" s="5">
        <v>0.0181897</v>
      </c>
      <c r="AC18" s="5">
        <v>55499700000000</v>
      </c>
      <c r="AD18" s="5">
        <v>41941500000</v>
      </c>
      <c r="AE18" s="5">
        <v>0</v>
      </c>
      <c r="AF18" s="5">
        <v>0</v>
      </c>
      <c r="AG18" s="5">
        <v>2</v>
      </c>
      <c r="AH18" s="5">
        <v>11331500000000</v>
      </c>
      <c r="AI18" s="5">
        <v>12062300000000</v>
      </c>
      <c r="AJ18" s="5">
        <v>15528000000000</v>
      </c>
      <c r="AK18" s="5">
        <v>14659200000000</v>
      </c>
      <c r="AL18" s="5">
        <v>1918610000000</v>
      </c>
      <c r="AN18" s="5">
        <f t="shared" si="0"/>
        <v>0.0169949</v>
      </c>
      <c r="AO18" s="5">
        <f t="shared" si="1"/>
        <v>59257233333333.3</v>
      </c>
      <c r="AP18" s="5">
        <f t="shared" si="2"/>
        <v>55499700000000</v>
      </c>
      <c r="AQ18" s="5">
        <f t="shared" si="3"/>
        <v>61423800000000</v>
      </c>
      <c r="AR18" s="5">
        <f t="shared" si="4"/>
        <v>2553483333333.33</v>
      </c>
      <c r="AS18" s="5">
        <f t="shared" si="5"/>
        <v>1918610000000</v>
      </c>
      <c r="AT18" s="5">
        <f t="shared" si="6"/>
        <v>2891130000000</v>
      </c>
    </row>
    <row r="19" customHeight="1" spans="1:46">
      <c r="A19" s="5">
        <v>0.0180077</v>
      </c>
      <c r="B19" s="5">
        <v>0.0191828</v>
      </c>
      <c r="C19" s="5">
        <v>67940700000000</v>
      </c>
      <c r="D19" s="5">
        <v>40603100000</v>
      </c>
      <c r="E19" s="5">
        <v>0</v>
      </c>
      <c r="F19" s="5">
        <v>0</v>
      </c>
      <c r="G19" s="5">
        <v>2</v>
      </c>
      <c r="H19" s="5">
        <v>15869100000000</v>
      </c>
      <c r="I19" s="5">
        <v>14542800000000</v>
      </c>
      <c r="J19" s="5">
        <v>15033300000000</v>
      </c>
      <c r="K19" s="5">
        <v>18941000000000</v>
      </c>
      <c r="L19" s="5">
        <v>3554430000000</v>
      </c>
      <c r="N19" s="5">
        <v>0.0179744</v>
      </c>
      <c r="O19" s="5">
        <v>0.0190892</v>
      </c>
      <c r="P19" s="5">
        <v>63449800000000</v>
      </c>
      <c r="Q19" s="5">
        <v>46805900000</v>
      </c>
      <c r="R19" s="5">
        <v>0</v>
      </c>
      <c r="S19" s="5">
        <v>0</v>
      </c>
      <c r="T19" s="5">
        <v>2</v>
      </c>
      <c r="U19" s="5">
        <v>17280000000000</v>
      </c>
      <c r="V19" s="5">
        <v>15031200000000</v>
      </c>
      <c r="W19" s="5">
        <v>12476700000000</v>
      </c>
      <c r="X19" s="5">
        <v>15517800000000</v>
      </c>
      <c r="Y19" s="5">
        <v>3143780000000</v>
      </c>
      <c r="AA19" s="5">
        <v>0.0180542</v>
      </c>
      <c r="AB19" s="5">
        <v>0.0192368</v>
      </c>
      <c r="AC19" s="5">
        <v>57054500000000</v>
      </c>
      <c r="AD19" s="5">
        <v>43789700000</v>
      </c>
      <c r="AE19" s="5">
        <v>0</v>
      </c>
      <c r="AF19" s="5">
        <v>0</v>
      </c>
      <c r="AG19" s="5">
        <v>2</v>
      </c>
      <c r="AH19" s="5">
        <v>10818900000000</v>
      </c>
      <c r="AI19" s="5">
        <v>13304700000000</v>
      </c>
      <c r="AJ19" s="5">
        <v>15970600000000</v>
      </c>
      <c r="AK19" s="5">
        <v>14467800000000</v>
      </c>
      <c r="AL19" s="5">
        <v>2492290000000</v>
      </c>
      <c r="AN19" s="5">
        <f t="shared" si="0"/>
        <v>0.0180077</v>
      </c>
      <c r="AO19" s="5">
        <f t="shared" si="1"/>
        <v>62815000000000</v>
      </c>
      <c r="AP19" s="5">
        <f t="shared" si="2"/>
        <v>57054500000000</v>
      </c>
      <c r="AQ19" s="5">
        <f t="shared" si="3"/>
        <v>67940700000000</v>
      </c>
      <c r="AR19" s="5">
        <f t="shared" si="4"/>
        <v>3063500000000</v>
      </c>
      <c r="AS19" s="5">
        <f t="shared" si="5"/>
        <v>2492290000000</v>
      </c>
      <c r="AT19" s="5">
        <f t="shared" si="6"/>
        <v>3554430000000</v>
      </c>
    </row>
    <row r="20" customHeight="1" spans="1:46">
      <c r="A20" s="5">
        <v>0.0190439</v>
      </c>
      <c r="B20" s="5">
        <v>0.0201715</v>
      </c>
      <c r="C20" s="5">
        <v>68286900000000</v>
      </c>
      <c r="D20" s="5">
        <v>53901200000</v>
      </c>
      <c r="E20" s="5">
        <v>0</v>
      </c>
      <c r="F20" s="5">
        <v>0</v>
      </c>
      <c r="G20" s="5">
        <v>2</v>
      </c>
      <c r="H20" s="5">
        <v>13819100000000</v>
      </c>
      <c r="I20" s="5">
        <v>15388200000000</v>
      </c>
      <c r="J20" s="5">
        <v>16970800000000</v>
      </c>
      <c r="K20" s="5">
        <v>18242100000000</v>
      </c>
      <c r="L20" s="5">
        <v>3866710000000</v>
      </c>
      <c r="N20" s="5">
        <v>0.0189924</v>
      </c>
      <c r="O20" s="5">
        <v>0.0201173</v>
      </c>
      <c r="P20" s="5">
        <v>61329900000000</v>
      </c>
      <c r="Q20" s="5">
        <v>43592100000</v>
      </c>
      <c r="R20" s="5">
        <v>0</v>
      </c>
      <c r="S20" s="5">
        <v>0</v>
      </c>
      <c r="T20" s="5">
        <v>2</v>
      </c>
      <c r="U20" s="5">
        <v>18348700000000</v>
      </c>
      <c r="V20" s="5">
        <v>15330000000000</v>
      </c>
      <c r="W20" s="5">
        <v>10976900000000</v>
      </c>
      <c r="X20" s="5">
        <v>13397500000000</v>
      </c>
      <c r="Y20" s="5">
        <v>3276800000000</v>
      </c>
      <c r="AA20" s="5">
        <v>0.0190134</v>
      </c>
      <c r="AB20" s="5">
        <v>0.0202265</v>
      </c>
      <c r="AC20" s="5">
        <v>57585900000000</v>
      </c>
      <c r="AD20" s="5">
        <v>51568900000</v>
      </c>
      <c r="AE20" s="5">
        <v>0</v>
      </c>
      <c r="AF20" s="5">
        <v>0</v>
      </c>
      <c r="AG20" s="5">
        <v>2</v>
      </c>
      <c r="AH20" s="5">
        <v>8986110000000</v>
      </c>
      <c r="AI20" s="5">
        <v>14450300000000</v>
      </c>
      <c r="AJ20" s="5">
        <v>16272000000000</v>
      </c>
      <c r="AK20" s="5">
        <v>14988200000000</v>
      </c>
      <c r="AL20" s="5">
        <v>2889310000000</v>
      </c>
      <c r="AN20" s="5">
        <f t="shared" si="0"/>
        <v>0.0190439</v>
      </c>
      <c r="AO20" s="5">
        <f t="shared" si="1"/>
        <v>62400900000000</v>
      </c>
      <c r="AP20" s="5">
        <f t="shared" si="2"/>
        <v>57585900000000</v>
      </c>
      <c r="AQ20" s="5">
        <f t="shared" si="3"/>
        <v>68286900000000</v>
      </c>
      <c r="AR20" s="5">
        <f t="shared" si="4"/>
        <v>3344273333333.33</v>
      </c>
      <c r="AS20" s="5">
        <f t="shared" si="5"/>
        <v>2889310000000</v>
      </c>
      <c r="AT20" s="5">
        <f t="shared" si="6"/>
        <v>3866710000000</v>
      </c>
    </row>
    <row r="21" customHeight="1" spans="1:46">
      <c r="A21" s="5">
        <v>0.020001</v>
      </c>
      <c r="B21" s="5">
        <v>0.0211282</v>
      </c>
      <c r="C21" s="5">
        <v>69097500000000</v>
      </c>
      <c r="D21" s="5">
        <v>45006800000</v>
      </c>
      <c r="E21" s="5">
        <v>0</v>
      </c>
      <c r="F21" s="5">
        <v>0</v>
      </c>
      <c r="G21" s="5">
        <v>2</v>
      </c>
      <c r="H21" s="5">
        <v>13807900000000</v>
      </c>
      <c r="I21" s="5">
        <v>16460800000000</v>
      </c>
      <c r="J21" s="5">
        <v>18449400000000</v>
      </c>
      <c r="K21" s="5">
        <v>16268300000000</v>
      </c>
      <c r="L21" s="5">
        <v>4111130000000</v>
      </c>
      <c r="N21" s="5">
        <v>0.0199881</v>
      </c>
      <c r="O21" s="5">
        <v>0.0211345</v>
      </c>
      <c r="P21" s="5">
        <v>60244000000000</v>
      </c>
      <c r="Q21" s="5">
        <v>57672500000</v>
      </c>
      <c r="R21" s="5">
        <v>0</v>
      </c>
      <c r="S21" s="5">
        <v>0</v>
      </c>
      <c r="T21" s="5">
        <v>2</v>
      </c>
      <c r="U21" s="5">
        <v>17548400000000</v>
      </c>
      <c r="V21" s="5">
        <v>15048600000000</v>
      </c>
      <c r="W21" s="5">
        <v>12119000000000</v>
      </c>
      <c r="X21" s="5">
        <v>12459400000000</v>
      </c>
      <c r="Y21" s="5">
        <v>3068540000000</v>
      </c>
      <c r="AA21" s="5">
        <v>0.0200091</v>
      </c>
      <c r="AB21" s="5">
        <v>0.0211421</v>
      </c>
      <c r="AC21" s="5">
        <v>57827900000000</v>
      </c>
      <c r="AD21" s="5">
        <v>42378600000</v>
      </c>
      <c r="AE21" s="5">
        <v>0</v>
      </c>
      <c r="AF21" s="5">
        <v>0</v>
      </c>
      <c r="AG21" s="5">
        <v>2</v>
      </c>
      <c r="AH21" s="5">
        <v>9692000000000</v>
      </c>
      <c r="AI21" s="5">
        <v>14954300000000</v>
      </c>
      <c r="AJ21" s="5">
        <v>16844500000000</v>
      </c>
      <c r="AK21" s="5">
        <v>13356100000000</v>
      </c>
      <c r="AL21" s="5">
        <v>2980790000000</v>
      </c>
      <c r="AN21" s="5">
        <f t="shared" si="0"/>
        <v>0.020001</v>
      </c>
      <c r="AO21" s="5">
        <f t="shared" si="1"/>
        <v>62389800000000</v>
      </c>
      <c r="AP21" s="5">
        <f t="shared" si="2"/>
        <v>57827900000000</v>
      </c>
      <c r="AQ21" s="5">
        <f t="shared" si="3"/>
        <v>69097500000000</v>
      </c>
      <c r="AR21" s="5">
        <f t="shared" si="4"/>
        <v>3386820000000</v>
      </c>
      <c r="AS21" s="5">
        <f t="shared" si="5"/>
        <v>2980790000000</v>
      </c>
      <c r="AT21" s="5">
        <f t="shared" si="6"/>
        <v>4111130000000</v>
      </c>
    </row>
    <row r="22" customHeight="1" spans="1:46">
      <c r="A22" s="5">
        <v>0.0209453</v>
      </c>
      <c r="B22" s="5">
        <v>0.0220739</v>
      </c>
      <c r="C22" s="5">
        <v>67076800000000</v>
      </c>
      <c r="D22" s="5">
        <v>59037200000</v>
      </c>
      <c r="E22" s="5">
        <v>0</v>
      </c>
      <c r="F22" s="5">
        <v>0</v>
      </c>
      <c r="G22" s="5">
        <v>2</v>
      </c>
      <c r="H22" s="5">
        <v>13006900000000</v>
      </c>
      <c r="I22" s="5">
        <v>18087000000000</v>
      </c>
      <c r="J22" s="5">
        <v>16884300000000</v>
      </c>
      <c r="K22" s="5">
        <v>14916300000000</v>
      </c>
      <c r="L22" s="5">
        <v>4181790000000</v>
      </c>
      <c r="N22" s="5">
        <v>0.0210564</v>
      </c>
      <c r="O22" s="5">
        <v>0.0221873</v>
      </c>
      <c r="P22" s="5">
        <v>62305000000000</v>
      </c>
      <c r="Q22" s="5">
        <v>40317200000</v>
      </c>
      <c r="R22" s="5">
        <v>0</v>
      </c>
      <c r="S22" s="5">
        <v>0</v>
      </c>
      <c r="T22" s="5">
        <v>2</v>
      </c>
      <c r="U22" s="5">
        <v>15736000000000</v>
      </c>
      <c r="V22" s="5">
        <v>16445600000000</v>
      </c>
      <c r="W22" s="5">
        <v>13972700000000</v>
      </c>
      <c r="X22" s="5">
        <v>13005300000000</v>
      </c>
      <c r="Y22" s="5">
        <v>3145450000000</v>
      </c>
      <c r="AA22" s="5">
        <v>0.0209744</v>
      </c>
      <c r="AB22" s="5">
        <v>0.0221149</v>
      </c>
      <c r="AC22" s="5">
        <v>55183400000000</v>
      </c>
      <c r="AD22" s="5">
        <v>46486700000</v>
      </c>
      <c r="AE22" s="5">
        <v>0</v>
      </c>
      <c r="AF22" s="5">
        <v>0</v>
      </c>
      <c r="AG22" s="5">
        <v>2</v>
      </c>
      <c r="AH22" s="5">
        <v>11030700000000</v>
      </c>
      <c r="AI22" s="5">
        <v>13611600000000</v>
      </c>
      <c r="AJ22" s="5">
        <v>14931000000000</v>
      </c>
      <c r="AK22" s="5">
        <v>13020800000000</v>
      </c>
      <c r="AL22" s="5">
        <v>2589300000000</v>
      </c>
      <c r="AN22" s="5">
        <f t="shared" si="0"/>
        <v>0.0209453</v>
      </c>
      <c r="AO22" s="5">
        <f t="shared" si="1"/>
        <v>61521733333333.3</v>
      </c>
      <c r="AP22" s="5">
        <f t="shared" si="2"/>
        <v>55183400000000</v>
      </c>
      <c r="AQ22" s="5">
        <f t="shared" si="3"/>
        <v>67076800000000</v>
      </c>
      <c r="AR22" s="5">
        <f t="shared" si="4"/>
        <v>3305513333333.33</v>
      </c>
      <c r="AS22" s="5">
        <f t="shared" si="5"/>
        <v>2589300000000</v>
      </c>
      <c r="AT22" s="5">
        <f t="shared" si="6"/>
        <v>4181790000000</v>
      </c>
    </row>
    <row r="23" customHeight="1" spans="1:46">
      <c r="A23" s="5">
        <v>0.0220266</v>
      </c>
      <c r="B23" s="5">
        <v>0.0231193</v>
      </c>
      <c r="C23" s="5">
        <v>66478300000000</v>
      </c>
      <c r="D23" s="5">
        <v>47858600000</v>
      </c>
      <c r="E23" s="5">
        <v>0</v>
      </c>
      <c r="F23" s="5">
        <v>0</v>
      </c>
      <c r="G23" s="5">
        <v>2</v>
      </c>
      <c r="H23" s="5">
        <v>12304900000000</v>
      </c>
      <c r="I23" s="5">
        <v>18207100000000</v>
      </c>
      <c r="J23" s="5">
        <v>16497600000000</v>
      </c>
      <c r="K23" s="5">
        <v>15208600000000</v>
      </c>
      <c r="L23" s="5">
        <v>4258490000000</v>
      </c>
      <c r="N23" s="5">
        <v>0.0219728</v>
      </c>
      <c r="O23" s="5">
        <v>0.0230857</v>
      </c>
      <c r="P23" s="5">
        <v>62517900000000</v>
      </c>
      <c r="Q23" s="5">
        <v>41516700000</v>
      </c>
      <c r="R23" s="5">
        <v>0</v>
      </c>
      <c r="S23" s="5">
        <v>0</v>
      </c>
      <c r="T23" s="5">
        <v>2</v>
      </c>
      <c r="U23" s="5">
        <v>12797300000000</v>
      </c>
      <c r="V23" s="5">
        <v>16388400000000</v>
      </c>
      <c r="W23" s="5">
        <v>15729200000000</v>
      </c>
      <c r="X23" s="5">
        <v>14310900000000</v>
      </c>
      <c r="Y23" s="5">
        <v>3292130000000</v>
      </c>
      <c r="AA23" s="5">
        <v>0.022014</v>
      </c>
      <c r="AB23" s="5">
        <v>0.0231949</v>
      </c>
      <c r="AC23" s="5">
        <v>54457600000000</v>
      </c>
      <c r="AD23" s="5">
        <v>36189700000</v>
      </c>
      <c r="AE23" s="5">
        <v>0</v>
      </c>
      <c r="AF23" s="5">
        <v>0</v>
      </c>
      <c r="AG23" s="5">
        <v>2</v>
      </c>
      <c r="AH23" s="5">
        <v>11061100000000</v>
      </c>
      <c r="AI23" s="5">
        <v>13071500000000</v>
      </c>
      <c r="AJ23" s="5">
        <v>12962800000000</v>
      </c>
      <c r="AK23" s="5">
        <v>14720800000000</v>
      </c>
      <c r="AL23" s="5">
        <v>2641490000000</v>
      </c>
      <c r="AN23" s="5">
        <f t="shared" si="0"/>
        <v>0.0220266</v>
      </c>
      <c r="AO23" s="5">
        <f t="shared" si="1"/>
        <v>61151266666666.7</v>
      </c>
      <c r="AP23" s="5">
        <f t="shared" si="2"/>
        <v>54457600000000</v>
      </c>
      <c r="AQ23" s="5">
        <f t="shared" si="3"/>
        <v>66478300000000</v>
      </c>
      <c r="AR23" s="5">
        <f t="shared" si="4"/>
        <v>3397370000000</v>
      </c>
      <c r="AS23" s="5">
        <f t="shared" si="5"/>
        <v>2641490000000</v>
      </c>
      <c r="AT23" s="5">
        <f t="shared" si="6"/>
        <v>4258490000000</v>
      </c>
    </row>
    <row r="24" customHeight="1" spans="1:46">
      <c r="A24" s="5">
        <v>0.0229874</v>
      </c>
      <c r="B24" s="5">
        <v>0.0241244</v>
      </c>
      <c r="C24" s="5">
        <v>63985900000000</v>
      </c>
      <c r="D24" s="5">
        <v>56566400000</v>
      </c>
      <c r="E24" s="5">
        <v>0</v>
      </c>
      <c r="F24" s="5">
        <v>0</v>
      </c>
      <c r="G24" s="5">
        <v>2</v>
      </c>
      <c r="H24" s="5">
        <v>12096700000000</v>
      </c>
      <c r="I24" s="5">
        <v>17425100000000</v>
      </c>
      <c r="J24" s="5">
        <v>14624400000000</v>
      </c>
      <c r="K24" s="5">
        <v>15320500000000</v>
      </c>
      <c r="L24" s="5">
        <v>4518640000000</v>
      </c>
      <c r="N24" s="5">
        <v>0.0230247</v>
      </c>
      <c r="O24" s="5">
        <v>0.0240918</v>
      </c>
      <c r="P24" s="5">
        <v>61403800000000</v>
      </c>
      <c r="Q24" s="5">
        <v>54768700000</v>
      </c>
      <c r="R24" s="5">
        <v>0</v>
      </c>
      <c r="S24" s="5">
        <v>0</v>
      </c>
      <c r="T24" s="5">
        <v>2</v>
      </c>
      <c r="U24" s="5">
        <v>13258400000000</v>
      </c>
      <c r="V24" s="5">
        <v>17128200000000</v>
      </c>
      <c r="W24" s="5">
        <v>13826300000000</v>
      </c>
      <c r="X24" s="5">
        <v>13783400000000</v>
      </c>
      <c r="Y24" s="5">
        <v>3407460000000</v>
      </c>
      <c r="AA24" s="5">
        <v>0.023007</v>
      </c>
      <c r="AB24" s="5">
        <v>0.0241743</v>
      </c>
      <c r="AC24" s="5">
        <v>52045900000000</v>
      </c>
      <c r="AD24" s="5">
        <v>38570000000</v>
      </c>
      <c r="AE24" s="5">
        <v>0</v>
      </c>
      <c r="AF24" s="5">
        <v>0</v>
      </c>
      <c r="AG24" s="5">
        <v>2</v>
      </c>
      <c r="AH24" s="5">
        <v>10386600000000</v>
      </c>
      <c r="AI24" s="5">
        <v>11527300000000</v>
      </c>
      <c r="AJ24" s="5">
        <v>13412200000000</v>
      </c>
      <c r="AK24" s="5">
        <v>14171000000000</v>
      </c>
      <c r="AL24" s="5">
        <v>2548730000000</v>
      </c>
      <c r="AN24" s="5">
        <f t="shared" si="0"/>
        <v>0.0229874</v>
      </c>
      <c r="AO24" s="5">
        <f t="shared" si="1"/>
        <v>59145200000000</v>
      </c>
      <c r="AP24" s="5">
        <f t="shared" si="2"/>
        <v>52045900000000</v>
      </c>
      <c r="AQ24" s="5">
        <f t="shared" si="3"/>
        <v>63985900000000</v>
      </c>
      <c r="AR24" s="5">
        <f t="shared" si="4"/>
        <v>3491610000000</v>
      </c>
      <c r="AS24" s="5">
        <f t="shared" si="5"/>
        <v>2548730000000</v>
      </c>
      <c r="AT24" s="5">
        <f t="shared" si="6"/>
        <v>4518640000000</v>
      </c>
    </row>
    <row r="25" customHeight="1" spans="1:46">
      <c r="A25" s="5">
        <v>0.0239655</v>
      </c>
      <c r="B25" s="5">
        <v>0.0250833</v>
      </c>
      <c r="C25" s="5">
        <v>65330100000000</v>
      </c>
      <c r="D25" s="5">
        <v>69300300000</v>
      </c>
      <c r="E25" s="5">
        <v>0</v>
      </c>
      <c r="F25" s="5">
        <v>0</v>
      </c>
      <c r="G25" s="5">
        <v>2</v>
      </c>
      <c r="H25" s="5">
        <v>12640400000000</v>
      </c>
      <c r="I25" s="5">
        <v>16776700000000</v>
      </c>
      <c r="J25" s="5">
        <v>14589800000000</v>
      </c>
      <c r="K25" s="5">
        <v>16470600000000</v>
      </c>
      <c r="L25" s="5">
        <v>4852240000000</v>
      </c>
      <c r="N25" s="5">
        <v>0.0240027</v>
      </c>
      <c r="O25" s="5">
        <v>0.0251247</v>
      </c>
      <c r="P25" s="5">
        <v>59246100000000</v>
      </c>
      <c r="Q25" s="5">
        <v>47541400000</v>
      </c>
      <c r="R25" s="5">
        <v>0</v>
      </c>
      <c r="S25" s="5">
        <v>0</v>
      </c>
      <c r="T25" s="5">
        <v>2</v>
      </c>
      <c r="U25" s="5">
        <v>15039900000000</v>
      </c>
      <c r="V25" s="5">
        <v>14782200000000</v>
      </c>
      <c r="W25" s="5">
        <v>12795000000000</v>
      </c>
      <c r="X25" s="5">
        <v>13206900000000</v>
      </c>
      <c r="Y25" s="5">
        <v>3422130000000</v>
      </c>
      <c r="AA25" s="5">
        <v>0.0240314</v>
      </c>
      <c r="AB25" s="5">
        <v>0.0252018</v>
      </c>
      <c r="AC25" s="5">
        <v>56621400000000</v>
      </c>
      <c r="AD25" s="5">
        <v>44574500000</v>
      </c>
      <c r="AE25" s="5">
        <v>0</v>
      </c>
      <c r="AF25" s="5">
        <v>0</v>
      </c>
      <c r="AG25" s="5">
        <v>2</v>
      </c>
      <c r="AH25" s="5">
        <v>10712700000000</v>
      </c>
      <c r="AI25" s="5">
        <v>14281300000000</v>
      </c>
      <c r="AJ25" s="5">
        <v>14024600000000</v>
      </c>
      <c r="AK25" s="5">
        <v>15010900000000</v>
      </c>
      <c r="AL25" s="5">
        <v>2592030000000</v>
      </c>
      <c r="AN25" s="5">
        <f t="shared" si="0"/>
        <v>0.0239655</v>
      </c>
      <c r="AO25" s="5">
        <f t="shared" si="1"/>
        <v>60399200000000</v>
      </c>
      <c r="AP25" s="5">
        <f t="shared" si="2"/>
        <v>56621400000000</v>
      </c>
      <c r="AQ25" s="5">
        <f t="shared" si="3"/>
        <v>65330100000000</v>
      </c>
      <c r="AR25" s="5">
        <f t="shared" si="4"/>
        <v>3622133333333.33</v>
      </c>
      <c r="AS25" s="5">
        <f t="shared" si="5"/>
        <v>2592030000000</v>
      </c>
      <c r="AT25" s="5">
        <f t="shared" si="6"/>
        <v>4852240000000</v>
      </c>
    </row>
    <row r="26" customHeight="1" spans="1:46">
      <c r="A26" s="5">
        <v>0.0250159</v>
      </c>
      <c r="B26" s="5">
        <v>0.0260996</v>
      </c>
      <c r="C26" s="5">
        <v>66315700000000</v>
      </c>
      <c r="D26" s="5">
        <v>48865800000</v>
      </c>
      <c r="E26" s="5">
        <v>0</v>
      </c>
      <c r="F26" s="5">
        <v>0</v>
      </c>
      <c r="G26" s="5">
        <v>2</v>
      </c>
      <c r="H26" s="5">
        <v>14399300000000</v>
      </c>
      <c r="I26" s="5">
        <v>15716700000000</v>
      </c>
      <c r="J26" s="5">
        <v>14723000000000</v>
      </c>
      <c r="K26" s="5">
        <v>16927600000000</v>
      </c>
      <c r="L26" s="5">
        <v>4549200000000</v>
      </c>
      <c r="N26" s="5">
        <v>0.024972</v>
      </c>
      <c r="O26" s="5">
        <v>0.0260644</v>
      </c>
      <c r="P26" s="5">
        <v>63776200000000</v>
      </c>
      <c r="Q26" s="5">
        <v>44734900000</v>
      </c>
      <c r="R26" s="5">
        <v>0</v>
      </c>
      <c r="S26" s="5">
        <v>0</v>
      </c>
      <c r="T26" s="5">
        <v>2</v>
      </c>
      <c r="U26" s="5">
        <v>16455100000000</v>
      </c>
      <c r="V26" s="5">
        <v>16128000000000</v>
      </c>
      <c r="W26" s="5">
        <v>14752400000000</v>
      </c>
      <c r="X26" s="5">
        <v>12831400000000</v>
      </c>
      <c r="Y26" s="5">
        <v>3609220000000</v>
      </c>
      <c r="AA26" s="5">
        <v>0.0250434</v>
      </c>
      <c r="AB26" s="5">
        <v>0.0261821</v>
      </c>
      <c r="AC26" s="5">
        <v>59400600000000</v>
      </c>
      <c r="AD26" s="5">
        <v>39593900000</v>
      </c>
      <c r="AE26" s="5">
        <v>0</v>
      </c>
      <c r="AF26" s="5">
        <v>0</v>
      </c>
      <c r="AG26" s="5">
        <v>2</v>
      </c>
      <c r="AH26" s="5">
        <v>11460400000000</v>
      </c>
      <c r="AI26" s="5">
        <v>15335400000000</v>
      </c>
      <c r="AJ26" s="5">
        <v>13614200000000</v>
      </c>
      <c r="AK26" s="5">
        <v>16233700000000</v>
      </c>
      <c r="AL26" s="5">
        <v>2757040000000</v>
      </c>
      <c r="AN26" s="5">
        <f t="shared" si="0"/>
        <v>0.0250159</v>
      </c>
      <c r="AO26" s="5">
        <f t="shared" si="1"/>
        <v>63164166666666.7</v>
      </c>
      <c r="AP26" s="5">
        <f t="shared" si="2"/>
        <v>59400600000000</v>
      </c>
      <c r="AQ26" s="5">
        <f t="shared" si="3"/>
        <v>66315700000000</v>
      </c>
      <c r="AR26" s="5">
        <f t="shared" si="4"/>
        <v>3638486666666.67</v>
      </c>
      <c r="AS26" s="5">
        <f t="shared" si="5"/>
        <v>2757040000000</v>
      </c>
      <c r="AT26" s="5">
        <f t="shared" si="6"/>
        <v>4549200000000</v>
      </c>
    </row>
    <row r="27" customHeight="1" spans="1:46">
      <c r="A27" s="5">
        <v>0.0260289</v>
      </c>
      <c r="B27" s="5">
        <v>0.0271433</v>
      </c>
      <c r="C27" s="5">
        <v>61521000000000</v>
      </c>
      <c r="D27" s="5">
        <v>57743700000</v>
      </c>
      <c r="E27" s="5">
        <v>0</v>
      </c>
      <c r="F27" s="5">
        <v>0</v>
      </c>
      <c r="G27" s="5">
        <v>2</v>
      </c>
      <c r="H27" s="5">
        <v>13418300000000</v>
      </c>
      <c r="I27" s="5">
        <v>15110500000000</v>
      </c>
      <c r="J27" s="5">
        <v>13840400000000</v>
      </c>
      <c r="K27" s="5">
        <v>14679800000000</v>
      </c>
      <c r="L27" s="5">
        <v>4471990000000</v>
      </c>
      <c r="N27" s="5">
        <v>0.0260501</v>
      </c>
      <c r="O27" s="5">
        <v>0.0271771</v>
      </c>
      <c r="P27" s="5">
        <v>65532100000000</v>
      </c>
      <c r="Q27" s="5">
        <v>55176100000</v>
      </c>
      <c r="R27" s="5">
        <v>0</v>
      </c>
      <c r="S27" s="5">
        <v>0</v>
      </c>
      <c r="T27" s="5">
        <v>2</v>
      </c>
      <c r="U27" s="5">
        <v>15923900000000</v>
      </c>
      <c r="V27" s="5">
        <v>17933800000000</v>
      </c>
      <c r="W27" s="5">
        <v>15638400000000</v>
      </c>
      <c r="X27" s="5">
        <v>12102400000000</v>
      </c>
      <c r="Y27" s="5">
        <v>3933670000000</v>
      </c>
      <c r="AA27" s="5">
        <v>0.0260015</v>
      </c>
      <c r="AB27" s="5">
        <v>0.0271678</v>
      </c>
      <c r="AC27" s="5">
        <v>62071600000000</v>
      </c>
      <c r="AD27" s="5">
        <v>38823500000</v>
      </c>
      <c r="AE27" s="5">
        <v>0</v>
      </c>
      <c r="AF27" s="5">
        <v>0</v>
      </c>
      <c r="AG27" s="5">
        <v>2</v>
      </c>
      <c r="AH27" s="5">
        <v>12372700000000</v>
      </c>
      <c r="AI27" s="5">
        <v>16361600000000</v>
      </c>
      <c r="AJ27" s="5">
        <v>14418700000000</v>
      </c>
      <c r="AK27" s="5">
        <v>15977800000000</v>
      </c>
      <c r="AL27" s="5">
        <v>2940680000000</v>
      </c>
      <c r="AN27" s="5">
        <f t="shared" si="0"/>
        <v>0.0260289</v>
      </c>
      <c r="AO27" s="5">
        <f t="shared" si="1"/>
        <v>63041566666666.7</v>
      </c>
      <c r="AP27" s="5">
        <f t="shared" si="2"/>
        <v>61521000000000</v>
      </c>
      <c r="AQ27" s="5">
        <f t="shared" si="3"/>
        <v>65532100000000</v>
      </c>
      <c r="AR27" s="5">
        <f t="shared" si="4"/>
        <v>3782113333333.33</v>
      </c>
      <c r="AS27" s="5">
        <f t="shared" si="5"/>
        <v>2940680000000</v>
      </c>
      <c r="AT27" s="5">
        <f t="shared" si="6"/>
        <v>4471990000000</v>
      </c>
    </row>
    <row r="28" customHeight="1" spans="1:46">
      <c r="A28" s="5">
        <v>0.0270096</v>
      </c>
      <c r="B28" s="5">
        <v>0.0281216</v>
      </c>
      <c r="C28" s="5">
        <v>64728600000000</v>
      </c>
      <c r="D28" s="5">
        <v>35316100000</v>
      </c>
      <c r="E28" s="5">
        <v>0</v>
      </c>
      <c r="F28" s="5">
        <v>0</v>
      </c>
      <c r="G28" s="5">
        <v>2</v>
      </c>
      <c r="H28" s="5">
        <v>12221500000000</v>
      </c>
      <c r="I28" s="5">
        <v>15523700000000</v>
      </c>
      <c r="J28" s="5">
        <v>16270400000000</v>
      </c>
      <c r="K28" s="5">
        <v>16329000000000</v>
      </c>
      <c r="L28" s="5">
        <v>4384150000000</v>
      </c>
      <c r="N28" s="5">
        <v>0.0270333</v>
      </c>
      <c r="O28" s="5">
        <v>0.0281123</v>
      </c>
      <c r="P28" s="5">
        <v>63059300000000</v>
      </c>
      <c r="Q28" s="5">
        <v>59419500000</v>
      </c>
      <c r="R28" s="5">
        <v>0</v>
      </c>
      <c r="S28" s="5">
        <v>0</v>
      </c>
      <c r="T28" s="5">
        <v>2</v>
      </c>
      <c r="U28" s="5">
        <v>16249000000000</v>
      </c>
      <c r="V28" s="5">
        <v>17495300000000</v>
      </c>
      <c r="W28" s="5">
        <v>13317800000000</v>
      </c>
      <c r="X28" s="5">
        <v>12134600000000</v>
      </c>
      <c r="Y28" s="5">
        <v>3862440000000</v>
      </c>
      <c r="AA28" s="5">
        <v>0.0270663</v>
      </c>
      <c r="AB28" s="5">
        <v>0.0282066</v>
      </c>
      <c r="AC28" s="5">
        <v>63255500000000</v>
      </c>
      <c r="AD28" s="5">
        <v>53759300000</v>
      </c>
      <c r="AE28" s="5">
        <v>0</v>
      </c>
      <c r="AF28" s="5">
        <v>0</v>
      </c>
      <c r="AG28" s="5">
        <v>2</v>
      </c>
      <c r="AH28" s="5">
        <v>12385700000000</v>
      </c>
      <c r="AI28" s="5">
        <v>18877600000000</v>
      </c>
      <c r="AJ28" s="5">
        <v>14480500000000</v>
      </c>
      <c r="AK28" s="5">
        <v>14171400000000</v>
      </c>
      <c r="AL28" s="5">
        <v>3340020000000</v>
      </c>
      <c r="AN28" s="5">
        <f t="shared" si="0"/>
        <v>0.0270096</v>
      </c>
      <c r="AO28" s="5">
        <f t="shared" si="1"/>
        <v>63681133333333.3</v>
      </c>
      <c r="AP28" s="5">
        <f t="shared" si="2"/>
        <v>63059300000000</v>
      </c>
      <c r="AQ28" s="5">
        <f t="shared" si="3"/>
        <v>64728600000000</v>
      </c>
      <c r="AR28" s="5">
        <f t="shared" si="4"/>
        <v>3862203333333.33</v>
      </c>
      <c r="AS28" s="5">
        <f t="shared" si="5"/>
        <v>3340020000000</v>
      </c>
      <c r="AT28" s="5">
        <f t="shared" si="6"/>
        <v>4384150000000</v>
      </c>
    </row>
    <row r="29" customHeight="1" spans="1:46">
      <c r="A29" s="5">
        <v>0.0279857</v>
      </c>
      <c r="B29" s="5">
        <v>0.0291374</v>
      </c>
      <c r="C29" s="5">
        <v>68511100000000</v>
      </c>
      <c r="D29" s="5">
        <v>55521200000</v>
      </c>
      <c r="E29" s="5">
        <v>0</v>
      </c>
      <c r="F29" s="5">
        <v>0</v>
      </c>
      <c r="G29" s="5">
        <v>2</v>
      </c>
      <c r="H29" s="5">
        <v>11929000000000</v>
      </c>
      <c r="I29" s="5">
        <v>18019700000000</v>
      </c>
      <c r="J29" s="5">
        <v>17632800000000</v>
      </c>
      <c r="K29" s="5">
        <v>16601600000000</v>
      </c>
      <c r="L29" s="5">
        <v>4327950000000</v>
      </c>
      <c r="N29" s="5">
        <v>0.0280049</v>
      </c>
      <c r="O29" s="5">
        <v>0.0291388</v>
      </c>
      <c r="P29" s="5">
        <v>61579900000000</v>
      </c>
      <c r="Q29" s="5">
        <v>46833500000</v>
      </c>
      <c r="R29" s="5">
        <v>0</v>
      </c>
      <c r="S29" s="5">
        <v>0</v>
      </c>
      <c r="T29" s="5">
        <v>2</v>
      </c>
      <c r="U29" s="5">
        <v>15600800000000</v>
      </c>
      <c r="V29" s="5">
        <v>16661800000000</v>
      </c>
      <c r="W29" s="5">
        <v>12598000000000</v>
      </c>
      <c r="X29" s="5">
        <v>12668200000000</v>
      </c>
      <c r="Y29" s="5">
        <v>4051060000000</v>
      </c>
      <c r="AA29" s="5">
        <v>0.0280162</v>
      </c>
      <c r="AB29" s="5">
        <v>0.0290992</v>
      </c>
      <c r="AC29" s="5">
        <v>61662600000000</v>
      </c>
      <c r="AD29" s="5">
        <v>44168800000</v>
      </c>
      <c r="AE29" s="5">
        <v>0</v>
      </c>
      <c r="AF29" s="5">
        <v>0</v>
      </c>
      <c r="AG29" s="5">
        <v>2</v>
      </c>
      <c r="AH29" s="5">
        <v>11728500000000</v>
      </c>
      <c r="AI29" s="5">
        <v>20000600000000</v>
      </c>
      <c r="AJ29" s="5">
        <v>12430000000000</v>
      </c>
      <c r="AK29" s="5">
        <v>14245300000000</v>
      </c>
      <c r="AL29" s="5">
        <v>3258330000000</v>
      </c>
      <c r="AN29" s="5">
        <f t="shared" si="0"/>
        <v>0.0279857</v>
      </c>
      <c r="AO29" s="5">
        <f t="shared" si="1"/>
        <v>63917866666666.7</v>
      </c>
      <c r="AP29" s="5">
        <f t="shared" si="2"/>
        <v>61579900000000</v>
      </c>
      <c r="AQ29" s="5">
        <f t="shared" si="3"/>
        <v>68511100000000</v>
      </c>
      <c r="AR29" s="5">
        <f t="shared" si="4"/>
        <v>3879113333333.33</v>
      </c>
      <c r="AS29" s="5">
        <f t="shared" si="5"/>
        <v>3258330000000</v>
      </c>
      <c r="AT29" s="5">
        <f t="shared" si="6"/>
        <v>4327950000000</v>
      </c>
    </row>
    <row r="30" customHeight="1" spans="1:46">
      <c r="A30" s="5">
        <v>0.0290064</v>
      </c>
      <c r="B30" s="5">
        <v>0.0301283</v>
      </c>
      <c r="C30" s="5">
        <v>77323600000000</v>
      </c>
      <c r="D30" s="5">
        <v>53552800000</v>
      </c>
      <c r="E30" s="5">
        <v>0</v>
      </c>
      <c r="F30" s="5">
        <v>0</v>
      </c>
      <c r="G30" s="5">
        <v>2</v>
      </c>
      <c r="H30" s="5">
        <v>13110400000000</v>
      </c>
      <c r="I30" s="5">
        <v>21832400000000</v>
      </c>
      <c r="J30" s="5">
        <v>19740300000000</v>
      </c>
      <c r="K30" s="5">
        <v>18073500000000</v>
      </c>
      <c r="L30" s="5">
        <v>4566950000000</v>
      </c>
      <c r="N30" s="5">
        <v>0.0290274</v>
      </c>
      <c r="O30" s="5">
        <v>0.0301278</v>
      </c>
      <c r="P30" s="5">
        <v>63381000000000</v>
      </c>
      <c r="Q30" s="5">
        <v>46770300000</v>
      </c>
      <c r="R30" s="5">
        <v>0</v>
      </c>
      <c r="S30" s="5">
        <v>0</v>
      </c>
      <c r="T30" s="5">
        <v>2</v>
      </c>
      <c r="U30" s="5">
        <v>15082000000000</v>
      </c>
      <c r="V30" s="5">
        <v>17681400000000</v>
      </c>
      <c r="W30" s="5">
        <v>13013700000000</v>
      </c>
      <c r="X30" s="5">
        <v>13944100000000</v>
      </c>
      <c r="Y30" s="5">
        <v>3659810000000</v>
      </c>
      <c r="AA30" s="5">
        <v>0.0289839</v>
      </c>
      <c r="AB30" s="5">
        <v>0.0300721</v>
      </c>
      <c r="AC30" s="5">
        <v>58409300000000</v>
      </c>
      <c r="AD30" s="5">
        <v>45023500000</v>
      </c>
      <c r="AE30" s="5">
        <v>0</v>
      </c>
      <c r="AF30" s="5">
        <v>0</v>
      </c>
      <c r="AG30" s="5">
        <v>2</v>
      </c>
      <c r="AH30" s="5">
        <v>11287900000000</v>
      </c>
      <c r="AI30" s="5">
        <v>19161200000000</v>
      </c>
      <c r="AJ30" s="5">
        <v>11786700000000</v>
      </c>
      <c r="AK30" s="5">
        <v>13241400000000</v>
      </c>
      <c r="AL30" s="5">
        <v>2932160000000</v>
      </c>
      <c r="AN30" s="5">
        <f t="shared" si="0"/>
        <v>0.0290064</v>
      </c>
      <c r="AO30" s="5">
        <f t="shared" si="1"/>
        <v>66371300000000</v>
      </c>
      <c r="AP30" s="5">
        <f t="shared" si="2"/>
        <v>58409300000000</v>
      </c>
      <c r="AQ30" s="5">
        <f t="shared" si="3"/>
        <v>77323600000000</v>
      </c>
      <c r="AR30" s="5">
        <f t="shared" si="4"/>
        <v>3719640000000</v>
      </c>
      <c r="AS30" s="5">
        <f t="shared" si="5"/>
        <v>2932160000000</v>
      </c>
      <c r="AT30" s="5">
        <f t="shared" si="6"/>
        <v>4566950000000</v>
      </c>
    </row>
    <row r="31" customHeight="1" spans="1:46">
      <c r="A31" s="5">
        <v>0.0300362</v>
      </c>
      <c r="B31" s="5">
        <v>0.0311082</v>
      </c>
      <c r="C31" s="5">
        <v>72103700000000</v>
      </c>
      <c r="D31" s="5">
        <v>56036700000</v>
      </c>
      <c r="E31" s="5">
        <v>0</v>
      </c>
      <c r="F31" s="5">
        <v>0</v>
      </c>
      <c r="G31" s="5">
        <v>2</v>
      </c>
      <c r="H31" s="5">
        <v>13304900000000</v>
      </c>
      <c r="I31" s="5">
        <v>20140400000000</v>
      </c>
      <c r="J31" s="5">
        <v>17062800000000</v>
      </c>
      <c r="K31" s="5">
        <v>16641900000000</v>
      </c>
      <c r="L31" s="5">
        <v>4953630000000</v>
      </c>
      <c r="N31" s="5">
        <v>0.0300245</v>
      </c>
      <c r="O31" s="5">
        <v>0.0311238</v>
      </c>
      <c r="P31" s="5">
        <v>64544500000000</v>
      </c>
      <c r="Q31" s="5">
        <v>47119000000</v>
      </c>
      <c r="R31" s="5">
        <v>0</v>
      </c>
      <c r="S31" s="5">
        <v>0</v>
      </c>
      <c r="T31" s="5">
        <v>2</v>
      </c>
      <c r="U31" s="5">
        <v>15303500000000</v>
      </c>
      <c r="V31" s="5">
        <v>17232500000000</v>
      </c>
      <c r="W31" s="5">
        <v>13838400000000</v>
      </c>
      <c r="X31" s="5">
        <v>14497100000000</v>
      </c>
      <c r="Y31" s="5">
        <v>3672990000000</v>
      </c>
      <c r="AA31" s="5">
        <v>0.0300379</v>
      </c>
      <c r="AB31" s="5">
        <v>0.0311958</v>
      </c>
      <c r="AC31" s="5">
        <v>58214000000000</v>
      </c>
      <c r="AD31" s="5">
        <v>36379500000</v>
      </c>
      <c r="AE31" s="5">
        <v>0</v>
      </c>
      <c r="AF31" s="5">
        <v>0</v>
      </c>
      <c r="AG31" s="5">
        <v>2</v>
      </c>
      <c r="AH31" s="5">
        <v>12270800000000</v>
      </c>
      <c r="AI31" s="5">
        <v>16738600000000</v>
      </c>
      <c r="AJ31" s="5">
        <v>12018800000000</v>
      </c>
      <c r="AK31" s="5">
        <v>14352400000000</v>
      </c>
      <c r="AL31" s="5">
        <v>2833280000000</v>
      </c>
      <c r="AN31" s="5">
        <f t="shared" si="0"/>
        <v>0.0300362</v>
      </c>
      <c r="AO31" s="5">
        <f t="shared" si="1"/>
        <v>64954066666666.7</v>
      </c>
      <c r="AP31" s="5">
        <f t="shared" si="2"/>
        <v>58214000000000</v>
      </c>
      <c r="AQ31" s="5">
        <f t="shared" si="3"/>
        <v>72103700000000</v>
      </c>
      <c r="AR31" s="5">
        <f t="shared" si="4"/>
        <v>3819966666666.67</v>
      </c>
      <c r="AS31" s="5">
        <f t="shared" si="5"/>
        <v>2833280000000</v>
      </c>
      <c r="AT31" s="5">
        <f t="shared" si="6"/>
        <v>4953630000000</v>
      </c>
    </row>
    <row r="32" customHeight="1" spans="1:4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N32" s="5"/>
      <c r="AO32" s="5"/>
      <c r="AP32" s="5"/>
      <c r="AQ32" s="5"/>
      <c r="AR32" s="5"/>
      <c r="AS32" s="5"/>
      <c r="AT32" s="5"/>
    </row>
    <row r="33" customHeight="1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N33" s="5"/>
      <c r="AO33" s="5"/>
      <c r="AP33" s="5"/>
      <c r="AQ33" s="5"/>
      <c r="AR33" s="5"/>
      <c r="AS33" s="5"/>
      <c r="AT33" s="5"/>
    </row>
    <row r="34" customHeight="1" spans="1:4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N34" s="5"/>
      <c r="AO34" s="5"/>
      <c r="AP34" s="5"/>
      <c r="AQ34" s="5"/>
      <c r="AR34" s="5"/>
      <c r="AS34" s="5"/>
      <c r="AT34" s="5"/>
    </row>
    <row r="35" customHeight="1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N35" s="5"/>
      <c r="AO35" s="5"/>
      <c r="AP35" s="5"/>
      <c r="AQ35" s="5"/>
      <c r="AR35" s="5"/>
      <c r="AS35" s="5"/>
      <c r="AT35" s="5"/>
    </row>
    <row r="36" customHeight="1" spans="1:4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N36" s="5"/>
      <c r="AO36" s="5"/>
      <c r="AP36" s="5"/>
      <c r="AQ36" s="5"/>
      <c r="AR36" s="5"/>
      <c r="AS36" s="5"/>
      <c r="AT36" s="5"/>
    </row>
    <row r="37" customHeight="1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N37" s="5"/>
      <c r="AO37" s="5"/>
      <c r="AP37" s="5"/>
      <c r="AQ37" s="5"/>
      <c r="AR37" s="5"/>
      <c r="AS37" s="5"/>
      <c r="AT37" s="5"/>
    </row>
    <row r="38" customHeight="1" spans="1:4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N38" s="5"/>
      <c r="AO38" s="5"/>
      <c r="AP38" s="5"/>
      <c r="AQ38" s="5"/>
      <c r="AR38" s="5"/>
      <c r="AS38" s="5"/>
      <c r="AT38" s="5"/>
    </row>
    <row r="39" customHeight="1" spans="1:4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N39" s="5"/>
      <c r="AO39" s="5"/>
      <c r="AP39" s="5"/>
      <c r="AQ39" s="5"/>
      <c r="AR39" s="5"/>
      <c r="AS39" s="5"/>
      <c r="AT39" s="5"/>
    </row>
    <row r="40" customHeight="1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N40" s="5"/>
      <c r="AO40" s="5"/>
      <c r="AP40" s="5"/>
      <c r="AQ40" s="5"/>
      <c r="AR40" s="5"/>
      <c r="AS40" s="5"/>
      <c r="AT40" s="5"/>
    </row>
    <row r="41" customHeight="1" spans="1:4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N41" s="5"/>
      <c r="AO41" s="5"/>
      <c r="AP41" s="5"/>
      <c r="AQ41" s="5"/>
      <c r="AR41" s="5"/>
      <c r="AS41" s="5"/>
      <c r="AT41" s="5"/>
    </row>
    <row r="42" customHeight="1" spans="1:4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N42" s="5"/>
      <c r="AO42" s="5"/>
      <c r="AP42" s="5"/>
      <c r="AQ42" s="5"/>
      <c r="AR42" s="5"/>
      <c r="AS42" s="5"/>
      <c r="AT42" s="5"/>
    </row>
    <row r="43" customHeight="1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N43" s="5"/>
      <c r="AO43" s="5"/>
      <c r="AP43" s="5"/>
      <c r="AQ43" s="5"/>
      <c r="AR43" s="5"/>
      <c r="AS43" s="5"/>
      <c r="AT43" s="5"/>
    </row>
    <row r="44" customHeight="1" spans="1:4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N44" s="5"/>
      <c r="AO44" s="5"/>
      <c r="AP44" s="5"/>
      <c r="AQ44" s="5"/>
      <c r="AR44" s="5"/>
      <c r="AS44" s="5"/>
      <c r="AT44" s="5"/>
    </row>
    <row r="45" customHeight="1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N45" s="5"/>
      <c r="AO45" s="5"/>
      <c r="AP45" s="5"/>
      <c r="AQ45" s="5"/>
      <c r="AR45" s="5"/>
      <c r="AS45" s="5"/>
      <c r="AT45" s="5"/>
    </row>
    <row r="46" customHeight="1" spans="1: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N46" s="5"/>
      <c r="AO46" s="5"/>
      <c r="AP46" s="5"/>
      <c r="AQ46" s="5"/>
      <c r="AR46" s="5"/>
      <c r="AS46" s="5"/>
      <c r="AT46" s="5"/>
    </row>
    <row r="47" customHeight="1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N47" s="5"/>
      <c r="AO47" s="5"/>
      <c r="AP47" s="5"/>
      <c r="AQ47" s="5"/>
      <c r="AR47" s="5"/>
      <c r="AS47" s="5"/>
      <c r="AT47" s="5"/>
    </row>
    <row r="48" customHeight="1" spans="1:4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N48" s="5"/>
      <c r="AO48" s="5"/>
      <c r="AP48" s="5"/>
      <c r="AQ48" s="5"/>
      <c r="AR48" s="5"/>
      <c r="AS48" s="5"/>
      <c r="AT48" s="5"/>
    </row>
    <row r="49" customHeight="1" spans="1:4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N49" s="5"/>
      <c r="AO49" s="5"/>
      <c r="AP49" s="5"/>
      <c r="AQ49" s="5"/>
      <c r="AR49" s="5"/>
      <c r="AS49" s="5"/>
      <c r="AT49" s="5"/>
    </row>
    <row r="50" customHeight="1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N50" s="5"/>
      <c r="AO50" s="5"/>
      <c r="AP50" s="5"/>
      <c r="AQ50" s="5"/>
      <c r="AR50" s="5"/>
      <c r="AS50" s="5"/>
      <c r="AT50" s="5"/>
    </row>
    <row r="51" customHeight="1" spans="1:4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N51" s="5"/>
      <c r="AO51" s="5"/>
      <c r="AP51" s="5"/>
      <c r="AQ51" s="5"/>
      <c r="AR51" s="5"/>
      <c r="AS51" s="5"/>
      <c r="AT51" s="5"/>
    </row>
    <row r="52" customHeight="1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N52" s="5"/>
      <c r="AO52" s="5"/>
      <c r="AP52" s="5"/>
      <c r="AQ52" s="5"/>
      <c r="AR52" s="5"/>
      <c r="AS52" s="5"/>
      <c r="AT52" s="5"/>
    </row>
    <row r="53" customHeight="1" spans="1:3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customHeight="1" spans="1:3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customHeight="1" spans="14:38"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customHeight="1" spans="14:38"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customHeight="1" spans="14:38"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customHeight="1" spans="14:38"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customHeight="1" spans="14:38"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customHeight="1" spans="14:38"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customHeight="1" spans="14:38"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customHeight="1" spans="14:38"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customHeight="1" spans="14:38"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customHeight="1" spans="14:38"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customHeight="1" spans="14:38"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customHeight="1" spans="14:38"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customHeight="1" spans="14:38"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0"/>
  <sheetViews>
    <sheetView zoomScale="160" zoomScaleNormal="160" workbookViewId="0">
      <selection activeCell="I28" sqref="I28"/>
    </sheetView>
  </sheetViews>
  <sheetFormatPr defaultColWidth="9.01481481481481" defaultRowHeight="15" customHeight="1"/>
  <cols>
    <col min="1" max="1" width="12.5703703703704" style="2" customWidth="1"/>
    <col min="2" max="2" width="10.2518518518519" style="2" customWidth="1"/>
    <col min="3" max="3" width="11.7111111111111" style="5" customWidth="1"/>
    <col min="4" max="4" width="12.437037037037" style="5" customWidth="1"/>
    <col min="5" max="8" width="20.8518518518519" style="1" customWidth="1"/>
    <col min="9" max="9" width="12.437037037037" style="1" customWidth="1"/>
    <col min="10" max="10" width="13.1481481481481" style="1" customWidth="1"/>
    <col min="11" max="11" width="10.4222222222222" style="2" customWidth="1"/>
    <col min="12" max="12" width="12.3407407407407" style="7" customWidth="1"/>
    <col min="13" max="13" width="12.437037037037" customWidth="1"/>
    <col min="17" max="17" width="15.8518518518519" style="7" customWidth="1"/>
    <col min="28" max="28" width="16.837037037037" style="2" customWidth="1"/>
    <col min="30" max="31" width="8.71111111111111" style="10" customWidth="1"/>
  </cols>
  <sheetData>
    <row r="1" customHeight="1" spans="1:28">
      <c r="A1" s="3" t="s">
        <v>27</v>
      </c>
      <c r="B1" s="3" t="s">
        <v>16</v>
      </c>
      <c r="C1" s="4" t="s">
        <v>17</v>
      </c>
      <c r="D1" s="4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3" t="s">
        <v>28</v>
      </c>
      <c r="L1" s="8" t="s">
        <v>29</v>
      </c>
      <c r="M1" t="s">
        <v>30</v>
      </c>
      <c r="V1" s="16"/>
      <c r="W1" s="16"/>
      <c r="X1" s="16"/>
      <c r="Y1" s="16"/>
      <c r="Z1" s="16"/>
      <c r="AA1" s="16"/>
      <c r="AB1" s="17"/>
    </row>
    <row r="2" customHeight="1" spans="1:28">
      <c r="A2" s="3" t="s">
        <v>31</v>
      </c>
      <c r="B2" s="3">
        <f>'400K_SR10_Stress'!K3</f>
        <v>89.29032</v>
      </c>
      <c r="C2" s="4">
        <f>'400K_SR10_Stress'!L3</f>
        <v>5880148000000</v>
      </c>
      <c r="D2" s="4">
        <f>'400K_SR10_Stress'!M3</f>
        <v>20251720000000</v>
      </c>
      <c r="E2" s="6">
        <f>'400K_SR10_Stress'!N3</f>
        <v>24.3256433669613</v>
      </c>
      <c r="F2" s="6">
        <f>'400K_SR10_Stress'!O3</f>
        <v>4.51441171095141</v>
      </c>
      <c r="G2" s="6">
        <f>'400K_SR10_Stress'!P3</f>
        <v>24.7409950954395</v>
      </c>
      <c r="H2" s="6">
        <f>'400K_SR10_Stress'!Q3</f>
        <v>42.028953624</v>
      </c>
      <c r="I2" s="6">
        <f>'400K_SR10_Stress'!R3</f>
        <v>1.69875760703526</v>
      </c>
      <c r="J2" s="6">
        <f>'400K_SR10_Stress'!S3</f>
        <v>0.290353016928932</v>
      </c>
      <c r="K2" s="3">
        <v>10</v>
      </c>
      <c r="L2" s="8">
        <f t="shared" ref="L2:L19" si="0">H2-G2</f>
        <v>17.2879585285605</v>
      </c>
      <c r="M2">
        <f t="shared" ref="M2:M19" si="1">L2*1000000/SQRT(D2)</f>
        <v>3.8416054157045</v>
      </c>
      <c r="V2" s="17"/>
      <c r="W2" s="17"/>
      <c r="X2" s="17"/>
      <c r="Y2" s="17"/>
      <c r="Z2" s="17"/>
      <c r="AA2" s="17"/>
      <c r="AB2" s="17"/>
    </row>
    <row r="3" customHeight="1" spans="1:28">
      <c r="A3" s="3" t="s">
        <v>32</v>
      </c>
      <c r="B3" s="3">
        <f>'400K_SR10_Stress'!K4</f>
        <v>86.35624</v>
      </c>
      <c r="C3" s="4">
        <f>'400K_SR10_Stress'!L4</f>
        <v>6780100000000</v>
      </c>
      <c r="D3" s="4">
        <f>'400K_SR10_Stress'!M4</f>
        <v>19622720000000</v>
      </c>
      <c r="E3" s="6">
        <f>'400K_SR10_Stress'!N4</f>
        <v>26.1209072112103</v>
      </c>
      <c r="F3" s="6">
        <f>'400K_SR10_Stress'!O4</f>
        <v>4.44375196596669</v>
      </c>
      <c r="G3" s="6">
        <f>'400K_SR10_Stress'!P4</f>
        <v>26.4962020876896</v>
      </c>
      <c r="H3" s="6">
        <f>'400K_SR10_Stress'!Q4</f>
        <v>40.647882168</v>
      </c>
      <c r="I3" s="6">
        <f>'400K_SR10_Stress'!R4</f>
        <v>1.53410220957234</v>
      </c>
      <c r="J3" s="6">
        <f>'400K_SR10_Stress'!S4</f>
        <v>0.345522944831298</v>
      </c>
      <c r="K3" s="3">
        <v>10</v>
      </c>
      <c r="L3" s="8">
        <f t="shared" si="0"/>
        <v>14.1516800803104</v>
      </c>
      <c r="M3">
        <f t="shared" si="1"/>
        <v>3.19468761940134</v>
      </c>
      <c r="V3" s="17"/>
      <c r="W3" s="17"/>
      <c r="X3" s="17"/>
      <c r="Y3" s="17"/>
      <c r="Z3" s="17"/>
      <c r="AA3" s="17"/>
      <c r="AB3" s="17"/>
    </row>
    <row r="4" customHeight="1" spans="1:28">
      <c r="A4" s="3" t="s">
        <v>33</v>
      </c>
      <c r="B4" s="3">
        <f>'400K_SR10_Stress'!K5</f>
        <v>92.06938</v>
      </c>
      <c r="C4" s="4">
        <f>'400K_SR10_Stress'!L5</f>
        <v>4760780000000</v>
      </c>
      <c r="D4" s="4">
        <f>'400K_SR10_Stress'!M5</f>
        <v>21211240000000</v>
      </c>
      <c r="E4" s="6">
        <f>'400K_SR10_Stress'!N5</f>
        <v>21.8881604271459</v>
      </c>
      <c r="F4" s="6">
        <f>'400K_SR10_Stress'!O5</f>
        <v>4.62011978673261</v>
      </c>
      <c r="G4" s="6">
        <f>'400K_SR10_Stress'!P5</f>
        <v>22.3704509057872</v>
      </c>
      <c r="H4" s="6">
        <f>'400K_SR10_Stress'!Q5</f>
        <v>43.337057166</v>
      </c>
      <c r="I4" s="6">
        <f>'400K_SR10_Stress'!R5</f>
        <v>1.93724558116926</v>
      </c>
      <c r="J4" s="6">
        <f>'400K_SR10_Stress'!S5</f>
        <v>0.224446095560656</v>
      </c>
      <c r="K4" s="3">
        <v>10</v>
      </c>
      <c r="L4" s="8">
        <f t="shared" si="0"/>
        <v>20.9666062602128</v>
      </c>
      <c r="M4">
        <f t="shared" si="1"/>
        <v>4.55244922358815</v>
      </c>
      <c r="V4" s="17"/>
      <c r="W4" s="17"/>
      <c r="X4" s="17"/>
      <c r="Y4" s="17"/>
      <c r="Z4" s="17"/>
      <c r="AA4" s="17"/>
      <c r="AB4" s="17"/>
    </row>
    <row r="5" customHeight="1" spans="1:15">
      <c r="A5" s="3" t="s">
        <v>34</v>
      </c>
      <c r="B5" s="3">
        <f>'400K_SR20_Stress'!K3</f>
        <v>106.2344</v>
      </c>
      <c r="C5" s="4">
        <f>'400K_SR20_Stress'!L3</f>
        <v>4341056000000</v>
      </c>
      <c r="D5" s="4">
        <f>'400K_SR20_Stress'!M3</f>
        <v>21060120000000</v>
      </c>
      <c r="E5" s="6">
        <f>'400K_SR20_Stress'!N3</f>
        <v>20.901040218058</v>
      </c>
      <c r="F5" s="6">
        <f>'400K_SR20_Stress'!O3</f>
        <v>4.60363228943562</v>
      </c>
      <c r="G5" s="6">
        <f>'400K_SR20_Stress'!P3</f>
        <v>21.4020305684581</v>
      </c>
      <c r="H5" s="6">
        <f>'400K_SR20_Stress'!Q3</f>
        <v>50.00453208</v>
      </c>
      <c r="I5" s="6">
        <f>'400K_SR20_Stress'!R3</f>
        <v>2.3364386813696</v>
      </c>
      <c r="J5" s="6">
        <f>'400K_SR20_Stress'!S3</f>
        <v>0.206126840682769</v>
      </c>
      <c r="K5" s="3">
        <v>20</v>
      </c>
      <c r="L5" s="8">
        <f t="shared" si="0"/>
        <v>28.6025015115419</v>
      </c>
      <c r="M5">
        <f t="shared" si="1"/>
        <v>6.23266230062783</v>
      </c>
      <c r="N5" s="8"/>
      <c r="O5" s="8"/>
    </row>
    <row r="6" customHeight="1" spans="1:36">
      <c r="A6" s="3" t="s">
        <v>35</v>
      </c>
      <c r="B6" s="3">
        <f>'400K_SR20_Stress'!K4</f>
        <v>100.18022</v>
      </c>
      <c r="C6" s="4">
        <f>'400K_SR20_Stress'!L4</f>
        <v>5103916000000</v>
      </c>
      <c r="D6" s="4">
        <f>'400K_SR20_Stress'!M4</f>
        <v>21109080000000</v>
      </c>
      <c r="E6" s="6">
        <f>'400K_SR20_Stress'!N4</f>
        <v>22.6632383272638</v>
      </c>
      <c r="F6" s="6">
        <f>'400K_SR20_Stress'!O4</f>
        <v>4.6089803831682</v>
      </c>
      <c r="G6" s="6">
        <f>'400K_SR20_Stress'!P4</f>
        <v>23.1271500978999</v>
      </c>
      <c r="H6" s="6">
        <f>'400K_SR20_Stress'!Q4</f>
        <v>47.154829554</v>
      </c>
      <c r="I6" s="6">
        <f>'400K_SR20_Stress'!R4</f>
        <v>2.03893818972023</v>
      </c>
      <c r="J6" s="6">
        <f>'400K_SR20_Stress'!S4</f>
        <v>0.241787704627582</v>
      </c>
      <c r="K6" s="3">
        <v>20</v>
      </c>
      <c r="L6" s="8">
        <f t="shared" si="0"/>
        <v>24.0276794561001</v>
      </c>
      <c r="M6">
        <f t="shared" si="1"/>
        <v>5.22970481957501</v>
      </c>
      <c r="N6" s="8"/>
      <c r="O6" s="8"/>
      <c r="V6" s="4"/>
      <c r="W6" s="4"/>
      <c r="X6" s="4"/>
      <c r="Y6" s="4"/>
      <c r="Z6" s="4"/>
      <c r="AA6" s="4"/>
      <c r="AB6" s="8"/>
      <c r="AD6" s="18"/>
      <c r="AE6" s="4"/>
      <c r="AF6" s="4"/>
      <c r="AG6" s="4"/>
      <c r="AH6" s="4"/>
      <c r="AI6" s="4"/>
      <c r="AJ6" s="8"/>
    </row>
    <row r="7" customHeight="1" spans="1:36">
      <c r="A7" s="3" t="s">
        <v>36</v>
      </c>
      <c r="B7" s="3">
        <f>'400K_SR20_Stress'!K5</f>
        <v>104.2784</v>
      </c>
      <c r="C7" s="4">
        <f>'400K_SR20_Stress'!L5</f>
        <v>4007330000000</v>
      </c>
      <c r="D7" s="4">
        <f>'400K_SR20_Stress'!M5</f>
        <v>21192760000000</v>
      </c>
      <c r="E7" s="6">
        <f>'400K_SR20_Stress'!N5</f>
        <v>20.0815744930383</v>
      </c>
      <c r="F7" s="6">
        <f>'400K_SR20_Stress'!O5</f>
        <v>4.61810674038878</v>
      </c>
      <c r="G7" s="6">
        <f>'400K_SR20_Stress'!P5</f>
        <v>20.6057405590061</v>
      </c>
      <c r="H7" s="6">
        <f>'400K_SR20_Stress'!Q5</f>
        <v>49.08384288</v>
      </c>
      <c r="I7" s="6">
        <f>'400K_SR20_Stress'!R5</f>
        <v>2.38204701934612</v>
      </c>
      <c r="J7" s="6">
        <f>'400K_SR20_Stress'!S5</f>
        <v>0.189089575874025</v>
      </c>
      <c r="K7" s="3">
        <v>20</v>
      </c>
      <c r="L7" s="8">
        <f t="shared" si="0"/>
        <v>28.4781023209939</v>
      </c>
      <c r="M7">
        <f t="shared" si="1"/>
        <v>6.18610498420901</v>
      </c>
      <c r="N7" s="8"/>
      <c r="O7" s="8"/>
      <c r="V7" s="4"/>
      <c r="W7" s="4"/>
      <c r="X7" s="4"/>
      <c r="Y7" s="4"/>
      <c r="Z7" s="4"/>
      <c r="AA7" s="4"/>
      <c r="AB7" s="8"/>
      <c r="AD7" s="18"/>
      <c r="AE7" s="4"/>
      <c r="AF7" s="4"/>
      <c r="AG7" s="4"/>
      <c r="AH7" s="4"/>
      <c r="AI7" s="4"/>
      <c r="AJ7" s="8"/>
    </row>
    <row r="8" customHeight="1" spans="1:36">
      <c r="A8" s="3" t="s">
        <v>37</v>
      </c>
      <c r="B8" s="3">
        <f>'400K_SR40_Stress'!K3</f>
        <v>109.8856</v>
      </c>
      <c r="C8" s="4">
        <f>'400K_SR40_Stress'!L3</f>
        <v>3536872000000</v>
      </c>
      <c r="D8" s="4">
        <f>'400K_SR40_Stress'!M3</f>
        <v>21882200000000</v>
      </c>
      <c r="E8" s="6">
        <f>'400K_SR40_Stress'!N3</f>
        <v>18.8660020906101</v>
      </c>
      <c r="F8" s="6">
        <f>'400K_SR40_Stress'!O3</f>
        <v>4.69262336128698</v>
      </c>
      <c r="G8" s="6">
        <f>'400K_SR40_Stress'!P3</f>
        <v>19.4408525763095</v>
      </c>
      <c r="H8" s="6">
        <f>'400K_SR40_Stress'!Q3</f>
        <v>51.72315192</v>
      </c>
      <c r="I8" s="6">
        <f>'400K_SR40_Stress'!R3</f>
        <v>2.66053928020777</v>
      </c>
      <c r="J8" s="6">
        <f>'400K_SR40_Stress'!S3</f>
        <v>0.161632377000484</v>
      </c>
      <c r="K8" s="3">
        <v>40</v>
      </c>
      <c r="L8" s="8">
        <f t="shared" si="0"/>
        <v>32.2822993436905</v>
      </c>
      <c r="M8">
        <f t="shared" si="1"/>
        <v>6.90111029936461</v>
      </c>
      <c r="N8" s="8"/>
      <c r="O8" s="8"/>
      <c r="V8" s="4"/>
      <c r="W8" s="4"/>
      <c r="X8" s="4"/>
      <c r="Y8" s="4"/>
      <c r="Z8" s="4"/>
      <c r="AA8" s="4"/>
      <c r="AB8" s="8"/>
      <c r="AD8" s="18"/>
      <c r="AE8" s="4"/>
      <c r="AF8" s="4"/>
      <c r="AG8" s="4"/>
      <c r="AH8" s="4"/>
      <c r="AI8" s="4"/>
      <c r="AJ8" s="8"/>
    </row>
    <row r="9" customHeight="1" spans="1:36">
      <c r="A9" s="3" t="s">
        <v>38</v>
      </c>
      <c r="B9" s="3">
        <f>'400K_SR40_Stress'!K4</f>
        <v>111.0328</v>
      </c>
      <c r="C9" s="4">
        <f>'400K_SR40_Stress'!L4</f>
        <v>3978228000000</v>
      </c>
      <c r="D9" s="4">
        <f>'400K_SR40_Stress'!M4</f>
        <v>21689660000000</v>
      </c>
      <c r="E9" s="6">
        <f>'400K_SR40_Stress'!N4</f>
        <v>20.0085234986331</v>
      </c>
      <c r="F9" s="6">
        <f>'400K_SR40_Stress'!O4</f>
        <v>4.67193270879075</v>
      </c>
      <c r="G9" s="6">
        <f>'400K_SR40_Stress'!P4</f>
        <v>20.5467264504792</v>
      </c>
      <c r="H9" s="6">
        <f>'400K_SR40_Stress'!Q4</f>
        <v>52.26313896</v>
      </c>
      <c r="I9" s="6">
        <f>'400K_SR40_Stress'!R4</f>
        <v>2.54362363201566</v>
      </c>
      <c r="J9" s="6">
        <f>'400K_SR40_Stress'!S4</f>
        <v>0.18341587650521</v>
      </c>
      <c r="K9" s="3">
        <v>40</v>
      </c>
      <c r="L9" s="8">
        <f t="shared" si="0"/>
        <v>31.7164125095208</v>
      </c>
      <c r="M9">
        <f t="shared" si="1"/>
        <v>6.81016580422583</v>
      </c>
      <c r="N9" s="8"/>
      <c r="V9" s="4"/>
      <c r="W9" s="4"/>
      <c r="X9" s="4"/>
      <c r="Y9" s="4"/>
      <c r="Z9" s="4"/>
      <c r="AA9" s="4"/>
      <c r="AB9" s="8"/>
      <c r="AD9" s="18"/>
      <c r="AE9" s="4"/>
      <c r="AF9" s="4"/>
      <c r="AG9" s="4"/>
      <c r="AH9" s="4"/>
      <c r="AI9" s="4"/>
      <c r="AJ9" s="8"/>
    </row>
    <row r="10" customHeight="1" spans="1:36">
      <c r="A10" s="3" t="s">
        <v>39</v>
      </c>
      <c r="B10" s="3">
        <f>'400K_SR40_Stress'!K5</f>
        <v>110.4832</v>
      </c>
      <c r="C10" s="4">
        <f>'400K_SR40_Stress'!L5</f>
        <v>3661616000000</v>
      </c>
      <c r="D10" s="4">
        <f>'400K_SR40_Stress'!M5</f>
        <v>21628540000000</v>
      </c>
      <c r="E10" s="6">
        <f>'400K_SR40_Stress'!N5</f>
        <v>19.1958171916507</v>
      </c>
      <c r="F10" s="6">
        <f>'400K_SR40_Stress'!O5</f>
        <v>4.66534546917471</v>
      </c>
      <c r="G10" s="6">
        <f>'400K_SR40_Stress'!P5</f>
        <v>19.7546158150955</v>
      </c>
      <c r="H10" s="6">
        <f>'400K_SR40_Stress'!Q5</f>
        <v>52.00444224</v>
      </c>
      <c r="I10" s="6">
        <f>'400K_SR40_Stress'!R5</f>
        <v>2.6325210637739</v>
      </c>
      <c r="J10" s="6">
        <f>'400K_SR40_Stress'!S5</f>
        <v>0.169295569650101</v>
      </c>
      <c r="K10" s="3">
        <v>40</v>
      </c>
      <c r="L10" s="8">
        <f t="shared" si="0"/>
        <v>32.2498264249045</v>
      </c>
      <c r="M10">
        <f t="shared" si="1"/>
        <v>6.93447807673932</v>
      </c>
      <c r="N10" s="8"/>
      <c r="V10" s="4"/>
      <c r="W10" s="4"/>
      <c r="X10" s="4"/>
      <c r="Y10" s="4"/>
      <c r="Z10" s="4"/>
      <c r="AA10" s="4"/>
      <c r="AB10" s="8"/>
      <c r="AD10" s="18"/>
      <c r="AE10" s="4"/>
      <c r="AF10" s="4"/>
      <c r="AG10" s="4"/>
      <c r="AH10" s="4"/>
      <c r="AI10" s="4"/>
      <c r="AJ10" s="8"/>
    </row>
    <row r="11" customHeight="1" spans="1:36">
      <c r="A11" s="3" t="s">
        <v>40</v>
      </c>
      <c r="B11" s="3">
        <f>'400K_SR100_Stress'!K3</f>
        <v>123.277</v>
      </c>
      <c r="C11" s="4">
        <f>'400K_SR100_Stress'!L3</f>
        <v>3903980000000</v>
      </c>
      <c r="D11" s="4">
        <f>'400K_SR100_Stress'!M3</f>
        <v>23728400000000</v>
      </c>
      <c r="E11" s="6">
        <f>'400K_SR100_Stress'!N3</f>
        <v>19.8209286795112</v>
      </c>
      <c r="F11" s="6">
        <f>'400K_SR100_Stress'!O3</f>
        <v>4.88657348561454</v>
      </c>
      <c r="G11" s="6">
        <f>'400K_SR100_Stress'!P3</f>
        <v>20.4144021256705</v>
      </c>
      <c r="H11" s="6">
        <f>'400K_SR100_Stress'!Q3</f>
        <v>58.0264839</v>
      </c>
      <c r="I11" s="6">
        <f>'400K_SR100_Stress'!R3</f>
        <v>2.84242876880697</v>
      </c>
      <c r="J11" s="6">
        <f>'400K_SR100_Stress'!S3</f>
        <v>0.164527738912021</v>
      </c>
      <c r="K11" s="3">
        <v>100</v>
      </c>
      <c r="L11" s="8">
        <f t="shared" si="0"/>
        <v>37.6120817743295</v>
      </c>
      <c r="M11">
        <f t="shared" si="1"/>
        <v>7.72134831570865</v>
      </c>
      <c r="N11" s="8"/>
      <c r="V11" s="4"/>
      <c r="W11" s="4"/>
      <c r="X11" s="4"/>
      <c r="Y11" s="4"/>
      <c r="Z11" s="4"/>
      <c r="AA11" s="4"/>
      <c r="AB11" s="8"/>
      <c r="AD11" s="18"/>
      <c r="AE11" s="4"/>
      <c r="AF11" s="4"/>
      <c r="AG11" s="4"/>
      <c r="AH11" s="4"/>
      <c r="AI11" s="4"/>
      <c r="AJ11" s="8"/>
    </row>
    <row r="12" customHeight="1" spans="1:36">
      <c r="A12" s="3" t="s">
        <v>41</v>
      </c>
      <c r="B12" s="3">
        <f>'400K_SR100_Stress'!K4</f>
        <v>119.2764</v>
      </c>
      <c r="C12" s="4">
        <f>'400K_SR100_Stress'!L4</f>
        <v>4314250000000</v>
      </c>
      <c r="D12" s="4">
        <f>'400K_SR100_Stress'!M4</f>
        <v>23243440000000</v>
      </c>
      <c r="E12" s="6">
        <f>'400K_SR100_Stress'!N4</f>
        <v>20.8364083766248</v>
      </c>
      <c r="F12" s="6">
        <f>'400K_SR100_Stress'!O4</f>
        <v>4.83637991068676</v>
      </c>
      <c r="G12" s="6">
        <f>'400K_SR100_Stress'!P4</f>
        <v>21.3903362450891</v>
      </c>
      <c r="H12" s="6">
        <f>'400K_SR100_Stress'!Q4</f>
        <v>56.14340148</v>
      </c>
      <c r="I12" s="6">
        <f>'400K_SR100_Stress'!R4</f>
        <v>2.62470869259428</v>
      </c>
      <c r="J12" s="6">
        <f>'400K_SR100_Stress'!S4</f>
        <v>0.185611510172332</v>
      </c>
      <c r="K12" s="3">
        <v>100</v>
      </c>
      <c r="L12" s="8">
        <f t="shared" si="0"/>
        <v>34.7530652349108</v>
      </c>
      <c r="M12">
        <f t="shared" si="1"/>
        <v>7.20846698664388</v>
      </c>
      <c r="N12" s="8"/>
      <c r="V12" s="4"/>
      <c r="W12" s="4"/>
      <c r="X12" s="4"/>
      <c r="Y12" s="4"/>
      <c r="Z12" s="4"/>
      <c r="AA12" s="4"/>
      <c r="AB12" s="8"/>
      <c r="AD12" s="18"/>
      <c r="AE12" s="4"/>
      <c r="AF12" s="4"/>
      <c r="AG12" s="4"/>
      <c r="AH12" s="4"/>
      <c r="AI12" s="4"/>
      <c r="AJ12" s="8"/>
    </row>
    <row r="13" customHeight="1" spans="1:36">
      <c r="A13" s="3" t="s">
        <v>42</v>
      </c>
      <c r="B13" s="3">
        <f>'400K_SR100_Stress'!K5</f>
        <v>119.9114</v>
      </c>
      <c r="C13" s="4">
        <f>'400K_SR100_Stress'!L5</f>
        <v>3379700000000</v>
      </c>
      <c r="D13" s="4">
        <f>'400K_SR100_Stress'!M5</f>
        <v>23917760000000</v>
      </c>
      <c r="E13" s="6">
        <f>'400K_SR100_Stress'!N5</f>
        <v>18.4420537151704</v>
      </c>
      <c r="F13" s="6">
        <f>'400K_SR100_Stress'!O5</f>
        <v>4.90603292654913</v>
      </c>
      <c r="G13" s="6">
        <f>'400K_SR100_Stress'!P5</f>
        <v>19.0834615389771</v>
      </c>
      <c r="H13" s="6">
        <f>'400K_SR100_Stress'!Q5</f>
        <v>56.44229598</v>
      </c>
      <c r="I13" s="6">
        <f>'400K_SR100_Stress'!R5</f>
        <v>2.95765502839825</v>
      </c>
      <c r="J13" s="6">
        <f>'400K_SR100_Stress'!S5</f>
        <v>0.141305038598932</v>
      </c>
      <c r="K13" s="3">
        <v>100</v>
      </c>
      <c r="L13" s="8">
        <f t="shared" si="0"/>
        <v>37.3588344410229</v>
      </c>
      <c r="M13">
        <f t="shared" si="1"/>
        <v>7.6389394280355</v>
      </c>
      <c r="N13" s="8"/>
      <c r="V13" s="4"/>
      <c r="W13" s="4"/>
      <c r="X13" s="4"/>
      <c r="Y13" s="4"/>
      <c r="Z13" s="4"/>
      <c r="AA13" s="4"/>
      <c r="AB13" s="8"/>
      <c r="AD13" s="18"/>
      <c r="AE13" s="4"/>
      <c r="AF13" s="4"/>
      <c r="AG13" s="4"/>
      <c r="AH13" s="4"/>
      <c r="AI13" s="4"/>
      <c r="AJ13" s="8"/>
    </row>
    <row r="14" customHeight="1" spans="1:36">
      <c r="A14" s="3" t="s">
        <v>43</v>
      </c>
      <c r="B14" s="3">
        <f>'400K_SR1000_Stress'!K3</f>
        <v>149.0194</v>
      </c>
      <c r="C14" s="4">
        <f>'400K_SR1000_Stress'!L3</f>
        <v>2715832000000</v>
      </c>
      <c r="D14" s="4">
        <f>'400K_SR1000_Stress'!M3</f>
        <v>31860500000000</v>
      </c>
      <c r="E14" s="6">
        <f>'400K_SR1000_Stress'!N3</f>
        <v>16.5318576616544</v>
      </c>
      <c r="F14" s="6">
        <f>'400K_SR1000_Stress'!O3</f>
        <v>5.66234726118143</v>
      </c>
      <c r="G14" s="6">
        <f>'400K_SR1000_Stress'!P3</f>
        <v>17.4746815207434</v>
      </c>
      <c r="H14" s="6">
        <f>'400K_SR1000_Stress'!Q3</f>
        <v>70.14343158</v>
      </c>
      <c r="I14" s="6">
        <f>'400K_SR1000_Stress'!R3</f>
        <v>4.01400343100593</v>
      </c>
      <c r="J14" s="6">
        <f>'400K_SR1000_Stress'!S3</f>
        <v>0.0852413490058223</v>
      </c>
      <c r="K14" s="3">
        <v>1000</v>
      </c>
      <c r="L14" s="8">
        <f t="shared" si="0"/>
        <v>52.6687500592566</v>
      </c>
      <c r="M14">
        <f t="shared" si="1"/>
        <v>9.33096839038092</v>
      </c>
      <c r="N14" s="8"/>
      <c r="V14" s="4"/>
      <c r="W14" s="4"/>
      <c r="X14" s="4"/>
      <c r="Y14" s="4"/>
      <c r="Z14" s="4"/>
      <c r="AA14" s="4"/>
      <c r="AB14" s="8"/>
      <c r="AD14" s="18"/>
      <c r="AE14" s="4"/>
      <c r="AF14" s="4"/>
      <c r="AG14" s="4"/>
      <c r="AH14" s="4"/>
      <c r="AI14" s="4"/>
      <c r="AJ14" s="8"/>
    </row>
    <row r="15" customHeight="1" spans="1:36">
      <c r="A15" s="3" t="s">
        <v>44</v>
      </c>
      <c r="B15" s="3">
        <f>'400K_SR1000_Stress'!K4</f>
        <v>168.1902</v>
      </c>
      <c r="C15" s="4">
        <f>'400K_SR1000_Stress'!L4</f>
        <v>3441940000000</v>
      </c>
      <c r="D15" s="4">
        <f>'400K_SR1000_Stress'!M4</f>
        <v>36401260000000</v>
      </c>
      <c r="E15" s="6">
        <f>'400K_SR1000_Stress'!N4</f>
        <v>18.611091936359</v>
      </c>
      <c r="F15" s="6">
        <f>'400K_SR1000_Stress'!O4</f>
        <v>6.052411044503</v>
      </c>
      <c r="G15" s="6">
        <f>'400K_SR1000_Stress'!P4</f>
        <v>19.5704987804406</v>
      </c>
      <c r="H15" s="6">
        <f>'400K_SR1000_Stress'!Q4</f>
        <v>79.16712714</v>
      </c>
      <c r="I15" s="6">
        <f>'400K_SR1000_Stress'!R4</f>
        <v>4.04522787222583</v>
      </c>
      <c r="J15" s="6">
        <f>'400K_SR1000_Stress'!S4</f>
        <v>0.0945555181331635</v>
      </c>
      <c r="K15" s="3">
        <v>1000</v>
      </c>
      <c r="L15" s="8">
        <f t="shared" si="0"/>
        <v>59.5966283595594</v>
      </c>
      <c r="M15">
        <f t="shared" si="1"/>
        <v>9.87787400187803</v>
      </c>
      <c r="N15" s="8"/>
      <c r="V15" s="4"/>
      <c r="W15" s="4"/>
      <c r="X15" s="4"/>
      <c r="Y15" s="4"/>
      <c r="Z15" s="4"/>
      <c r="AA15" s="4"/>
      <c r="AB15" s="8"/>
      <c r="AD15" s="18"/>
      <c r="AE15" s="4"/>
      <c r="AF15" s="4"/>
      <c r="AG15" s="4"/>
      <c r="AH15" s="4"/>
      <c r="AI15" s="4"/>
      <c r="AJ15" s="8"/>
    </row>
    <row r="16" customHeight="1" spans="1:36">
      <c r="A16" s="3" t="s">
        <v>45</v>
      </c>
      <c r="B16" s="3">
        <f>'400K_SR1000_Stress'!K5</f>
        <v>153.9396</v>
      </c>
      <c r="C16" s="4">
        <f>'400K_SR1000_Stress'!L5</f>
        <v>3102704000000</v>
      </c>
      <c r="D16" s="4">
        <f>'400K_SR1000_Stress'!M5</f>
        <v>31598620000000</v>
      </c>
      <c r="E16" s="6">
        <f>'400K_SR1000_Stress'!N5</f>
        <v>17.6701558330453</v>
      </c>
      <c r="F16" s="6">
        <f>'400K_SR1000_Stress'!O5</f>
        <v>5.63902817953412</v>
      </c>
      <c r="G16" s="6">
        <f>'400K_SR1000_Stress'!P5</f>
        <v>18.548127829344</v>
      </c>
      <c r="H16" s="6">
        <f>'400K_SR1000_Stress'!Q5</f>
        <v>72.45936972</v>
      </c>
      <c r="I16" s="6">
        <f>'400K_SR1000_Stress'!R5</f>
        <v>3.90655975560864</v>
      </c>
      <c r="J16" s="6">
        <f>'400K_SR1000_Stress'!S5</f>
        <v>0.0981911235364076</v>
      </c>
      <c r="K16" s="3">
        <v>1000</v>
      </c>
      <c r="L16" s="8">
        <f t="shared" si="0"/>
        <v>53.911241890656</v>
      </c>
      <c r="M16">
        <f t="shared" si="1"/>
        <v>9.59058896199709</v>
      </c>
      <c r="N16" s="8"/>
      <c r="V16" s="4"/>
      <c r="W16" s="4"/>
      <c r="X16" s="4"/>
      <c r="Y16" s="4"/>
      <c r="Z16" s="4"/>
      <c r="AA16" s="4"/>
      <c r="AB16" s="8"/>
      <c r="AD16" s="18"/>
      <c r="AE16" s="4"/>
      <c r="AF16" s="4"/>
      <c r="AG16" s="4"/>
      <c r="AH16" s="4"/>
      <c r="AI16" s="4"/>
      <c r="AJ16" s="8"/>
    </row>
    <row r="17" customHeight="1" spans="1:36">
      <c r="A17" s="3" t="s">
        <v>46</v>
      </c>
      <c r="B17" s="3">
        <f>'400K_SR1e4_Stress'!K3</f>
        <v>234.5666</v>
      </c>
      <c r="C17" s="4">
        <f>'400K_SR1e4_Stress'!L3</f>
        <v>4558170000000</v>
      </c>
      <c r="D17" s="4">
        <f>'400K_SR1e4_Stress'!M3</f>
        <v>70666750000000</v>
      </c>
      <c r="E17" s="6">
        <f>'400K_SR1e4_Stress'!N3</f>
        <v>21.4173367869639</v>
      </c>
      <c r="F17" s="6">
        <f>'400K_SR1e4_Stress'!O3</f>
        <v>8.43291583676126</v>
      </c>
      <c r="G17" s="6">
        <f>'400K_SR1e4_Stress'!P3</f>
        <v>23.0177406483811</v>
      </c>
      <c r="H17" s="6">
        <f>'400K_SR1e4_Stress'!Q3</f>
        <v>110.41049862</v>
      </c>
      <c r="I17" s="6">
        <f>'400K_SR1e4_Stress'!R3</f>
        <v>4.79675656732042</v>
      </c>
      <c r="J17" s="6">
        <f>'400K_SR1e4_Stress'!S3</f>
        <v>0.0645023295963094</v>
      </c>
      <c r="K17" s="4">
        <v>10000</v>
      </c>
      <c r="L17" s="8">
        <f t="shared" si="0"/>
        <v>87.3927579716189</v>
      </c>
      <c r="M17">
        <f t="shared" si="1"/>
        <v>10.3960386637132</v>
      </c>
      <c r="V17" s="4"/>
      <c r="W17" s="4"/>
      <c r="X17" s="4"/>
      <c r="Y17" s="4"/>
      <c r="Z17" s="4"/>
      <c r="AA17" s="4"/>
      <c r="AB17" s="8"/>
      <c r="AD17" s="18"/>
      <c r="AE17" s="4"/>
      <c r="AF17" s="4"/>
      <c r="AG17" s="4"/>
      <c r="AH17" s="4"/>
      <c r="AI17" s="4"/>
      <c r="AJ17" s="8"/>
    </row>
    <row r="18" customHeight="1" spans="1:36">
      <c r="A18" s="3" t="s">
        <v>47</v>
      </c>
      <c r="B18" s="3">
        <f>'400K_SR1e4_Stress'!K4</f>
        <v>233.5924</v>
      </c>
      <c r="C18" s="4">
        <f>'400K_SR1e4_Stress'!L4</f>
        <v>3811575000000</v>
      </c>
      <c r="D18" s="4">
        <f>'400K_SR1e4_Stress'!M4</f>
        <v>63141175000000</v>
      </c>
      <c r="E18" s="6">
        <f>'400K_SR1e4_Stress'!N4</f>
        <v>19.5849488507459</v>
      </c>
      <c r="F18" s="6">
        <f>'400K_SR1e4_Stress'!O4</f>
        <v>7.97125195490126</v>
      </c>
      <c r="G18" s="6">
        <f>'400K_SR1e4_Stress'!P4</f>
        <v>21.1450012819779</v>
      </c>
      <c r="H18" s="6">
        <f>'400K_SR1e4_Stress'!Q4</f>
        <v>109.95194268</v>
      </c>
      <c r="I18" s="6">
        <f>'400K_SR1e4_Stress'!R4</f>
        <v>5.19990238892598</v>
      </c>
      <c r="J18" s="6">
        <f>'400K_SR1e4_Stress'!S4</f>
        <v>0.0603659181191988</v>
      </c>
      <c r="K18" s="4">
        <v>10000</v>
      </c>
      <c r="L18" s="8">
        <f t="shared" si="0"/>
        <v>88.806941398022</v>
      </c>
      <c r="M18">
        <f t="shared" si="1"/>
        <v>11.1761078230707</v>
      </c>
      <c r="V18" s="4"/>
      <c r="W18" s="4"/>
      <c r="X18" s="4"/>
      <c r="Y18" s="4"/>
      <c r="Z18" s="4"/>
      <c r="AA18" s="4"/>
      <c r="AB18" s="8"/>
      <c r="AD18" s="18"/>
      <c r="AE18" s="4"/>
      <c r="AF18" s="4"/>
      <c r="AG18" s="4"/>
      <c r="AH18" s="4"/>
      <c r="AI18" s="4"/>
      <c r="AJ18" s="8"/>
    </row>
    <row r="19" customHeight="1" spans="1:36">
      <c r="A19" s="3" t="s">
        <v>48</v>
      </c>
      <c r="B19" s="5">
        <f>'400K_SR1e4_Stress'!K5</f>
        <v>235.0988</v>
      </c>
      <c r="C19" s="4">
        <f>'400K_SR1e4_Stress'!L5</f>
        <v>3060894000000</v>
      </c>
      <c r="D19" s="4">
        <f>'400K_SR1e4_Stress'!M5</f>
        <v>60385350000000</v>
      </c>
      <c r="E19" s="6">
        <f>'400K_SR1e4_Stress'!N5</f>
        <v>17.5506963250554</v>
      </c>
      <c r="F19" s="6">
        <f>'400K_SR1e4_Stress'!O5</f>
        <v>7.79535684853176</v>
      </c>
      <c r="G19" s="6">
        <f>'400K_SR1e4_Stress'!P5</f>
        <v>19.2040237942537</v>
      </c>
      <c r="H19" s="6">
        <f>'400K_SR1e4_Stress'!Q5</f>
        <v>110.66100516</v>
      </c>
      <c r="I19" s="6">
        <f>'400K_SR1e4_Stress'!R5</f>
        <v>5.7623863803539</v>
      </c>
      <c r="J19" s="6">
        <f>'400K_SR1e4_Stress'!S5</f>
        <v>0.050689347664624</v>
      </c>
      <c r="K19" s="4">
        <v>10001</v>
      </c>
      <c r="L19" s="8">
        <f t="shared" si="0"/>
        <v>91.4569813657463</v>
      </c>
      <c r="M19">
        <f t="shared" si="1"/>
        <v>11.7693118108047</v>
      </c>
      <c r="V19" s="4"/>
      <c r="W19" s="4"/>
      <c r="X19" s="4"/>
      <c r="Y19" s="4"/>
      <c r="Z19" s="4"/>
      <c r="AA19" s="4"/>
      <c r="AB19" s="8"/>
      <c r="AD19" s="18"/>
      <c r="AE19" s="4"/>
      <c r="AF19" s="4"/>
      <c r="AG19" s="4"/>
      <c r="AH19" s="4"/>
      <c r="AI19" s="4"/>
      <c r="AJ19" s="8"/>
    </row>
    <row r="20" customHeight="1" spans="3:36">
      <c r="C20" s="4"/>
      <c r="D20" s="4"/>
      <c r="V20" s="4"/>
      <c r="W20" s="4"/>
      <c r="X20" s="4"/>
      <c r="Y20" s="4"/>
      <c r="Z20" s="4"/>
      <c r="AA20" s="4"/>
      <c r="AB20" s="8"/>
      <c r="AD20" s="18"/>
      <c r="AE20" s="4"/>
      <c r="AF20" s="4"/>
      <c r="AG20" s="4"/>
      <c r="AH20" s="4"/>
      <c r="AI20" s="4"/>
      <c r="AJ20" s="8"/>
    </row>
    <row r="21" customHeight="1" spans="2:36">
      <c r="B21" s="11"/>
      <c r="C21" s="12"/>
      <c r="D21" s="12"/>
      <c r="F21" s="13"/>
      <c r="G21" s="13"/>
      <c r="H21" s="13"/>
      <c r="I21" s="13"/>
      <c r="V21" s="4"/>
      <c r="W21" s="4"/>
      <c r="X21" s="4"/>
      <c r="Y21" s="4"/>
      <c r="Z21" s="4"/>
      <c r="AA21" s="4"/>
      <c r="AB21" s="8"/>
      <c r="AD21" s="18"/>
      <c r="AE21" s="4"/>
      <c r="AF21" s="4"/>
      <c r="AG21" s="4"/>
      <c r="AH21" s="4"/>
      <c r="AI21" s="4"/>
      <c r="AJ21" s="8"/>
    </row>
    <row r="22" customHeight="1" spans="22:36">
      <c r="V22" s="4"/>
      <c r="W22" s="4"/>
      <c r="X22" s="4"/>
      <c r="Y22" s="4"/>
      <c r="Z22" s="4"/>
      <c r="AA22" s="4"/>
      <c r="AB22" s="8"/>
      <c r="AD22" s="18"/>
      <c r="AE22" s="4"/>
      <c r="AF22" s="4"/>
      <c r="AG22" s="4"/>
      <c r="AH22" s="4"/>
      <c r="AI22" s="4"/>
      <c r="AJ22" s="8"/>
    </row>
    <row r="23" customHeight="1" spans="22:36">
      <c r="V23" s="4"/>
      <c r="W23" s="4"/>
      <c r="X23" s="4"/>
      <c r="Y23" s="4"/>
      <c r="Z23" s="4"/>
      <c r="AA23" s="4"/>
      <c r="AB23" s="8"/>
      <c r="AD23" s="18"/>
      <c r="AE23" s="4"/>
      <c r="AF23" s="4"/>
      <c r="AG23" s="4"/>
      <c r="AH23" s="4"/>
      <c r="AI23" s="4"/>
      <c r="AJ23" s="8"/>
    </row>
    <row r="24" customHeight="1" spans="22:36">
      <c r="V24" s="4"/>
      <c r="W24" s="4"/>
      <c r="X24" s="4"/>
      <c r="Y24" s="4"/>
      <c r="Z24" s="4"/>
      <c r="AA24" s="4"/>
      <c r="AB24" s="8"/>
      <c r="AD24" s="18"/>
      <c r="AE24" s="4"/>
      <c r="AF24" s="4"/>
      <c r="AG24" s="4"/>
      <c r="AH24" s="4"/>
      <c r="AI24" s="4"/>
      <c r="AJ24" s="8"/>
    </row>
    <row r="25" customHeight="1" spans="22:36">
      <c r="V25" s="4"/>
      <c r="W25" s="4"/>
      <c r="X25" s="4"/>
      <c r="Y25" s="4"/>
      <c r="Z25" s="4"/>
      <c r="AA25" s="4"/>
      <c r="AB25" s="8"/>
      <c r="AD25" s="18"/>
      <c r="AE25" s="4"/>
      <c r="AF25" s="4"/>
      <c r="AG25" s="4"/>
      <c r="AH25" s="4"/>
      <c r="AI25" s="4"/>
      <c r="AJ25" s="8"/>
    </row>
    <row r="26" customHeight="1" spans="22:36">
      <c r="V26" s="4"/>
      <c r="W26" s="4"/>
      <c r="X26" s="4"/>
      <c r="Y26" s="4"/>
      <c r="Z26" s="4"/>
      <c r="AA26" s="4"/>
      <c r="AB26" s="8"/>
      <c r="AD26" s="18"/>
      <c r="AE26" s="4"/>
      <c r="AF26" s="4"/>
      <c r="AG26" s="4"/>
      <c r="AH26" s="4"/>
      <c r="AI26" s="4"/>
      <c r="AJ26" s="8"/>
    </row>
    <row r="27" customHeight="1" spans="22:36">
      <c r="V27" s="4"/>
      <c r="W27" s="4"/>
      <c r="X27" s="4"/>
      <c r="Y27" s="4"/>
      <c r="Z27" s="4"/>
      <c r="AA27" s="4"/>
      <c r="AB27" s="8"/>
      <c r="AD27" s="18"/>
      <c r="AE27" s="4"/>
      <c r="AF27" s="4"/>
      <c r="AG27" s="4"/>
      <c r="AH27" s="4"/>
      <c r="AI27" s="4"/>
      <c r="AJ27" s="8"/>
    </row>
    <row r="28" customHeight="1" spans="9:36">
      <c r="I28" s="1">
        <v>4.02492235949962</v>
      </c>
      <c r="J28" s="1">
        <v>1000</v>
      </c>
      <c r="Q28" s="15"/>
      <c r="R28" s="4"/>
      <c r="V28" s="4"/>
      <c r="W28" s="4"/>
      <c r="X28" s="4"/>
      <c r="Y28" s="4"/>
      <c r="Z28" s="4"/>
      <c r="AA28" s="4"/>
      <c r="AB28" s="8"/>
      <c r="AD28" s="18"/>
      <c r="AE28" s="4"/>
      <c r="AF28" s="4"/>
      <c r="AG28" s="4"/>
      <c r="AH28" s="4"/>
      <c r="AI28" s="4"/>
      <c r="AJ28" s="8"/>
    </row>
    <row r="29" customHeight="1" spans="9:36">
      <c r="I29" s="1">
        <v>5.09823498869952</v>
      </c>
      <c r="J29" s="1">
        <v>1300</v>
      </c>
      <c r="Q29" s="15"/>
      <c r="R29" s="4"/>
      <c r="V29" s="4"/>
      <c r="W29" s="4"/>
      <c r="X29" s="4"/>
      <c r="Y29" s="4"/>
      <c r="Z29" s="4"/>
      <c r="AA29" s="4"/>
      <c r="AB29" s="8"/>
      <c r="AD29" s="18"/>
      <c r="AE29" s="4"/>
      <c r="AF29" s="4"/>
      <c r="AG29" s="4"/>
      <c r="AH29" s="4"/>
      <c r="AI29" s="4"/>
      <c r="AJ29" s="8"/>
    </row>
    <row r="30" customHeight="1" spans="9:36">
      <c r="I30" s="1">
        <v>6.3504330560994</v>
      </c>
      <c r="J30" s="1">
        <v>1900</v>
      </c>
      <c r="K30" s="8"/>
      <c r="L30" s="8"/>
      <c r="Q30" s="15"/>
      <c r="R30" s="4"/>
      <c r="V30" s="4"/>
      <c r="W30" s="4"/>
      <c r="X30" s="4"/>
      <c r="Y30" s="4"/>
      <c r="Z30" s="4"/>
      <c r="AA30" s="4"/>
      <c r="AB30" s="8"/>
      <c r="AD30" s="18"/>
      <c r="AE30" s="4"/>
      <c r="AF30" s="4"/>
      <c r="AG30" s="4"/>
      <c r="AH30" s="4"/>
      <c r="AI30" s="4"/>
      <c r="AJ30" s="8"/>
    </row>
    <row r="31" customHeight="1" spans="9:36">
      <c r="I31" s="1">
        <v>8.38525491562421</v>
      </c>
      <c r="J31" s="1">
        <v>3000</v>
      </c>
      <c r="K31" s="8"/>
      <c r="L31" s="8"/>
      <c r="Q31" s="15"/>
      <c r="R31" s="4"/>
      <c r="U31" s="4"/>
      <c r="V31" s="4"/>
      <c r="W31" s="4"/>
      <c r="X31" s="4"/>
      <c r="Y31" s="4"/>
      <c r="Z31" s="4"/>
      <c r="AA31" s="4"/>
      <c r="AB31" s="8"/>
      <c r="AD31" s="18"/>
      <c r="AE31" s="4"/>
      <c r="AF31" s="4"/>
      <c r="AG31" s="4"/>
      <c r="AH31" s="4"/>
      <c r="AI31" s="4"/>
      <c r="AJ31" s="8"/>
    </row>
    <row r="32" customHeight="1" spans="11:36">
      <c r="K32" s="8"/>
      <c r="L32" s="8"/>
      <c r="Q32" s="15"/>
      <c r="R32" s="4"/>
      <c r="U32" s="4"/>
      <c r="V32" s="4"/>
      <c r="W32" s="4"/>
      <c r="X32" s="4"/>
      <c r="Y32" s="4"/>
      <c r="Z32" s="4"/>
      <c r="AA32" s="4"/>
      <c r="AB32" s="8"/>
      <c r="AD32" s="18"/>
      <c r="AE32" s="4"/>
      <c r="AF32" s="4"/>
      <c r="AG32" s="4"/>
      <c r="AH32" s="4"/>
      <c r="AI32" s="4"/>
      <c r="AJ32" s="8"/>
    </row>
    <row r="33" customHeight="1" spans="17:36">
      <c r="Q33" s="15"/>
      <c r="R33" s="4"/>
      <c r="U33" s="4"/>
      <c r="V33" s="4"/>
      <c r="W33" s="4"/>
      <c r="X33" s="4"/>
      <c r="Y33" s="4"/>
      <c r="Z33" s="4"/>
      <c r="AA33" s="4"/>
      <c r="AB33" s="8"/>
      <c r="AD33" s="18"/>
      <c r="AE33" s="4"/>
      <c r="AF33" s="4"/>
      <c r="AG33" s="4"/>
      <c r="AH33" s="4"/>
      <c r="AI33" s="4"/>
      <c r="AJ33" s="8"/>
    </row>
    <row r="34" customHeight="1" spans="17:36">
      <c r="Q34" s="15"/>
      <c r="R34" s="4"/>
      <c r="U34" s="4"/>
      <c r="V34" s="4"/>
      <c r="W34" s="4"/>
      <c r="X34" s="4"/>
      <c r="Y34" s="4"/>
      <c r="Z34" s="4"/>
      <c r="AA34" s="4"/>
      <c r="AB34" s="8"/>
      <c r="AD34" s="18"/>
      <c r="AE34" s="4"/>
      <c r="AF34" s="4"/>
      <c r="AG34" s="4"/>
      <c r="AH34" s="4"/>
      <c r="AI34" s="4"/>
      <c r="AJ34" s="8"/>
    </row>
    <row r="35" customHeight="1" spans="17:36">
      <c r="Q35" s="15"/>
      <c r="R35" s="4"/>
      <c r="U35" s="4"/>
      <c r="V35" s="4"/>
      <c r="W35" s="4"/>
      <c r="X35" s="4"/>
      <c r="Y35" s="4"/>
      <c r="Z35" s="4"/>
      <c r="AA35" s="4"/>
      <c r="AB35" s="8"/>
      <c r="AD35" s="18"/>
      <c r="AE35" s="4"/>
      <c r="AF35" s="4"/>
      <c r="AG35" s="4"/>
      <c r="AH35" s="4"/>
      <c r="AI35" s="4"/>
      <c r="AJ35" s="8"/>
    </row>
    <row r="36" customHeight="1" spans="17:36">
      <c r="Q36" s="15"/>
      <c r="R36" s="4"/>
      <c r="U36" s="4"/>
      <c r="V36" s="4"/>
      <c r="W36" s="4"/>
      <c r="X36" s="4"/>
      <c r="Y36" s="4"/>
      <c r="Z36" s="4"/>
      <c r="AA36" s="4"/>
      <c r="AB36" s="8"/>
      <c r="AD36" s="18"/>
      <c r="AE36" s="4"/>
      <c r="AF36" s="4"/>
      <c r="AG36" s="4"/>
      <c r="AH36" s="4"/>
      <c r="AI36" s="4"/>
      <c r="AJ36" s="8"/>
    </row>
    <row r="37" customHeight="1" spans="17:36">
      <c r="Q37" s="15"/>
      <c r="R37" s="4"/>
      <c r="U37" s="4"/>
      <c r="V37" s="4"/>
      <c r="W37" s="4"/>
      <c r="X37" s="4"/>
      <c r="Y37" s="4"/>
      <c r="Z37" s="4"/>
      <c r="AA37" s="4"/>
      <c r="AB37" s="8"/>
      <c r="AD37" s="18"/>
      <c r="AE37" s="4"/>
      <c r="AF37" s="4"/>
      <c r="AG37" s="4"/>
      <c r="AH37" s="4"/>
      <c r="AI37" s="4"/>
      <c r="AJ37" s="8"/>
    </row>
    <row r="38" customHeight="1" spans="17:36">
      <c r="Q38" s="14"/>
      <c r="R38" s="4"/>
      <c r="U38" s="4"/>
      <c r="V38" s="4"/>
      <c r="W38" s="4"/>
      <c r="X38" s="4"/>
      <c r="Y38" s="4"/>
      <c r="Z38" s="4"/>
      <c r="AA38" s="4"/>
      <c r="AB38" s="8"/>
      <c r="AD38" s="18"/>
      <c r="AE38" s="4"/>
      <c r="AF38" s="4"/>
      <c r="AG38" s="4"/>
      <c r="AH38" s="4"/>
      <c r="AI38" s="4"/>
      <c r="AJ38" s="8"/>
    </row>
    <row r="39" customHeight="1" spans="17:36">
      <c r="Q39" s="14"/>
      <c r="R39" s="4"/>
      <c r="U39" s="4"/>
      <c r="V39" s="4"/>
      <c r="W39" s="4"/>
      <c r="X39" s="4"/>
      <c r="Y39" s="4"/>
      <c r="Z39" s="4"/>
      <c r="AA39" s="4"/>
      <c r="AB39" s="8"/>
      <c r="AD39" s="18"/>
      <c r="AE39" s="4"/>
      <c r="AF39" s="4"/>
      <c r="AG39" s="4"/>
      <c r="AH39" s="4"/>
      <c r="AI39" s="4"/>
      <c r="AJ39" s="8"/>
    </row>
    <row r="40" customHeight="1" spans="17:36">
      <c r="Q40" s="14"/>
      <c r="R40" s="4"/>
      <c r="U40" s="4"/>
      <c r="V40" s="4"/>
      <c r="W40" s="4"/>
      <c r="X40" s="4"/>
      <c r="Y40" s="4"/>
      <c r="Z40" s="4"/>
      <c r="AA40" s="4"/>
      <c r="AB40" s="8"/>
      <c r="AD40" s="18"/>
      <c r="AE40" s="4"/>
      <c r="AF40" s="4"/>
      <c r="AG40" s="4"/>
      <c r="AH40" s="4"/>
      <c r="AI40" s="4"/>
      <c r="AJ40" s="8"/>
    </row>
    <row r="41" customHeight="1" spans="17:36">
      <c r="Q41" s="14"/>
      <c r="R41" s="4"/>
      <c r="V41" s="4"/>
      <c r="W41" s="4"/>
      <c r="X41" s="4"/>
      <c r="Y41" s="4"/>
      <c r="Z41" s="4"/>
      <c r="AA41" s="4"/>
      <c r="AB41" s="8"/>
      <c r="AD41" s="18"/>
      <c r="AE41" s="4"/>
      <c r="AF41" s="4"/>
      <c r="AG41" s="4"/>
      <c r="AH41" s="4"/>
      <c r="AI41" s="4"/>
      <c r="AJ41" s="8"/>
    </row>
    <row r="42" customHeight="1" spans="16:36">
      <c r="P42" s="14"/>
      <c r="Q42" s="14"/>
      <c r="R42" s="4"/>
      <c r="V42" s="4"/>
      <c r="W42" s="4"/>
      <c r="X42" s="4"/>
      <c r="Y42" s="4"/>
      <c r="Z42" s="4"/>
      <c r="AA42" s="4"/>
      <c r="AB42" s="8"/>
      <c r="AD42" s="18"/>
      <c r="AE42" s="4"/>
      <c r="AF42" s="4"/>
      <c r="AG42" s="4"/>
      <c r="AH42" s="4"/>
      <c r="AI42" s="4"/>
      <c r="AJ42" s="8"/>
    </row>
    <row r="43" customHeight="1" spans="16:36">
      <c r="P43" s="14"/>
      <c r="Q43" s="14"/>
      <c r="R43" s="4"/>
      <c r="V43" s="4"/>
      <c r="W43" s="4"/>
      <c r="X43" s="4"/>
      <c r="Y43" s="4"/>
      <c r="Z43" s="4"/>
      <c r="AA43" s="4"/>
      <c r="AB43" s="8"/>
      <c r="AD43" s="18"/>
      <c r="AE43" s="4"/>
      <c r="AF43" s="4"/>
      <c r="AG43" s="4"/>
      <c r="AH43" s="4"/>
      <c r="AI43" s="4"/>
      <c r="AJ43" s="8"/>
    </row>
    <row r="44" customHeight="1" spans="16:36">
      <c r="P44" s="14"/>
      <c r="Q44" s="14"/>
      <c r="R44" s="4"/>
      <c r="V44" s="4"/>
      <c r="W44" s="4"/>
      <c r="X44" s="4"/>
      <c r="Y44" s="4"/>
      <c r="Z44" s="4"/>
      <c r="AA44" s="4"/>
      <c r="AB44" s="8"/>
      <c r="AD44" s="18"/>
      <c r="AE44" s="4"/>
      <c r="AF44" s="4"/>
      <c r="AG44" s="4"/>
      <c r="AH44" s="4"/>
      <c r="AI44" s="4"/>
      <c r="AJ44" s="8"/>
    </row>
    <row r="45" customHeight="1" spans="16:36">
      <c r="P45" s="14"/>
      <c r="R45" s="4"/>
      <c r="V45" s="4"/>
      <c r="W45" s="4"/>
      <c r="X45" s="4"/>
      <c r="Y45" s="4"/>
      <c r="Z45" s="4"/>
      <c r="AA45" s="4"/>
      <c r="AB45" s="8"/>
      <c r="AD45" s="18"/>
      <c r="AE45" s="4"/>
      <c r="AF45" s="4"/>
      <c r="AG45" s="4"/>
      <c r="AH45" s="4"/>
      <c r="AI45" s="4"/>
      <c r="AJ45" s="8"/>
    </row>
    <row r="46" customHeight="1" spans="16:36">
      <c r="P46" s="14"/>
      <c r="R46" s="4"/>
      <c r="V46" s="4"/>
      <c r="W46" s="4"/>
      <c r="X46" s="4"/>
      <c r="Y46" s="4"/>
      <c r="Z46" s="4"/>
      <c r="AA46" s="4"/>
      <c r="AB46" s="8"/>
      <c r="AD46" s="18"/>
      <c r="AE46" s="4"/>
      <c r="AF46" s="4"/>
      <c r="AG46" s="4"/>
      <c r="AH46" s="4"/>
      <c r="AI46" s="4"/>
      <c r="AJ46" s="8"/>
    </row>
    <row r="47" customHeight="1" spans="16:36">
      <c r="P47" s="14"/>
      <c r="R47" s="4"/>
      <c r="V47" s="4"/>
      <c r="W47" s="4"/>
      <c r="X47" s="4"/>
      <c r="Y47" s="4"/>
      <c r="Z47" s="4"/>
      <c r="AA47" s="4"/>
      <c r="AB47" s="8"/>
      <c r="AD47" s="18"/>
      <c r="AE47" s="4"/>
      <c r="AF47" s="4"/>
      <c r="AG47" s="4"/>
      <c r="AH47" s="4"/>
      <c r="AI47" s="4"/>
      <c r="AJ47" s="8"/>
    </row>
    <row r="48" customHeight="1" spans="16:36">
      <c r="P48" s="14"/>
      <c r="Q48" s="15"/>
      <c r="R48" s="4"/>
      <c r="V48" s="4"/>
      <c r="W48" s="4"/>
      <c r="X48" s="4"/>
      <c r="Y48" s="4"/>
      <c r="Z48" s="4"/>
      <c r="AA48" s="4"/>
      <c r="AB48" s="8"/>
      <c r="AD48" s="18"/>
      <c r="AE48" s="4"/>
      <c r="AF48" s="4"/>
      <c r="AG48" s="4"/>
      <c r="AH48" s="4"/>
      <c r="AI48" s="4"/>
      <c r="AJ48" s="8"/>
    </row>
    <row r="49" customHeight="1" spans="16:36">
      <c r="P49" s="14"/>
      <c r="Q49" s="15"/>
      <c r="R49" s="4"/>
      <c r="AD49" s="18"/>
      <c r="AE49" s="4"/>
      <c r="AF49" s="4"/>
      <c r="AG49" s="4"/>
      <c r="AH49" s="4"/>
      <c r="AI49" s="4"/>
      <c r="AJ49" s="8"/>
    </row>
    <row r="50" customHeight="1" spans="16:36">
      <c r="P50" s="14"/>
      <c r="Q50" s="15"/>
      <c r="R50" s="4"/>
      <c r="AD50" s="18"/>
      <c r="AE50" s="4"/>
      <c r="AF50" s="4"/>
      <c r="AG50" s="4"/>
      <c r="AH50" s="4"/>
      <c r="AI50" s="4"/>
      <c r="AJ50" s="8"/>
    </row>
    <row r="51" customHeight="1" spans="16:36">
      <c r="P51" s="14"/>
      <c r="Q51" s="15"/>
      <c r="R51" s="4"/>
      <c r="AD51" s="18"/>
      <c r="AE51" s="4"/>
      <c r="AF51" s="4"/>
      <c r="AG51" s="4"/>
      <c r="AH51" s="4"/>
      <c r="AI51" s="4"/>
      <c r="AJ51" s="8"/>
    </row>
    <row r="52" customHeight="1" spans="16:36">
      <c r="P52" s="14"/>
      <c r="Q52" s="15"/>
      <c r="R52" s="4"/>
      <c r="AD52" s="18"/>
      <c r="AE52" s="4"/>
      <c r="AF52" s="4"/>
      <c r="AG52" s="4"/>
      <c r="AH52" s="4"/>
      <c r="AI52" s="4"/>
      <c r="AJ52" s="8"/>
    </row>
    <row r="53" customHeight="1" spans="16:36">
      <c r="P53" s="14"/>
      <c r="Q53" s="15"/>
      <c r="R53" s="4"/>
      <c r="AD53" s="18"/>
      <c r="AE53" s="4"/>
      <c r="AF53" s="4"/>
      <c r="AG53" s="4"/>
      <c r="AH53" s="4"/>
      <c r="AI53" s="4"/>
      <c r="AJ53" s="8"/>
    </row>
    <row r="54" customHeight="1" spans="16:16">
      <c r="P54" s="14"/>
    </row>
    <row r="55" customHeight="1" spans="16:16">
      <c r="P55" s="14"/>
    </row>
    <row r="56" customHeight="1" spans="16:16">
      <c r="P56" s="14"/>
    </row>
    <row r="57" customHeight="1" spans="16:16">
      <c r="P57" s="14"/>
    </row>
    <row r="58" customHeight="1" spans="16:16">
      <c r="P58" s="14"/>
    </row>
    <row r="59" customHeight="1" spans="16:16">
      <c r="P59" s="14"/>
    </row>
    <row r="60" customHeight="1" spans="16:16">
      <c r="P60" s="14"/>
    </row>
    <row r="61" customHeight="1" spans="16:16">
      <c r="P61" s="14"/>
    </row>
    <row r="62" customHeight="1" spans="16:16">
      <c r="P62" s="14"/>
    </row>
    <row r="63" customHeight="1" spans="16:16">
      <c r="P63" s="14"/>
    </row>
    <row r="64" customHeight="1" spans="16:16">
      <c r="P64" s="14"/>
    </row>
    <row r="65" customHeight="1" spans="16:16">
      <c r="P65" s="14"/>
    </row>
    <row r="66" customHeight="1" spans="16:16">
      <c r="P66" s="14"/>
    </row>
    <row r="67" customHeight="1" spans="16:16">
      <c r="P67" s="14"/>
    </row>
    <row r="68" customHeight="1" spans="16:16">
      <c r="P68" s="14"/>
    </row>
    <row r="69" customHeight="1" spans="16:16">
      <c r="P69" s="14"/>
    </row>
    <row r="70" customHeight="1" spans="16:16">
      <c r="P70" s="14"/>
    </row>
  </sheetData>
  <mergeCells count="1">
    <mergeCell ref="V1:AA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80" zoomScaleNormal="180" workbookViewId="0">
      <selection activeCell="L1" sqref="L1"/>
    </sheetView>
  </sheetViews>
  <sheetFormatPr defaultColWidth="8.8962962962963" defaultRowHeight="15" customHeight="1"/>
  <cols>
    <col min="2" max="2" width="10.2518518518519" style="2" customWidth="1"/>
    <col min="3" max="10" width="12.437037037037" style="2" customWidth="1"/>
    <col min="13" max="13" width="12.437037037037" customWidth="1"/>
  </cols>
  <sheetData>
    <row r="1" customHeight="1" spans="1:13">
      <c r="A1" s="3" t="s">
        <v>27</v>
      </c>
      <c r="B1" s="3" t="s">
        <v>16</v>
      </c>
      <c r="C1" s="4" t="s">
        <v>17</v>
      </c>
      <c r="D1" s="4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3" t="s">
        <v>28</v>
      </c>
      <c r="L1" s="8" t="s">
        <v>29</v>
      </c>
      <c r="M1" t="s">
        <v>30</v>
      </c>
    </row>
    <row r="2" customHeight="1" spans="1:13">
      <c r="A2" s="3" t="s">
        <v>31</v>
      </c>
      <c r="B2" s="3">
        <f>'400K_SR10_Stress'!K11</f>
        <v>94.37036</v>
      </c>
      <c r="C2" s="3">
        <f>'400K_SR10_Stress'!L11</f>
        <v>4569306000000</v>
      </c>
      <c r="D2" s="3">
        <f>'400K_SR10_Stress'!M11</f>
        <v>20488720000000</v>
      </c>
      <c r="E2" s="3">
        <f>'400K_SR10_Stress'!N11</f>
        <v>21.4434830220792</v>
      </c>
      <c r="F2" s="3">
        <f>'400K_SR10_Stress'!O11</f>
        <v>4.54075030171914</v>
      </c>
      <c r="G2" s="3">
        <f>'400K_SR10_Stress'!P11</f>
        <v>21.9189730010501</v>
      </c>
      <c r="H2" s="3">
        <f>'400K_SR10_Stress'!Q11</f>
        <v>44.420128452</v>
      </c>
      <c r="I2" s="3">
        <f>'400K_SR10_Stress'!R11</f>
        <v>2.02656066275879</v>
      </c>
      <c r="J2" s="3">
        <f>'400K_SR10_Stress'!S11</f>
        <v>0.223015688632574</v>
      </c>
      <c r="K2" s="3">
        <v>10</v>
      </c>
      <c r="L2" s="8">
        <f t="shared" ref="L2:L19" si="0">H2-G2</f>
        <v>22.5011554509499</v>
      </c>
      <c r="M2" s="9">
        <f t="shared" ref="M2:M19" si="1">L2*1000000/SQRT(D2)</f>
        <v>4.97104170066983</v>
      </c>
    </row>
    <row r="3" customHeight="1" spans="1:13">
      <c r="A3" s="3" t="s">
        <v>32</v>
      </c>
      <c r="B3" s="3">
        <f>'400K_SR10_Stress'!K12</f>
        <v>91.44112</v>
      </c>
      <c r="C3" s="3">
        <f>'400K_SR10_Stress'!L12</f>
        <v>3620590000000</v>
      </c>
      <c r="D3" s="3">
        <f>'400K_SR10_Stress'!M12</f>
        <v>20585040000000</v>
      </c>
      <c r="E3" s="3">
        <f>'400K_SR10_Stress'!N12</f>
        <v>19.0879760125675</v>
      </c>
      <c r="F3" s="3">
        <f>'400K_SR10_Stress'!O12</f>
        <v>4.55141110061214</v>
      </c>
      <c r="G3" s="3">
        <f>'400K_SR10_Stress'!P12</f>
        <v>19.6231029978219</v>
      </c>
      <c r="H3" s="3">
        <f>'400K_SR10_Stress'!Q12</f>
        <v>43.041335184</v>
      </c>
      <c r="I3" s="3">
        <f>'400K_SR10_Stress'!R12</f>
        <v>2.19340107366187</v>
      </c>
      <c r="J3" s="3">
        <f>'400K_SR10_Stress'!S12</f>
        <v>0.17588452584984</v>
      </c>
      <c r="K3" s="3">
        <v>10</v>
      </c>
      <c r="L3" s="8">
        <f t="shared" si="0"/>
        <v>23.4182321861781</v>
      </c>
      <c r="M3" s="9">
        <f t="shared" si="1"/>
        <v>5.16152755279058</v>
      </c>
    </row>
    <row r="4" customHeight="1" spans="1:13">
      <c r="A4" s="3" t="s">
        <v>33</v>
      </c>
      <c r="B4" s="3">
        <f>'400K_SR10_Stress'!K13</f>
        <v>95.77348</v>
      </c>
      <c r="C4" s="3">
        <f>'400K_SR10_Stress'!L13</f>
        <v>5796698000000</v>
      </c>
      <c r="D4" s="3">
        <f>'400K_SR10_Stress'!M13</f>
        <v>21355680000000</v>
      </c>
      <c r="E4" s="3">
        <f>'400K_SR10_Stress'!N13</f>
        <v>24.1524139888077</v>
      </c>
      <c r="F4" s="3">
        <f>'400K_SR10_Stress'!O13</f>
        <v>4.6358236751281</v>
      </c>
      <c r="G4" s="3">
        <f>'400K_SR10_Stress'!P13</f>
        <v>24.5932910085989</v>
      </c>
      <c r="H4" s="3">
        <f>'400K_SR10_Stress'!Q13</f>
        <v>45.080577036</v>
      </c>
      <c r="I4" s="3">
        <f>'400K_SR10_Stress'!R13</f>
        <v>1.83304369554436</v>
      </c>
      <c r="J4" s="3">
        <f>'400K_SR10_Stress'!S13</f>
        <v>0.271435889655586</v>
      </c>
      <c r="K4" s="3">
        <v>10</v>
      </c>
      <c r="L4" s="8">
        <f t="shared" si="0"/>
        <v>20.4872860274011</v>
      </c>
      <c r="M4" s="9">
        <f t="shared" si="1"/>
        <v>4.43330620219928</v>
      </c>
    </row>
    <row r="5" customHeight="1" spans="1:13">
      <c r="A5" s="3" t="s">
        <v>34</v>
      </c>
      <c r="B5" s="3">
        <f>'400K_SR20_Stress'!K10</f>
        <v>105.8598</v>
      </c>
      <c r="C5" s="3">
        <f>'400K_SR20_Stress'!L10</f>
        <v>4665850000000</v>
      </c>
      <c r="D5" s="3">
        <f>'400K_SR20_Stress'!M10</f>
        <v>21184560000000</v>
      </c>
      <c r="E5" s="3">
        <f>'400K_SR20_Stress'!N10</f>
        <v>21.6688365246309</v>
      </c>
      <c r="F5" s="3">
        <f>'400K_SR20_Stress'!O10</f>
        <v>4.6172132244182</v>
      </c>
      <c r="G5" s="3">
        <f>'400K_SR20_Stress'!P10</f>
        <v>22.1552958520287</v>
      </c>
      <c r="H5" s="3">
        <f>'400K_SR20_Stress'!Q10</f>
        <v>49.82820786</v>
      </c>
      <c r="I5" s="3">
        <f>'400K_SR20_Stress'!R10</f>
        <v>2.24904276579261</v>
      </c>
      <c r="J5" s="3">
        <f>'400K_SR20_Stress'!S10</f>
        <v>0.220247670945254</v>
      </c>
      <c r="K5" s="3">
        <v>20</v>
      </c>
      <c r="L5" s="8">
        <f t="shared" si="0"/>
        <v>27.6729120079713</v>
      </c>
      <c r="M5" s="9">
        <f t="shared" si="1"/>
        <v>6.01236223250541</v>
      </c>
    </row>
    <row r="6" customHeight="1" spans="1:13">
      <c r="A6" s="3" t="s">
        <v>35</v>
      </c>
      <c r="B6" s="3">
        <f>'400K_SR20_Stress'!K11</f>
        <v>103.65422</v>
      </c>
      <c r="C6" s="3">
        <f>'400K_SR20_Stress'!L11</f>
        <v>4177888000000</v>
      </c>
      <c r="D6" s="3">
        <f>'400K_SR20_Stress'!M11</f>
        <v>21163880000000</v>
      </c>
      <c r="E6" s="3">
        <f>'400K_SR20_Stress'!N11</f>
        <v>20.5044726117948</v>
      </c>
      <c r="F6" s="3">
        <f>'400K_SR20_Stress'!O11</f>
        <v>4.61495905243374</v>
      </c>
      <c r="G6" s="3">
        <f>'400K_SR20_Stress'!P11</f>
        <v>21.0174033634862</v>
      </c>
      <c r="H6" s="3">
        <f>'400K_SR20_Stress'!Q11</f>
        <v>48.790041354</v>
      </c>
      <c r="I6" s="3">
        <f>'400K_SR20_Stress'!R11</f>
        <v>2.32141147553763</v>
      </c>
      <c r="J6" s="3">
        <f>'400K_SR20_Stress'!S11</f>
        <v>0.19740652470152</v>
      </c>
      <c r="K6" s="3">
        <v>20</v>
      </c>
      <c r="L6" s="8">
        <f t="shared" si="0"/>
        <v>27.7726379905138</v>
      </c>
      <c r="M6" s="9">
        <f t="shared" si="1"/>
        <v>6.03697653869136</v>
      </c>
    </row>
    <row r="7" customHeight="1" spans="1:13">
      <c r="A7" s="3" t="s">
        <v>36</v>
      </c>
      <c r="B7" s="3">
        <f>'400K_SR20_Stress'!K12</f>
        <v>103.3674</v>
      </c>
      <c r="C7" s="3">
        <f>'400K_SR20_Stress'!L12</f>
        <v>3938012000000</v>
      </c>
      <c r="D7" s="3">
        <f>'400K_SR20_Stress'!M12</f>
        <v>21127760000000</v>
      </c>
      <c r="E7" s="3">
        <f>'400K_SR20_Stress'!N12</f>
        <v>19.9071332924975</v>
      </c>
      <c r="F7" s="3">
        <f>'400K_SR20_Stress'!O12</f>
        <v>4.61101923836371</v>
      </c>
      <c r="G7" s="3">
        <f>'400K_SR20_Stress'!P12</f>
        <v>20.4341736887456</v>
      </c>
      <c r="H7" s="3">
        <f>'400K_SR20_Stress'!Q12</f>
        <v>48.65503518</v>
      </c>
      <c r="I7" s="3">
        <f>'400K_SR20_Stress'!R12</f>
        <v>2.38106203466389</v>
      </c>
      <c r="J7" s="3">
        <f>'400K_SR20_Stress'!S12</f>
        <v>0.186390417157332</v>
      </c>
      <c r="K7" s="3">
        <v>20</v>
      </c>
      <c r="L7" s="8">
        <f t="shared" si="0"/>
        <v>28.2208614912544</v>
      </c>
      <c r="M7" s="9">
        <f t="shared" si="1"/>
        <v>6.13964894746633</v>
      </c>
    </row>
    <row r="8" customHeight="1" spans="1:13">
      <c r="A8" s="3" t="s">
        <v>37</v>
      </c>
      <c r="B8" s="3">
        <f>'400K_SR40_Stress'!K9</f>
        <v>114.3706</v>
      </c>
      <c r="C8" s="3">
        <f>'400K_SR40_Stress'!L9</f>
        <v>4072418000000</v>
      </c>
      <c r="D8" s="3">
        <f>'400K_SR40_Stress'!M9</f>
        <v>22298520000000</v>
      </c>
      <c r="E8" s="3">
        <f>'400K_SR40_Stress'!N9</f>
        <v>20.2440024384932</v>
      </c>
      <c r="F8" s="3">
        <f>'400K_SR40_Stress'!O9</f>
        <v>4.73705280849827</v>
      </c>
      <c r="G8" s="3">
        <f>'400K_SR40_Stress'!P9</f>
        <v>20.7908466407749</v>
      </c>
      <c r="H8" s="3">
        <f>'400K_SR40_Stress'!Q9</f>
        <v>53.83424142</v>
      </c>
      <c r="I8" s="3">
        <f>'400K_SR40_Stress'!R9</f>
        <v>2.58932415548776</v>
      </c>
      <c r="J8" s="3">
        <f>'400K_SR40_Stress'!S9</f>
        <v>0.182631762107978</v>
      </c>
      <c r="K8" s="3">
        <v>40</v>
      </c>
      <c r="L8" s="8">
        <f t="shared" si="0"/>
        <v>33.0433947792251</v>
      </c>
      <c r="M8" s="9">
        <f t="shared" si="1"/>
        <v>6.99756013850223</v>
      </c>
    </row>
    <row r="9" customHeight="1" spans="1:13">
      <c r="A9" s="3" t="s">
        <v>38</v>
      </c>
      <c r="B9" s="3">
        <f>'400K_SR40_Stress'!K10</f>
        <v>109.9654</v>
      </c>
      <c r="C9" s="3">
        <f>'400K_SR40_Stress'!L10</f>
        <v>4449282000000</v>
      </c>
      <c r="D9" s="3">
        <f>'400K_SR40_Stress'!M10</f>
        <v>21780640000000</v>
      </c>
      <c r="E9" s="3">
        <f>'400K_SR40_Stress'!N10</f>
        <v>21.1599761129127</v>
      </c>
      <c r="F9" s="3">
        <f>'400K_SR40_Stress'!O10</f>
        <v>4.6817209589593</v>
      </c>
      <c r="G9" s="3">
        <f>'400K_SR40_Stress'!P10</f>
        <v>21.6717119821345</v>
      </c>
      <c r="H9" s="3">
        <f>'400K_SR40_Stress'!Q10</f>
        <v>51.76071378</v>
      </c>
      <c r="I9" s="3">
        <f>'400K_SR40_Stress'!R10</f>
        <v>2.38839985611981</v>
      </c>
      <c r="J9" s="3">
        <f>'400K_SR40_Stress'!S10</f>
        <v>0.204276917482682</v>
      </c>
      <c r="K9" s="3">
        <v>40</v>
      </c>
      <c r="L9" s="8">
        <f t="shared" si="0"/>
        <v>30.0890017978655</v>
      </c>
      <c r="M9" s="9">
        <f t="shared" si="1"/>
        <v>6.4472195818899</v>
      </c>
    </row>
    <row r="10" customHeight="1" spans="1:13">
      <c r="A10" s="3" t="s">
        <v>39</v>
      </c>
      <c r="B10" s="3">
        <f>'400K_SR40_Stress'!K11</f>
        <v>108.7624</v>
      </c>
      <c r="C10" s="3">
        <f>'400K_SR40_Stress'!L11</f>
        <v>3497148000000</v>
      </c>
      <c r="D10" s="3">
        <f>'400K_SR40_Stress'!M11</f>
        <v>21628180000000</v>
      </c>
      <c r="E10" s="3">
        <f>'400K_SR40_Stress'!N11</f>
        <v>18.7597571852118</v>
      </c>
      <c r="F10" s="3">
        <f>'400K_SR40_Stress'!O11</f>
        <v>4.66530664243565</v>
      </c>
      <c r="G10" s="3">
        <f>'400K_SR40_Stress'!P11</f>
        <v>19.3311555711515</v>
      </c>
      <c r="H10" s="3">
        <f>'400K_SR40_Stress'!Q11</f>
        <v>51.19446168</v>
      </c>
      <c r="I10" s="3">
        <f>'400K_SR40_Stress'!R11</f>
        <v>2.6482877079733</v>
      </c>
      <c r="J10" s="3">
        <f>'400K_SR40_Stress'!S11</f>
        <v>0.161694049152541</v>
      </c>
      <c r="K10" s="3">
        <v>40</v>
      </c>
      <c r="L10" s="8">
        <f t="shared" si="0"/>
        <v>31.8633061088485</v>
      </c>
      <c r="M10" s="9">
        <f t="shared" si="1"/>
        <v>6.85142405547533</v>
      </c>
    </row>
    <row r="11" customHeight="1" spans="1:13">
      <c r="A11" s="3" t="s">
        <v>40</v>
      </c>
      <c r="B11" s="3">
        <f>'400K_SR100_Stress'!K9</f>
        <v>119.5942</v>
      </c>
      <c r="C11" s="3">
        <f>'400K_SR100_Stress'!L9</f>
        <v>3779372000000</v>
      </c>
      <c r="D11" s="3">
        <f>'400K_SR100_Stress'!M9</f>
        <v>24103540000000</v>
      </c>
      <c r="E11" s="3">
        <f>'400K_SR100_Stress'!N9</f>
        <v>19.5020393044857</v>
      </c>
      <c r="F11" s="3">
        <f>'400K_SR100_Stress'!O9</f>
        <v>4.92504975214556</v>
      </c>
      <c r="G11" s="3">
        <f>'400K_SR100_Stress'!P9</f>
        <v>20.1143146066381</v>
      </c>
      <c r="H11" s="3">
        <f>'400K_SR100_Stress'!Q9</f>
        <v>56.29298994</v>
      </c>
      <c r="I11" s="3">
        <f>'400K_SR100_Stress'!R9</f>
        <v>2.79865315030035</v>
      </c>
      <c r="J11" s="3">
        <f>'400K_SR100_Stress'!S9</f>
        <v>0.156797383288928</v>
      </c>
      <c r="K11" s="3">
        <v>100</v>
      </c>
      <c r="L11" s="8">
        <f t="shared" si="0"/>
        <v>36.1786753333619</v>
      </c>
      <c r="M11" s="9">
        <f t="shared" si="1"/>
        <v>7.36906260319596</v>
      </c>
    </row>
    <row r="12" customHeight="1" spans="1:13">
      <c r="A12" s="3" t="s">
        <v>41</v>
      </c>
      <c r="B12" s="3">
        <f>'400K_SR100_Stress'!K10</f>
        <v>122.8908</v>
      </c>
      <c r="C12" s="3">
        <f>'400K_SR100_Stress'!L10</f>
        <v>3751540000000</v>
      </c>
      <c r="D12" s="3">
        <f>'400K_SR100_Stress'!M10</f>
        <v>23849300000000</v>
      </c>
      <c r="E12" s="3">
        <f>'400K_SR100_Stress'!N10</f>
        <v>19.4300982863644</v>
      </c>
      <c r="F12" s="3">
        <f>'400K_SR100_Stress'!O10</f>
        <v>4.89900660599372</v>
      </c>
      <c r="G12" s="3">
        <f>'400K_SR100_Stress'!P10</f>
        <v>20.0381881701753</v>
      </c>
      <c r="H12" s="3">
        <f>'400K_SR100_Stress'!Q10</f>
        <v>57.84469956</v>
      </c>
      <c r="I12" s="3">
        <f>'400K_SR100_Stress'!R10</f>
        <v>2.88672304445647</v>
      </c>
      <c r="J12" s="3">
        <f>'400K_SR100_Stress'!S10</f>
        <v>0.157301891460127</v>
      </c>
      <c r="K12" s="3">
        <v>100</v>
      </c>
      <c r="L12" s="8">
        <f t="shared" si="0"/>
        <v>37.8065113898247</v>
      </c>
      <c r="M12" s="9">
        <f t="shared" si="1"/>
        <v>7.74156538581022</v>
      </c>
    </row>
    <row r="13" customHeight="1" spans="1:13">
      <c r="A13" s="3" t="s">
        <v>42</v>
      </c>
      <c r="B13" s="3">
        <f>'400K_SR100_Stress'!K11</f>
        <v>123.1772</v>
      </c>
      <c r="C13" s="3">
        <f>'400K_SR100_Stress'!L11</f>
        <v>3814084000000</v>
      </c>
      <c r="D13" s="3">
        <f>'400K_SR100_Stress'!M11</f>
        <v>24857600000000</v>
      </c>
      <c r="E13" s="3">
        <f>'400K_SR100_Stress'!N11</f>
        <v>19.5913937656237</v>
      </c>
      <c r="F13" s="3">
        <f>'400K_SR100_Stress'!O11</f>
        <v>5.00149460162166</v>
      </c>
      <c r="G13" s="3">
        <f>'400K_SR100_Stress'!P11</f>
        <v>20.2197343684275</v>
      </c>
      <c r="H13" s="3">
        <f>'400K_SR100_Stress'!Q11</f>
        <v>57.97950804</v>
      </c>
      <c r="I13" s="3">
        <f>'400K_SR100_Stress'!R11</f>
        <v>2.86747130222112</v>
      </c>
      <c r="J13" s="3">
        <f>'400K_SR100_Stress'!S11</f>
        <v>0.153437339083419</v>
      </c>
      <c r="K13" s="3">
        <v>100</v>
      </c>
      <c r="L13" s="8">
        <f t="shared" si="0"/>
        <v>37.7597736715725</v>
      </c>
      <c r="M13" s="9">
        <f t="shared" si="1"/>
        <v>7.57355502175149</v>
      </c>
    </row>
    <row r="14" customHeight="1" spans="1:13">
      <c r="A14" s="3" t="s">
        <v>43</v>
      </c>
      <c r="B14" s="3">
        <f>'400K_SR1000_Stress'!K10</f>
        <v>149.8292</v>
      </c>
      <c r="C14" s="3">
        <f>'400K_SR1000_Stress'!L10</f>
        <v>1667516000000</v>
      </c>
      <c r="D14" s="3">
        <f>'400K_SR1000_Stress'!M10</f>
        <v>27919060000000</v>
      </c>
      <c r="E14" s="3">
        <f>'400K_SR1000_Stress'!N10</f>
        <v>12.9540393401741</v>
      </c>
      <c r="F14" s="3">
        <f>'400K_SR1000_Stress'!O10</f>
        <v>5.3005459386525</v>
      </c>
      <c r="G14" s="3">
        <f>'400K_SR1000_Stress'!P10</f>
        <v>13.9965325161106</v>
      </c>
      <c r="H14" s="3">
        <f>'400K_SR1000_Stress'!Q10</f>
        <v>70.52460444</v>
      </c>
      <c r="I14" s="3">
        <f>'400K_SR1000_Stress'!R10</f>
        <v>5.0387197228187</v>
      </c>
      <c r="J14" s="3">
        <f>'400K_SR1000_Stress'!S10</f>
        <v>0.0597267959594628</v>
      </c>
      <c r="K14" s="3">
        <v>1000</v>
      </c>
      <c r="L14" s="8">
        <f t="shared" si="0"/>
        <v>56.5280719238893</v>
      </c>
      <c r="M14" s="9">
        <f t="shared" si="1"/>
        <v>10.6982754771832</v>
      </c>
    </row>
    <row r="15" customHeight="1" spans="1:13">
      <c r="A15" s="3" t="s">
        <v>44</v>
      </c>
      <c r="B15" s="3">
        <f>'400K_SR1000_Stress'!K11</f>
        <v>173.3622</v>
      </c>
      <c r="C15" s="3">
        <f>'400K_SR1000_Stress'!L11</f>
        <v>1926720000000</v>
      </c>
      <c r="D15" s="3">
        <f>'400K_SR1000_Stress'!M11</f>
        <v>30823060000000</v>
      </c>
      <c r="E15" s="3">
        <f>'400K_SR1000_Stress'!N11</f>
        <v>13.9244967946969</v>
      </c>
      <c r="F15" s="3">
        <f>'400K_SR1000_Stress'!O11</f>
        <v>5.56939579541156</v>
      </c>
      <c r="G15" s="3">
        <f>'400K_SR1000_Stress'!P11</f>
        <v>14.9969923821902</v>
      </c>
      <c r="H15" s="3">
        <f>'400K_SR1000_Stress'!Q11</f>
        <v>81.60158754</v>
      </c>
      <c r="I15" s="3">
        <f>'400K_SR1000_Stress'!R11</f>
        <v>5.44119683870124</v>
      </c>
      <c r="J15" s="3">
        <f>'400K_SR1000_Stress'!S11</f>
        <v>0.0625090435537549</v>
      </c>
      <c r="K15" s="3">
        <v>1000</v>
      </c>
      <c r="L15" s="8">
        <f t="shared" si="0"/>
        <v>66.6045951578098</v>
      </c>
      <c r="M15" s="9">
        <f t="shared" si="1"/>
        <v>11.9968248142025</v>
      </c>
    </row>
    <row r="16" customHeight="1" spans="1:13">
      <c r="A16" s="3" t="s">
        <v>45</v>
      </c>
      <c r="B16" s="3">
        <f>'400K_SR1000_Stress'!K12</f>
        <v>145.9374</v>
      </c>
      <c r="C16" s="3">
        <f>'400K_SR1000_Stress'!L12</f>
        <v>1447284000000</v>
      </c>
      <c r="D16" s="3">
        <f>'400K_SR1000_Stress'!M12</f>
        <v>26524880000000</v>
      </c>
      <c r="E16" s="3">
        <f>'400K_SR1000_Stress'!N12</f>
        <v>12.0683275016844</v>
      </c>
      <c r="F16" s="3">
        <f>'400K_SR1000_Stress'!O12</f>
        <v>5.16650579293605</v>
      </c>
      <c r="G16" s="3">
        <f>'400K_SR1000_Stress'!P12</f>
        <v>13.1277306034346</v>
      </c>
      <c r="H16" s="3">
        <f>'400K_SR1000_Stress'!Q12</f>
        <v>68.69273418</v>
      </c>
      <c r="I16" s="3">
        <f>'400K_SR1000_Stress'!R12</f>
        <v>5.23264349757665</v>
      </c>
      <c r="J16" s="3">
        <f>'400K_SR1000_Stress'!S12</f>
        <v>0.0545632628686727</v>
      </c>
      <c r="K16" s="3">
        <v>1000</v>
      </c>
      <c r="L16" s="8">
        <f t="shared" si="0"/>
        <v>55.5650035765654</v>
      </c>
      <c r="M16" s="9">
        <f t="shared" si="1"/>
        <v>10.7888370248378</v>
      </c>
    </row>
    <row r="17" customHeight="1" spans="1:13">
      <c r="A17" s="3" t="s">
        <v>46</v>
      </c>
      <c r="B17" s="3">
        <f>'400K_SR1e4_Stress'!K11</f>
        <v>251.3294</v>
      </c>
      <c r="C17" s="3">
        <f>'400K_SR1e4_Stress'!L11</f>
        <v>1757734000000</v>
      </c>
      <c r="D17" s="3">
        <f>'400K_SR1e4_Stress'!M11</f>
        <v>48671320000000</v>
      </c>
      <c r="E17" s="3">
        <f>'400K_SR1e4_Stress'!N11</f>
        <v>13.2998512431855</v>
      </c>
      <c r="F17" s="3">
        <f>'400K_SR1e4_Stress'!O11</f>
        <v>6.99852904221544</v>
      </c>
      <c r="G17" s="3">
        <f>'400K_SR1e4_Stress'!P11</f>
        <v>15.0288207070813</v>
      </c>
      <c r="H17" s="3">
        <f>'400K_SR1e4_Stress'!Q11</f>
        <v>118.30074858</v>
      </c>
      <c r="I17" s="3">
        <f>'400K_SR1e4_Stress'!R11</f>
        <v>7.87159224836975</v>
      </c>
      <c r="J17" s="3">
        <f>'400K_SR1e4_Stress'!S11</f>
        <v>0.036114368790491</v>
      </c>
      <c r="K17" s="4">
        <v>10000</v>
      </c>
      <c r="L17" s="8">
        <f t="shared" si="0"/>
        <v>103.271927872919</v>
      </c>
      <c r="M17" s="9">
        <f t="shared" si="1"/>
        <v>14.8028630788109</v>
      </c>
    </row>
    <row r="18" customHeight="1" spans="1:13">
      <c r="A18" s="3" t="s">
        <v>47</v>
      </c>
      <c r="B18" s="3">
        <f>'400K_SR1e4_Stress'!K12</f>
        <v>243.1692</v>
      </c>
      <c r="C18" s="3">
        <f>'400K_SR1e4_Stress'!L12</f>
        <v>2235864000000</v>
      </c>
      <c r="D18" s="3">
        <f>'400K_SR1e4_Stress'!M12</f>
        <v>55725020000000</v>
      </c>
      <c r="E18" s="3">
        <f>'400K_SR1e4_Stress'!N12</f>
        <v>15.0000566229717</v>
      </c>
      <c r="F18" s="3">
        <f>'400K_SR1e4_Stress'!O12</f>
        <v>7.48850843453887</v>
      </c>
      <c r="G18" s="3">
        <f>'400K_SR1e4_Stress'!P12</f>
        <v>16.7654244582866</v>
      </c>
      <c r="H18" s="3">
        <f>'400K_SR1e4_Stress'!Q12</f>
        <v>114.45974244</v>
      </c>
      <c r="I18" s="3">
        <f>'400K_SR1e4_Stress'!R12</f>
        <v>6.82713060589564</v>
      </c>
      <c r="J18" s="3">
        <f>'400K_SR1e4_Stress'!S12</f>
        <v>0.0401231619118306</v>
      </c>
      <c r="K18" s="4">
        <v>10000</v>
      </c>
      <c r="L18" s="8">
        <f t="shared" si="0"/>
        <v>97.6943179817134</v>
      </c>
      <c r="M18" s="9">
        <f t="shared" si="1"/>
        <v>13.0871231411747</v>
      </c>
    </row>
    <row r="19" customHeight="1" spans="1:13">
      <c r="A19" s="3" t="s">
        <v>48</v>
      </c>
      <c r="B19" s="3">
        <f>'400K_SR1e4_Stress'!K13</f>
        <v>255.0352</v>
      </c>
      <c r="C19" s="5">
        <f>'400K_SR1e4_Stress'!L13</f>
        <v>1999528000000</v>
      </c>
      <c r="D19" s="5">
        <f>'400K_SR1e4_Stress'!M13</f>
        <v>52577920000000</v>
      </c>
      <c r="E19" s="7">
        <f>'400K_SR1e4_Stress'!N13</f>
        <v>14.1851506281985</v>
      </c>
      <c r="F19" s="7">
        <f>'400K_SR1e4_Stress'!O13</f>
        <v>7.27397673054279</v>
      </c>
      <c r="G19" s="3">
        <f>'400K_SR1e4_Stress'!P13</f>
        <v>15.9414314232179</v>
      </c>
      <c r="H19" s="3">
        <f>'400K_SR1e4_Stress'!Q13</f>
        <v>120.04506864</v>
      </c>
      <c r="I19" s="3">
        <f>'400K_SR1e4_Stress'!R13</f>
        <v>7.53038202486388</v>
      </c>
      <c r="J19" s="7">
        <f>'400K_SR1e4_Stress'!S13</f>
        <v>0.0380298041459229</v>
      </c>
      <c r="K19" s="4">
        <v>10001</v>
      </c>
      <c r="L19" s="8">
        <f t="shared" si="0"/>
        <v>104.103637216782</v>
      </c>
      <c r="M19" s="9">
        <f t="shared" si="1"/>
        <v>14.35701660577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="175" zoomScaleNormal="175" topLeftCell="A2" workbookViewId="0">
      <selection activeCell="A3" sqref="A3:B6"/>
    </sheetView>
  </sheetViews>
  <sheetFormatPr defaultColWidth="8.80740740740741" defaultRowHeight="15" customHeight="1" outlineLevelCol="3"/>
  <cols>
    <col min="1" max="1" width="12.4444444444444"/>
    <col min="3" max="4" width="12.437037037037" customWidth="1"/>
  </cols>
  <sheetData>
    <row r="1" customHeight="1" spans="1:2">
      <c r="A1">
        <v>0</v>
      </c>
      <c r="B1">
        <v>100</v>
      </c>
    </row>
    <row r="2" customHeight="1" spans="1:2">
      <c r="A2">
        <v>1.02</v>
      </c>
      <c r="B2">
        <v>120</v>
      </c>
    </row>
    <row r="3" customHeight="1" spans="1:2">
      <c r="A3" s="1">
        <v>2.663</v>
      </c>
      <c r="B3" s="1">
        <v>1000</v>
      </c>
    </row>
    <row r="4" customHeight="1" spans="1:2">
      <c r="A4" s="1">
        <v>3.2199</v>
      </c>
      <c r="B4" s="1">
        <v>1300</v>
      </c>
    </row>
    <row r="5" customHeight="1" spans="1:2">
      <c r="A5" s="1">
        <v>4.316</v>
      </c>
      <c r="B5" s="1">
        <v>1900</v>
      </c>
    </row>
    <row r="6" customHeight="1" spans="1:2">
      <c r="A6" s="1">
        <v>6.03</v>
      </c>
      <c r="B6" s="1">
        <v>3000</v>
      </c>
    </row>
    <row r="7" customHeight="1" spans="3:4">
      <c r="C7">
        <f>23000000/SQRT(500000000000000)</f>
        <v>1.0285912696499</v>
      </c>
      <c r="D7">
        <f>361.2*EXP(C7*0.2547)</f>
        <v>469.380630376644</v>
      </c>
    </row>
    <row r="8" customHeight="1" spans="4:4">
      <c r="D8">
        <f>115.48*C7^1.52</f>
        <v>120.53575226348</v>
      </c>
    </row>
    <row r="20" customHeight="1" spans="1:1">
      <c r="A20">
        <f>11.91/SQRT(20000000000000)*1000000</f>
        <v>2.66315696120225</v>
      </c>
    </row>
    <row r="21" customHeight="1" spans="1:1">
      <c r="A21">
        <f>14400000/SQRT(20000000000000)</f>
        <v>3.2199378875997</v>
      </c>
    </row>
    <row r="22" customHeight="1" spans="1:1">
      <c r="A22">
        <f>19300000/SQRT(20000000000000)</f>
        <v>4.31561119657459</v>
      </c>
    </row>
    <row r="23" customHeight="1" spans="1:1">
      <c r="A23">
        <f>27000000/SQRT(20000000000000)</f>
        <v>6.03738353924943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LibreOffice/25.8.1.1$Linux_X86_64 LibreOffice_project/54047653041915e595ad4e45cccea684809c77b5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Graphs</vt:lpstr>
      <vt:lpstr>400K_SR10</vt:lpstr>
      <vt:lpstr>400K_SR10_Stress</vt:lpstr>
      <vt:lpstr>400K_SR20_Stress</vt:lpstr>
      <vt:lpstr>400K_SR20</vt:lpstr>
      <vt:lpstr>400K_SR40_Stress</vt:lpstr>
      <vt:lpstr>400K_SR40</vt:lpstr>
      <vt:lpstr>400K_SR100_Stress</vt:lpstr>
      <vt:lpstr>400K_SR100</vt:lpstr>
      <vt:lpstr>400K_SR1000_Stress</vt:lpstr>
      <vt:lpstr>400K_SR1000</vt:lpstr>
      <vt:lpstr>400K_SR1e4_Stress</vt:lpstr>
      <vt:lpstr>400K_SR1e4</vt:lpstr>
      <vt:lpstr>tauratio</vt:lpstr>
      <vt:lpstr>tauratio1</vt:lpstr>
      <vt:lpstr>Fitting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</cp:lastModifiedBy>
  <cp:revision>9</cp:revision>
  <dcterms:created xsi:type="dcterms:W3CDTF">2025-05-04T17:40:00Z</dcterms:created>
  <dcterms:modified xsi:type="dcterms:W3CDTF">2025-10-13T12:35:17Z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