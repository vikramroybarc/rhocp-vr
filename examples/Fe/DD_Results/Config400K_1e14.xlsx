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65" windowHeight="12990" tabRatio="500" firstSheet="1" activeTab="6"/>
  </bookViews>
  <sheets>
    <sheet name="Graphs" sheetId="1" r:id="rId1"/>
    <sheet name="400K_SR20" sheetId="2" r:id="rId2"/>
    <sheet name="400K_SR20_Stress" sheetId="3" r:id="rId3"/>
    <sheet name="400K_SR40" sheetId="4" r:id="rId4"/>
    <sheet name="400K_SR40_Stress" sheetId="5" r:id="rId5"/>
    <sheet name="400K_SR100_Stress" sheetId="6" r:id="rId6"/>
    <sheet name="400K_SR100" sheetId="7" r:id="rId7"/>
    <sheet name="tauratio" sheetId="8" r:id="rId8"/>
    <sheet name="tauratio1" sheetId="9" r:id="rId9"/>
    <sheet name="tauratio3" sheetId="10" r:id="rId10"/>
  </sheets>
  <calcPr calcId="144525"/>
</workbook>
</file>

<file path=xl/comments1.xml><?xml version="1.0" encoding="utf-8"?>
<comments xmlns="http://schemas.openxmlformats.org/spreadsheetml/2006/main">
  <authors>
    <author>vikramr</author>
  </authors>
  <commentList>
    <comment ref="A1" authorId="0">
      <text>
        <r>
          <rPr>
            <b/>
            <sz val="9"/>
            <rFont val="Times New Roman"/>
            <charset val="0"/>
          </rPr>
          <t>vikramr:</t>
        </r>
        <r>
          <rPr>
            <sz val="9"/>
            <rFont val="Times New Roman"/>
            <charset val="0"/>
          </rPr>
          <t xml:space="preserve">
1-1.5%</t>
        </r>
      </text>
    </comment>
  </commentList>
</comments>
</file>

<file path=xl/comments2.xml><?xml version="1.0" encoding="utf-8"?>
<comments xmlns="http://schemas.openxmlformats.org/spreadsheetml/2006/main">
  <authors>
    <author>vikramr</author>
  </authors>
  <commentList>
    <comment ref="A1" authorId="0">
      <text>
        <r>
          <rPr>
            <b/>
            <sz val="9"/>
            <rFont val="Times New Roman"/>
            <charset val="0"/>
          </rPr>
          <t>vikramr:</t>
        </r>
        <r>
          <rPr>
            <sz val="9"/>
            <rFont val="Times New Roman"/>
            <charset val="0"/>
          </rPr>
          <t xml:space="preserve">
3.5-4% for 100C1, 100C2 and 100C3
</t>
        </r>
      </text>
    </comment>
  </commentList>
</comments>
</file>

<file path=xl/sharedStrings.xml><?xml version="1.0" encoding="utf-8"?>
<sst xmlns="http://schemas.openxmlformats.org/spreadsheetml/2006/main" count="171" uniqueCount="43">
  <si>
    <t>Factor</t>
  </si>
  <si>
    <t>Config1</t>
  </si>
  <si>
    <t>Config2</t>
  </si>
  <si>
    <t>Config4</t>
  </si>
  <si>
    <t>Pstrain</t>
  </si>
  <si>
    <t>Total</t>
  </si>
  <si>
    <t>Totalmin</t>
  </si>
  <si>
    <t>Totalmax</t>
  </si>
  <si>
    <t>Junction</t>
  </si>
  <si>
    <t>Junctionmin</t>
  </si>
  <si>
    <t>Junctionmax</t>
  </si>
  <si>
    <t>Config 1</t>
  </si>
  <si>
    <t>Config 2</t>
  </si>
  <si>
    <t>AverageValue of Last 0.5%</t>
  </si>
  <si>
    <t>TotalStress</t>
  </si>
  <si>
    <t>RhoI</t>
  </si>
  <si>
    <t>Rho</t>
  </si>
  <si>
    <t>TauF1</t>
  </si>
  <si>
    <t>TauF2</t>
  </si>
  <si>
    <t>TauF</t>
  </si>
  <si>
    <t>Tau</t>
  </si>
  <si>
    <t>Tau/TauF</t>
  </si>
  <si>
    <t>RhoI/Rho</t>
  </si>
  <si>
    <t>1-1.5%</t>
  </si>
  <si>
    <t>Config3</t>
  </si>
  <si>
    <t>Config</t>
  </si>
  <si>
    <t>C1</t>
  </si>
  <si>
    <t>C2</t>
  </si>
  <si>
    <t>C3</t>
  </si>
  <si>
    <t>3.5-4%</t>
  </si>
  <si>
    <t>StrainRate</t>
  </si>
  <si>
    <t>Strainrate</t>
  </si>
  <si>
    <t>Taup</t>
  </si>
  <si>
    <t>Taup/Sqrt(rhom)</t>
  </si>
  <si>
    <t>20C1</t>
  </si>
  <si>
    <t>20C2</t>
  </si>
  <si>
    <t>20C4</t>
  </si>
  <si>
    <t>40C1</t>
  </si>
  <si>
    <t>40C2</t>
  </si>
  <si>
    <t>40C3</t>
  </si>
  <si>
    <t>100C1</t>
  </si>
  <si>
    <t>100C2</t>
  </si>
  <si>
    <t>100C3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</si>
</sst>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34"/>
    </font>
    <font>
      <sz val="11"/>
      <name val="Calibri"/>
      <charset val="134"/>
    </font>
    <font>
      <sz val="10"/>
      <color rgb="FFCCCCCC"/>
      <name val="Consolas"/>
      <charset val="134"/>
    </font>
    <font>
      <sz val="10"/>
      <color rgb="FFB5CEA8"/>
      <name val="Consolas"/>
      <charset val="134"/>
    </font>
    <font>
      <sz val="10"/>
      <name val="Consolas"/>
      <charset val="134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2" fillId="5" borderId="5" applyNumberFormat="0" applyAlignment="0" applyProtection="0">
      <alignment vertical="center"/>
    </xf>
    <xf numFmtId="176" fontId="7" fillId="0" borderId="0" applyBorder="0" applyAlignment="0" applyProtection="0"/>
    <xf numFmtId="0" fontId="8" fillId="8" borderId="0" applyNumberFormat="0" applyBorder="0" applyAlignment="0" applyProtection="0">
      <alignment vertical="center"/>
    </xf>
    <xf numFmtId="0" fontId="24" fillId="21" borderId="6" applyNumberFormat="0" applyFont="0" applyAlignment="0" applyProtection="0">
      <alignment vertical="center"/>
    </xf>
    <xf numFmtId="0" fontId="14" fillId="7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177" fontId="7" fillId="0" borderId="0" applyBorder="0" applyAlignment="0" applyProtection="0"/>
    <xf numFmtId="0" fontId="8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7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8" fontId="7" fillId="0" borderId="0" applyBorder="0" applyAlignment="0" applyProtection="0"/>
    <xf numFmtId="0" fontId="19" fillId="16" borderId="4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9" fontId="7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Alignment="1" applyProtection="1"/>
    <xf numFmtId="2" fontId="0" fillId="0" borderId="0" xfId="0" applyNumberFormat="1" applyFont="1" applyAlignment="1" applyProtection="1"/>
    <xf numFmtId="2" fontId="0" fillId="0" borderId="0" xfId="0" applyNumberFormat="1" applyAlignment="1" applyProtection="1"/>
    <xf numFmtId="2" fontId="0" fillId="0" borderId="0" xfId="0" applyNumberFormat="1" applyFont="1" applyFill="1" applyAlignment="1" applyProtection="1"/>
    <xf numFmtId="0" fontId="0" fillId="0" borderId="0" xfId="0" applyFont="1" applyFill="1" applyAlignment="1"/>
    <xf numFmtId="11" fontId="0" fillId="0" borderId="0" xfId="0" applyNumberFormat="1" applyAlignment="1" applyProtection="1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ill="1" applyAlignment="1" applyProtection="1"/>
    <xf numFmtId="11" fontId="0" fillId="2" borderId="0" xfId="0" applyNumberFormat="1" applyFill="1" applyAlignment="1" applyProtection="1"/>
    <xf numFmtId="2" fontId="0" fillId="2" borderId="0" xfId="0" applyNumberFormat="1" applyFill="1" applyAlignment="1" applyProtection="1"/>
    <xf numFmtId="11" fontId="2" fillId="0" borderId="0" xfId="0" applyNumberFormat="1" applyFont="1" applyAlignment="1" applyProtection="1">
      <alignment vertical="center"/>
    </xf>
    <xf numFmtId="11" fontId="3" fillId="0" borderId="0" xfId="0" applyNumberFormat="1" applyFont="1" applyAlignment="1" applyProtection="1">
      <alignment vertical="center"/>
    </xf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11" fontId="4" fillId="0" borderId="0" xfId="0" applyNumberFormat="1" applyFont="1" applyAlignment="1" applyProtection="1">
      <alignment vertic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11" fontId="0" fillId="0" borderId="0" xfId="0" applyNumberFormat="1" applyFont="1" applyAlignment="1" applyProtection="1"/>
    <xf numFmtId="11" fontId="0" fillId="0" borderId="0" xfId="0" applyNumberFormat="1" applyFont="1" applyBorder="1" applyAlignment="1" applyProtection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5CEA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X41" sqref="X41"/>
    </sheetView>
  </sheetViews>
  <sheetFormatPr defaultColWidth="9.00666666666667" defaultRowHeight="15" customHeight="1" outlineLevelRow="1" outlineLevelCol="1"/>
  <sheetData>
    <row r="1" customHeight="1" spans="1:2">
      <c r="A1" s="1" t="s">
        <v>0</v>
      </c>
      <c r="B1" s="1">
        <v>0.375</v>
      </c>
    </row>
    <row r="2" customHeight="1" spans="1:2">
      <c r="A2" s="1" t="s">
        <v>0</v>
      </c>
      <c r="B2" s="1">
        <v>0.05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2"/>
  <sheetViews>
    <sheetView workbookViewId="0">
      <selection activeCell="A16" sqref="A16"/>
    </sheetView>
  </sheetViews>
  <sheetFormatPr defaultColWidth="9.00666666666667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3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6">
        <v>0.000974606</v>
      </c>
      <c r="B2" s="6">
        <v>0.00150155</v>
      </c>
      <c r="C2" s="6">
        <v>127284000000000</v>
      </c>
      <c r="D2" s="6">
        <v>14477900000</v>
      </c>
      <c r="E2" s="6">
        <v>0</v>
      </c>
      <c r="F2" s="6">
        <v>0</v>
      </c>
      <c r="G2" s="6">
        <v>2</v>
      </c>
      <c r="H2" s="6">
        <v>29639100000000</v>
      </c>
      <c r="I2" s="6">
        <v>28593800000000</v>
      </c>
      <c r="J2" s="6">
        <v>29237100000000</v>
      </c>
      <c r="K2" s="6">
        <v>29314100000000</v>
      </c>
      <c r="L2" s="6">
        <v>10500100000000</v>
      </c>
      <c r="N2" s="6">
        <v>0.000990369</v>
      </c>
      <c r="O2" s="6">
        <v>0.00146597</v>
      </c>
      <c r="P2" s="6">
        <v>127455000000000</v>
      </c>
      <c r="Q2" s="6">
        <v>12050900000</v>
      </c>
      <c r="R2" s="6">
        <v>0</v>
      </c>
      <c r="S2" s="6">
        <v>0</v>
      </c>
      <c r="T2" s="6">
        <v>2</v>
      </c>
      <c r="U2" s="6">
        <v>30201100000000</v>
      </c>
      <c r="V2" s="6">
        <v>30221000000000</v>
      </c>
      <c r="W2" s="6">
        <v>30057900000000</v>
      </c>
      <c r="X2" s="6">
        <v>29634800000000</v>
      </c>
      <c r="Y2" s="6">
        <v>7340730000000</v>
      </c>
      <c r="AA2" s="6">
        <v>0.000989107</v>
      </c>
      <c r="AB2" s="6">
        <v>0.00149807</v>
      </c>
      <c r="AC2" s="6">
        <v>127202000000000</v>
      </c>
      <c r="AD2" s="6">
        <v>11494000000</v>
      </c>
      <c r="AE2" s="6">
        <v>0</v>
      </c>
      <c r="AF2" s="6">
        <v>0</v>
      </c>
      <c r="AG2" s="6">
        <v>2</v>
      </c>
      <c r="AH2" s="6">
        <v>28941700000000</v>
      </c>
      <c r="AI2" s="6">
        <v>29024000000000</v>
      </c>
      <c r="AJ2" s="6">
        <v>29174000000000</v>
      </c>
      <c r="AK2" s="6">
        <v>28900200000000</v>
      </c>
      <c r="AL2" s="6">
        <v>11161900000000</v>
      </c>
      <c r="AN2" s="6">
        <f t="shared" ref="AN2:AN31" si="0">A2</f>
        <v>0.000974606</v>
      </c>
      <c r="AO2" s="6">
        <f t="shared" ref="AO2:AO31" si="1">(C2)</f>
        <v>127284000000000</v>
      </c>
      <c r="AP2" s="6">
        <f t="shared" ref="AP2:AP31" si="2">MIN(C2,P2,AC2)</f>
        <v>127202000000000</v>
      </c>
      <c r="AQ2" s="6">
        <f t="shared" ref="AQ2:AQ31" si="3">MAX(C2,P2,AC2)</f>
        <v>127455000000000</v>
      </c>
      <c r="AR2" s="6">
        <f t="shared" ref="AR2:AR31" si="4">(L2)</f>
        <v>10500100000000</v>
      </c>
      <c r="AS2" s="6">
        <f t="shared" ref="AS2:AS31" si="5">MIN(L2,Y2,AL2)</f>
        <v>7340730000000</v>
      </c>
      <c r="AT2" s="6">
        <f t="shared" ref="AT2:AT31" si="6">MAX(L2,Y2,AL2)</f>
        <v>11161900000000</v>
      </c>
    </row>
    <row r="3" customHeight="1" spans="1:46">
      <c r="A3" s="6">
        <v>0.00204321</v>
      </c>
      <c r="B3" s="6">
        <v>0.0025157</v>
      </c>
      <c r="C3" s="6">
        <v>126680000000000</v>
      </c>
      <c r="D3" s="6">
        <v>14707700000</v>
      </c>
      <c r="E3" s="6">
        <v>0</v>
      </c>
      <c r="F3" s="6">
        <v>0</v>
      </c>
      <c r="G3" s="6">
        <v>2</v>
      </c>
      <c r="H3" s="6">
        <v>28920900000000</v>
      </c>
      <c r="I3" s="6">
        <v>27950400000000</v>
      </c>
      <c r="J3" s="6">
        <v>28479100000000</v>
      </c>
      <c r="K3" s="6">
        <v>27912600000000</v>
      </c>
      <c r="L3" s="6">
        <v>13417100000000</v>
      </c>
      <c r="N3" s="6">
        <v>0.002124</v>
      </c>
      <c r="O3" s="6">
        <v>0.0025927</v>
      </c>
      <c r="P3" s="6">
        <v>127113000000000</v>
      </c>
      <c r="Q3" s="6">
        <v>29148300000</v>
      </c>
      <c r="R3" s="6">
        <v>0</v>
      </c>
      <c r="S3" s="6">
        <v>0</v>
      </c>
      <c r="T3" s="6">
        <v>2</v>
      </c>
      <c r="U3" s="6">
        <v>28811800000000</v>
      </c>
      <c r="V3" s="6">
        <v>29214300000000</v>
      </c>
      <c r="W3" s="6">
        <v>29156000000000</v>
      </c>
      <c r="X3" s="6">
        <v>28961900000000</v>
      </c>
      <c r="Y3" s="6">
        <v>10968700000000</v>
      </c>
      <c r="AA3" s="6">
        <v>0.00201989</v>
      </c>
      <c r="AB3" s="6">
        <v>0.00256861</v>
      </c>
      <c r="AC3" s="6">
        <v>127651000000000</v>
      </c>
      <c r="AD3" s="6">
        <v>2929670000</v>
      </c>
      <c r="AE3" s="6">
        <v>0</v>
      </c>
      <c r="AF3" s="6">
        <v>0</v>
      </c>
      <c r="AG3" s="6">
        <v>2</v>
      </c>
      <c r="AH3" s="6">
        <v>27792100000000</v>
      </c>
      <c r="AI3" s="6">
        <v>28187900000000</v>
      </c>
      <c r="AJ3" s="6">
        <v>28398300000000</v>
      </c>
      <c r="AK3" s="6">
        <v>27951000000000</v>
      </c>
      <c r="AL3" s="6">
        <v>15321700000000</v>
      </c>
      <c r="AN3" s="6">
        <f t="shared" si="0"/>
        <v>0.00204321</v>
      </c>
      <c r="AO3" s="6">
        <f t="shared" si="1"/>
        <v>126680000000000</v>
      </c>
      <c r="AP3" s="6">
        <f t="shared" si="2"/>
        <v>126680000000000</v>
      </c>
      <c r="AQ3" s="6">
        <f t="shared" si="3"/>
        <v>127651000000000</v>
      </c>
      <c r="AR3" s="6">
        <f t="shared" si="4"/>
        <v>13417100000000</v>
      </c>
      <c r="AS3" s="6">
        <f t="shared" si="5"/>
        <v>10968700000000</v>
      </c>
      <c r="AT3" s="6">
        <f t="shared" si="6"/>
        <v>15321700000000</v>
      </c>
    </row>
    <row r="4" customHeight="1" spans="1:46">
      <c r="A4" s="6">
        <v>0.00297351</v>
      </c>
      <c r="B4" s="6">
        <v>0.00347727</v>
      </c>
      <c r="C4" s="6">
        <v>127092000000000</v>
      </c>
      <c r="D4" s="6">
        <v>16262200000</v>
      </c>
      <c r="E4" s="6">
        <v>0</v>
      </c>
      <c r="F4" s="6">
        <v>0</v>
      </c>
      <c r="G4" s="6">
        <v>2</v>
      </c>
      <c r="H4" s="6">
        <v>28458200000000</v>
      </c>
      <c r="I4" s="6">
        <v>27950600000000</v>
      </c>
      <c r="J4" s="6">
        <v>28270700000000</v>
      </c>
      <c r="K4" s="6">
        <v>27270000000000</v>
      </c>
      <c r="L4" s="6">
        <v>15141500000000</v>
      </c>
      <c r="N4" s="6">
        <v>0.00306679</v>
      </c>
      <c r="O4" s="6">
        <v>0.00347771</v>
      </c>
      <c r="P4" s="6">
        <v>126808000000000</v>
      </c>
      <c r="Q4" s="6">
        <v>19662500000</v>
      </c>
      <c r="R4" s="6">
        <v>0</v>
      </c>
      <c r="S4" s="6">
        <v>0</v>
      </c>
      <c r="T4" s="6">
        <v>2</v>
      </c>
      <c r="U4" s="6">
        <v>28172400000000</v>
      </c>
      <c r="V4" s="6">
        <v>29271600000000</v>
      </c>
      <c r="W4" s="6">
        <v>29072500000000</v>
      </c>
      <c r="X4" s="6">
        <v>29351600000000</v>
      </c>
      <c r="Y4" s="6">
        <v>10940300000000</v>
      </c>
      <c r="AA4" s="6">
        <v>0.00323733</v>
      </c>
      <c r="AB4" s="6">
        <v>0.00381179</v>
      </c>
      <c r="AC4" s="6">
        <v>127281000000000</v>
      </c>
      <c r="AD4" s="6">
        <v>10309000000</v>
      </c>
      <c r="AE4" s="6">
        <v>0</v>
      </c>
      <c r="AF4" s="6">
        <v>0</v>
      </c>
      <c r="AG4" s="6">
        <v>2</v>
      </c>
      <c r="AH4" s="6">
        <v>27188400000000</v>
      </c>
      <c r="AI4" s="6">
        <v>27115500000000</v>
      </c>
      <c r="AJ4" s="6">
        <v>27814300000000</v>
      </c>
      <c r="AK4" s="6">
        <v>28420900000000</v>
      </c>
      <c r="AL4" s="6">
        <v>16741700000000</v>
      </c>
      <c r="AN4" s="6">
        <f t="shared" si="0"/>
        <v>0.00297351</v>
      </c>
      <c r="AO4" s="6">
        <f t="shared" si="1"/>
        <v>127092000000000</v>
      </c>
      <c r="AP4" s="6">
        <f t="shared" si="2"/>
        <v>126808000000000</v>
      </c>
      <c r="AQ4" s="6">
        <f t="shared" si="3"/>
        <v>127281000000000</v>
      </c>
      <c r="AR4" s="6">
        <f t="shared" si="4"/>
        <v>15141500000000</v>
      </c>
      <c r="AS4" s="6">
        <f t="shared" si="5"/>
        <v>10940300000000</v>
      </c>
      <c r="AT4" s="6">
        <f t="shared" si="6"/>
        <v>16741700000000</v>
      </c>
    </row>
    <row r="5" customHeight="1" spans="1:46">
      <c r="A5" s="6">
        <v>0.00403768</v>
      </c>
      <c r="B5" s="6">
        <v>0.00456</v>
      </c>
      <c r="C5" s="6">
        <v>126962000000000</v>
      </c>
      <c r="D5" s="6">
        <v>5676670000</v>
      </c>
      <c r="E5" s="6">
        <v>0</v>
      </c>
      <c r="F5" s="6">
        <v>0</v>
      </c>
      <c r="G5" s="6">
        <v>2</v>
      </c>
      <c r="H5" s="6">
        <v>28519900000000</v>
      </c>
      <c r="I5" s="6">
        <v>27585700000000</v>
      </c>
      <c r="J5" s="6">
        <v>27891000000000</v>
      </c>
      <c r="K5" s="6">
        <v>26837900000000</v>
      </c>
      <c r="L5" s="6">
        <v>16127400000000</v>
      </c>
      <c r="N5" s="6">
        <v>0.00400013</v>
      </c>
      <c r="O5" s="6">
        <v>0.00443865</v>
      </c>
      <c r="P5" s="6">
        <v>126542000000000</v>
      </c>
      <c r="Q5" s="6">
        <v>16871300000</v>
      </c>
      <c r="R5" s="6">
        <v>0</v>
      </c>
      <c r="S5" s="6">
        <v>0</v>
      </c>
      <c r="T5" s="6">
        <v>2</v>
      </c>
      <c r="U5" s="6">
        <v>27236400000000</v>
      </c>
      <c r="V5" s="6">
        <v>28773400000000</v>
      </c>
      <c r="W5" s="6">
        <v>27638900000000</v>
      </c>
      <c r="X5" s="6">
        <v>28423700000000</v>
      </c>
      <c r="Y5" s="6">
        <v>14469200000000</v>
      </c>
      <c r="AA5" s="6">
        <v>0.00398168</v>
      </c>
      <c r="AB5" s="6">
        <v>0.00455409</v>
      </c>
      <c r="AC5" s="6">
        <v>127170000000000</v>
      </c>
      <c r="AD5" s="6">
        <v>8632600000</v>
      </c>
      <c r="AE5" s="6">
        <v>0</v>
      </c>
      <c r="AF5" s="6">
        <v>0</v>
      </c>
      <c r="AG5" s="6">
        <v>2</v>
      </c>
      <c r="AH5" s="6">
        <v>27577500000000</v>
      </c>
      <c r="AI5" s="6">
        <v>28033400000000</v>
      </c>
      <c r="AJ5" s="6">
        <v>27536500000000</v>
      </c>
      <c r="AK5" s="6">
        <v>27789200000000</v>
      </c>
      <c r="AL5" s="6">
        <v>16233100000000</v>
      </c>
      <c r="AN5" s="6">
        <f t="shared" si="0"/>
        <v>0.00403768</v>
      </c>
      <c r="AO5" s="6">
        <f t="shared" si="1"/>
        <v>126962000000000</v>
      </c>
      <c r="AP5" s="6">
        <f t="shared" si="2"/>
        <v>126542000000000</v>
      </c>
      <c r="AQ5" s="6">
        <f t="shared" si="3"/>
        <v>127170000000000</v>
      </c>
      <c r="AR5" s="6">
        <f t="shared" si="4"/>
        <v>16127400000000</v>
      </c>
      <c r="AS5" s="6">
        <f t="shared" si="5"/>
        <v>14469200000000</v>
      </c>
      <c r="AT5" s="6">
        <f t="shared" si="6"/>
        <v>16233100000000</v>
      </c>
    </row>
    <row r="6" customHeight="1" spans="1:46">
      <c r="A6" s="6">
        <v>0.00499008</v>
      </c>
      <c r="B6" s="6">
        <v>0.0055361</v>
      </c>
      <c r="C6" s="6">
        <v>127211000000000</v>
      </c>
      <c r="D6" s="6">
        <v>15526300000</v>
      </c>
      <c r="E6" s="6">
        <v>0</v>
      </c>
      <c r="F6" s="6">
        <v>0</v>
      </c>
      <c r="G6" s="6">
        <v>2</v>
      </c>
      <c r="H6" s="6">
        <v>28434800000000</v>
      </c>
      <c r="I6" s="6">
        <v>27310900000000</v>
      </c>
      <c r="J6" s="6">
        <v>27788700000000</v>
      </c>
      <c r="K6" s="6">
        <v>26949300000000</v>
      </c>
      <c r="L6" s="6">
        <v>16726800000000</v>
      </c>
      <c r="N6" s="6">
        <v>0.0050262</v>
      </c>
      <c r="O6" s="6">
        <v>0.00545315</v>
      </c>
      <c r="P6" s="6">
        <v>125886000000000</v>
      </c>
      <c r="Q6" s="6">
        <v>30786600000</v>
      </c>
      <c r="R6" s="6">
        <v>0</v>
      </c>
      <c r="S6" s="6">
        <v>0</v>
      </c>
      <c r="T6" s="6">
        <v>2</v>
      </c>
      <c r="U6" s="6">
        <v>26663400000000</v>
      </c>
      <c r="V6" s="6">
        <v>28167600000000</v>
      </c>
      <c r="W6" s="6">
        <v>26617200000000</v>
      </c>
      <c r="X6" s="6">
        <v>27957700000000</v>
      </c>
      <c r="Y6" s="6">
        <v>16479700000000</v>
      </c>
      <c r="AA6" s="6">
        <v>0.00498484</v>
      </c>
      <c r="AB6" s="6">
        <v>0.0055331</v>
      </c>
      <c r="AC6" s="6">
        <v>127370000000000</v>
      </c>
      <c r="AD6" s="6">
        <v>16666600000</v>
      </c>
      <c r="AE6" s="6">
        <v>0</v>
      </c>
      <c r="AF6" s="6">
        <v>0</v>
      </c>
      <c r="AG6" s="6">
        <v>2</v>
      </c>
      <c r="AH6" s="6">
        <v>27484800000000</v>
      </c>
      <c r="AI6" s="6">
        <v>28263000000000</v>
      </c>
      <c r="AJ6" s="6">
        <v>27943400000000</v>
      </c>
      <c r="AK6" s="6">
        <v>27551400000000</v>
      </c>
      <c r="AL6" s="6">
        <v>16127600000000</v>
      </c>
      <c r="AN6" s="6">
        <f t="shared" si="0"/>
        <v>0.00499008</v>
      </c>
      <c r="AO6" s="6">
        <f t="shared" si="1"/>
        <v>127211000000000</v>
      </c>
      <c r="AP6" s="6">
        <f t="shared" si="2"/>
        <v>125886000000000</v>
      </c>
      <c r="AQ6" s="6">
        <f t="shared" si="3"/>
        <v>127370000000000</v>
      </c>
      <c r="AR6" s="6">
        <f t="shared" si="4"/>
        <v>16726800000000</v>
      </c>
      <c r="AS6" s="6">
        <f t="shared" si="5"/>
        <v>16127600000000</v>
      </c>
      <c r="AT6" s="6">
        <f t="shared" si="6"/>
        <v>16726800000000</v>
      </c>
    </row>
    <row r="7" customHeight="1" spans="1:46">
      <c r="A7" s="6">
        <v>0.00601634</v>
      </c>
      <c r="B7" s="6">
        <v>0.00653276</v>
      </c>
      <c r="C7" s="6">
        <v>127545000000000</v>
      </c>
      <c r="D7" s="6">
        <v>19131200000</v>
      </c>
      <c r="E7" s="6">
        <v>0</v>
      </c>
      <c r="F7" s="6">
        <v>0</v>
      </c>
      <c r="G7" s="6">
        <v>2</v>
      </c>
      <c r="H7" s="6">
        <v>28981100000000</v>
      </c>
      <c r="I7" s="6">
        <v>27552800000000</v>
      </c>
      <c r="J7" s="6">
        <v>27562500000000</v>
      </c>
      <c r="K7" s="6">
        <v>27778700000000</v>
      </c>
      <c r="L7" s="6">
        <v>15669800000000</v>
      </c>
      <c r="N7" s="6">
        <v>0.00609306</v>
      </c>
      <c r="O7" s="6">
        <v>0.00650958</v>
      </c>
      <c r="P7" s="6">
        <v>125931000000000</v>
      </c>
      <c r="Q7" s="6">
        <v>11745000000</v>
      </c>
      <c r="R7" s="6">
        <v>0</v>
      </c>
      <c r="S7" s="6">
        <v>0</v>
      </c>
      <c r="T7" s="6">
        <v>2</v>
      </c>
      <c r="U7" s="6">
        <v>26652600000000</v>
      </c>
      <c r="V7" s="6">
        <v>28343900000000</v>
      </c>
      <c r="W7" s="6">
        <v>27105800000000</v>
      </c>
      <c r="X7" s="6">
        <v>28229000000000</v>
      </c>
      <c r="Y7" s="6">
        <v>15599800000000</v>
      </c>
      <c r="AA7" s="6">
        <v>0.00600329</v>
      </c>
      <c r="AB7" s="6">
        <v>0.00656032</v>
      </c>
      <c r="AC7" s="6">
        <v>127498000000000</v>
      </c>
      <c r="AD7" s="6">
        <v>12154900000</v>
      </c>
      <c r="AE7" s="6">
        <v>0</v>
      </c>
      <c r="AF7" s="6">
        <v>0</v>
      </c>
      <c r="AG7" s="6">
        <v>2</v>
      </c>
      <c r="AH7" s="6">
        <v>27468900000000</v>
      </c>
      <c r="AI7" s="6">
        <v>28286400000000</v>
      </c>
      <c r="AJ7" s="6">
        <v>27587100000000</v>
      </c>
      <c r="AK7" s="6">
        <v>27444800000000</v>
      </c>
      <c r="AL7" s="6">
        <v>16710800000000</v>
      </c>
      <c r="AN7" s="6">
        <f t="shared" si="0"/>
        <v>0.00601634</v>
      </c>
      <c r="AO7" s="6">
        <f t="shared" si="1"/>
        <v>127545000000000</v>
      </c>
      <c r="AP7" s="6">
        <f t="shared" si="2"/>
        <v>125931000000000</v>
      </c>
      <c r="AQ7" s="6">
        <f t="shared" si="3"/>
        <v>127545000000000</v>
      </c>
      <c r="AR7" s="6">
        <f t="shared" si="4"/>
        <v>15669800000000</v>
      </c>
      <c r="AS7" s="6">
        <f t="shared" si="5"/>
        <v>15599800000000</v>
      </c>
      <c r="AT7" s="6">
        <f t="shared" si="6"/>
        <v>16710800000000</v>
      </c>
    </row>
    <row r="8" customHeight="1" spans="1:46">
      <c r="A8" s="6">
        <v>0.00699688</v>
      </c>
      <c r="B8" s="6">
        <v>0.00755531</v>
      </c>
      <c r="C8" s="6">
        <v>128202000000000</v>
      </c>
      <c r="D8" s="6">
        <v>5368550000</v>
      </c>
      <c r="E8" s="6">
        <v>0</v>
      </c>
      <c r="F8" s="6">
        <v>0</v>
      </c>
      <c r="G8" s="6">
        <v>2</v>
      </c>
      <c r="H8" s="6">
        <v>27688200000000</v>
      </c>
      <c r="I8" s="6">
        <v>27815100000000</v>
      </c>
      <c r="J8" s="6">
        <v>27630400000000</v>
      </c>
      <c r="K8" s="6">
        <v>27648000000000</v>
      </c>
      <c r="L8" s="6">
        <v>17417300000000</v>
      </c>
      <c r="N8" s="6">
        <v>0.00699312</v>
      </c>
      <c r="O8" s="6">
        <v>0.0073905</v>
      </c>
      <c r="P8" s="6">
        <v>125813000000000</v>
      </c>
      <c r="Q8" s="6">
        <v>10788600000</v>
      </c>
      <c r="R8" s="6">
        <v>0</v>
      </c>
      <c r="S8" s="6">
        <v>0</v>
      </c>
      <c r="T8" s="6">
        <v>2</v>
      </c>
      <c r="U8" s="6">
        <v>27055400000000</v>
      </c>
      <c r="V8" s="6">
        <v>28463700000000</v>
      </c>
      <c r="W8" s="6">
        <v>27591200000000</v>
      </c>
      <c r="X8" s="6">
        <v>28462100000000</v>
      </c>
      <c r="Y8" s="6">
        <v>14240600000000</v>
      </c>
      <c r="AA8" s="6">
        <v>0.00695664</v>
      </c>
      <c r="AB8" s="6">
        <v>0.00745313</v>
      </c>
      <c r="AC8" s="6">
        <v>126872000000000</v>
      </c>
      <c r="AD8" s="6">
        <v>13096600000</v>
      </c>
      <c r="AE8" s="6">
        <v>0</v>
      </c>
      <c r="AF8" s="6">
        <v>0</v>
      </c>
      <c r="AG8" s="6">
        <v>2</v>
      </c>
      <c r="AH8" s="6">
        <v>27337100000000</v>
      </c>
      <c r="AI8" s="6">
        <v>28922800000000</v>
      </c>
      <c r="AJ8" s="6">
        <v>27489700000000</v>
      </c>
      <c r="AK8" s="6">
        <v>27514800000000</v>
      </c>
      <c r="AL8" s="6">
        <v>15607900000000</v>
      </c>
      <c r="AN8" s="6">
        <f t="shared" si="0"/>
        <v>0.00699688</v>
      </c>
      <c r="AO8" s="6">
        <f t="shared" si="1"/>
        <v>128202000000000</v>
      </c>
      <c r="AP8" s="6">
        <f t="shared" si="2"/>
        <v>125813000000000</v>
      </c>
      <c r="AQ8" s="6">
        <f t="shared" si="3"/>
        <v>128202000000000</v>
      </c>
      <c r="AR8" s="6">
        <f t="shared" si="4"/>
        <v>17417300000000</v>
      </c>
      <c r="AS8" s="6">
        <f t="shared" si="5"/>
        <v>14240600000000</v>
      </c>
      <c r="AT8" s="6">
        <f t="shared" si="6"/>
        <v>17417300000000</v>
      </c>
    </row>
    <row r="9" customHeight="1" spans="1:46">
      <c r="A9" s="6">
        <v>0.00803321</v>
      </c>
      <c r="B9" s="6">
        <v>0.0086379</v>
      </c>
      <c r="C9" s="6">
        <v>128691000000000</v>
      </c>
      <c r="D9" s="6">
        <v>9487620000</v>
      </c>
      <c r="E9" s="6">
        <v>0</v>
      </c>
      <c r="F9" s="6">
        <v>0</v>
      </c>
      <c r="G9" s="6">
        <v>2</v>
      </c>
      <c r="H9" s="6">
        <v>27040000000000</v>
      </c>
      <c r="I9" s="6">
        <v>26634600000000</v>
      </c>
      <c r="J9" s="6">
        <v>27421100000000</v>
      </c>
      <c r="K9" s="6">
        <v>26684300000000</v>
      </c>
      <c r="L9" s="6">
        <v>20891300000000</v>
      </c>
      <c r="N9" s="6">
        <v>0.0080631</v>
      </c>
      <c r="O9" s="6">
        <v>0.00847194</v>
      </c>
      <c r="P9" s="6">
        <v>125469000000000</v>
      </c>
      <c r="Q9" s="6">
        <v>9402100000</v>
      </c>
      <c r="R9" s="6">
        <v>0</v>
      </c>
      <c r="S9" s="6">
        <v>0</v>
      </c>
      <c r="T9" s="6">
        <v>2</v>
      </c>
      <c r="U9" s="6">
        <v>26835500000000</v>
      </c>
      <c r="V9" s="6">
        <v>27714700000000</v>
      </c>
      <c r="W9" s="6">
        <v>27044200000000</v>
      </c>
      <c r="X9" s="6">
        <v>27929200000000</v>
      </c>
      <c r="Y9" s="6">
        <v>15945000000000</v>
      </c>
      <c r="AA9" s="6">
        <v>0.00812375</v>
      </c>
      <c r="AB9" s="6">
        <v>0.00861937</v>
      </c>
      <c r="AC9" s="6">
        <v>126697000000000</v>
      </c>
      <c r="AD9" s="6">
        <v>6717800000</v>
      </c>
      <c r="AE9" s="6">
        <v>0</v>
      </c>
      <c r="AF9" s="6">
        <v>0</v>
      </c>
      <c r="AG9" s="6">
        <v>2</v>
      </c>
      <c r="AH9" s="6">
        <v>27664900000000</v>
      </c>
      <c r="AI9" s="6">
        <v>28583300000000</v>
      </c>
      <c r="AJ9" s="6">
        <v>27820300000000</v>
      </c>
      <c r="AK9" s="6">
        <v>27585500000000</v>
      </c>
      <c r="AL9" s="6">
        <v>15040600000000</v>
      </c>
      <c r="AN9" s="6">
        <f t="shared" si="0"/>
        <v>0.00803321</v>
      </c>
      <c r="AO9" s="6">
        <f t="shared" si="1"/>
        <v>128691000000000</v>
      </c>
      <c r="AP9" s="6">
        <f t="shared" si="2"/>
        <v>125469000000000</v>
      </c>
      <c r="AQ9" s="6">
        <f t="shared" si="3"/>
        <v>128691000000000</v>
      </c>
      <c r="AR9" s="6">
        <f t="shared" si="4"/>
        <v>20891300000000</v>
      </c>
      <c r="AS9" s="6">
        <f t="shared" si="5"/>
        <v>15040600000000</v>
      </c>
      <c r="AT9" s="6">
        <f t="shared" si="6"/>
        <v>20891300000000</v>
      </c>
    </row>
    <row r="10" customHeight="1" spans="1:46">
      <c r="A10" s="6">
        <v>0.00900416</v>
      </c>
      <c r="B10" s="6">
        <v>0.00960398</v>
      </c>
      <c r="C10" s="6">
        <v>129237000000000</v>
      </c>
      <c r="D10" s="6">
        <v>28134000000</v>
      </c>
      <c r="E10" s="6">
        <v>0</v>
      </c>
      <c r="F10" s="6">
        <v>0</v>
      </c>
      <c r="G10" s="6">
        <v>2</v>
      </c>
      <c r="H10" s="6">
        <v>26029900000000</v>
      </c>
      <c r="I10" s="6">
        <v>26062800000000</v>
      </c>
      <c r="J10" s="6">
        <v>27337600000000</v>
      </c>
      <c r="K10" s="6">
        <v>26065500000000</v>
      </c>
      <c r="L10" s="6">
        <v>23740700000000</v>
      </c>
      <c r="N10" s="6">
        <v>0.00900432</v>
      </c>
      <c r="O10" s="6">
        <v>0.0093911</v>
      </c>
      <c r="P10" s="6">
        <v>125539000000000</v>
      </c>
      <c r="Q10" s="6">
        <v>59222400000</v>
      </c>
      <c r="R10" s="6">
        <v>0</v>
      </c>
      <c r="S10" s="6">
        <v>0</v>
      </c>
      <c r="T10" s="6">
        <v>2</v>
      </c>
      <c r="U10" s="6">
        <v>27160000000000</v>
      </c>
      <c r="V10" s="6">
        <v>27980400000000</v>
      </c>
      <c r="W10" s="6">
        <v>27384600000000</v>
      </c>
      <c r="X10" s="6">
        <v>28259000000000</v>
      </c>
      <c r="Y10" s="6">
        <v>14755000000000</v>
      </c>
      <c r="AA10" s="6">
        <v>0.0090335</v>
      </c>
      <c r="AB10" s="6">
        <v>0.00953471</v>
      </c>
      <c r="AC10" s="6">
        <v>126930000000000</v>
      </c>
      <c r="AD10" s="6">
        <v>7955250000</v>
      </c>
      <c r="AE10" s="6">
        <v>0</v>
      </c>
      <c r="AF10" s="6">
        <v>0</v>
      </c>
      <c r="AG10" s="6">
        <v>2</v>
      </c>
      <c r="AH10" s="6">
        <v>27742300000000</v>
      </c>
      <c r="AI10" s="6">
        <v>28216400000000</v>
      </c>
      <c r="AJ10" s="6">
        <v>27764000000000</v>
      </c>
      <c r="AK10" s="6">
        <v>27665100000000</v>
      </c>
      <c r="AL10" s="6">
        <v>15542000000000</v>
      </c>
      <c r="AN10" s="6">
        <f t="shared" si="0"/>
        <v>0.00900416</v>
      </c>
      <c r="AO10" s="6">
        <f t="shared" si="1"/>
        <v>129237000000000</v>
      </c>
      <c r="AP10" s="6">
        <f t="shared" si="2"/>
        <v>125539000000000</v>
      </c>
      <c r="AQ10" s="6">
        <f t="shared" si="3"/>
        <v>129237000000000</v>
      </c>
      <c r="AR10" s="6">
        <f t="shared" si="4"/>
        <v>23740700000000</v>
      </c>
      <c r="AS10" s="6">
        <f t="shared" si="5"/>
        <v>14755000000000</v>
      </c>
      <c r="AT10" s="6">
        <f t="shared" si="6"/>
        <v>23740700000000</v>
      </c>
    </row>
    <row r="11" customHeight="1" spans="1:46">
      <c r="A11" s="6">
        <v>0.0100131</v>
      </c>
      <c r="B11" s="6">
        <v>0.010564</v>
      </c>
      <c r="C11" s="6">
        <v>128056000000000</v>
      </c>
      <c r="D11" s="6">
        <v>14017500000</v>
      </c>
      <c r="E11" s="6">
        <v>0</v>
      </c>
      <c r="F11" s="6">
        <v>0</v>
      </c>
      <c r="G11" s="6">
        <v>2</v>
      </c>
      <c r="H11" s="6">
        <v>24064100000000</v>
      </c>
      <c r="I11" s="6">
        <v>24332800000000</v>
      </c>
      <c r="J11" s="6">
        <v>26391200000000</v>
      </c>
      <c r="K11" s="6">
        <v>24953100000000</v>
      </c>
      <c r="L11" s="6">
        <v>28314100000000</v>
      </c>
      <c r="N11" s="6">
        <v>0.0100997</v>
      </c>
      <c r="O11" s="6">
        <v>0.0105104</v>
      </c>
      <c r="P11" s="6">
        <v>125822000000000</v>
      </c>
      <c r="Q11" s="6">
        <v>20807200000</v>
      </c>
      <c r="R11" s="6">
        <v>0</v>
      </c>
      <c r="S11" s="6">
        <v>0</v>
      </c>
      <c r="T11" s="6">
        <v>2</v>
      </c>
      <c r="U11" s="6">
        <v>27419900000000</v>
      </c>
      <c r="V11" s="6">
        <v>28433800000000</v>
      </c>
      <c r="W11" s="6">
        <v>27329100000000</v>
      </c>
      <c r="X11" s="6">
        <v>28258700000000</v>
      </c>
      <c r="Y11" s="6">
        <v>14380900000000</v>
      </c>
      <c r="AA11" s="6">
        <v>0.0100048</v>
      </c>
      <c r="AB11" s="6">
        <v>0.0104919</v>
      </c>
      <c r="AC11" s="6">
        <v>126540000000000</v>
      </c>
      <c r="AD11" s="6">
        <v>20161000000</v>
      </c>
      <c r="AE11" s="6">
        <v>0</v>
      </c>
      <c r="AF11" s="6">
        <v>0</v>
      </c>
      <c r="AG11" s="6">
        <v>2</v>
      </c>
      <c r="AH11" s="6">
        <v>27881200000000</v>
      </c>
      <c r="AI11" s="6">
        <v>28150200000000</v>
      </c>
      <c r="AJ11" s="6">
        <v>27968400000000</v>
      </c>
      <c r="AK11" s="6">
        <v>27167200000000</v>
      </c>
      <c r="AL11" s="6">
        <v>15371900000000</v>
      </c>
      <c r="AN11" s="6">
        <f t="shared" si="0"/>
        <v>0.0100131</v>
      </c>
      <c r="AO11" s="6">
        <f t="shared" si="1"/>
        <v>128056000000000</v>
      </c>
      <c r="AP11" s="6">
        <f t="shared" si="2"/>
        <v>125822000000000</v>
      </c>
      <c r="AQ11" s="6">
        <f t="shared" si="3"/>
        <v>128056000000000</v>
      </c>
      <c r="AR11" s="6">
        <f t="shared" si="4"/>
        <v>28314100000000</v>
      </c>
      <c r="AS11" s="6">
        <f t="shared" si="5"/>
        <v>14380900000000</v>
      </c>
      <c r="AT11" s="6">
        <f t="shared" si="6"/>
        <v>28314100000000</v>
      </c>
    </row>
    <row r="12" customHeight="1" spans="1:46">
      <c r="A12" s="6">
        <v>0.0110256</v>
      </c>
      <c r="B12" s="6">
        <v>0.0115959</v>
      </c>
      <c r="C12" s="6">
        <v>125926000000000</v>
      </c>
      <c r="D12" s="6">
        <v>4236480000</v>
      </c>
      <c r="E12" s="6">
        <v>0</v>
      </c>
      <c r="F12" s="6">
        <v>0</v>
      </c>
      <c r="G12" s="6">
        <v>2</v>
      </c>
      <c r="H12" s="6">
        <v>21301800000000</v>
      </c>
      <c r="I12" s="6">
        <v>21342400000000</v>
      </c>
      <c r="J12" s="6">
        <v>23043300000000</v>
      </c>
      <c r="K12" s="6">
        <v>23131700000000</v>
      </c>
      <c r="L12" s="6">
        <v>37106700000000</v>
      </c>
      <c r="N12" s="6">
        <v>0.0110179</v>
      </c>
      <c r="O12" s="6">
        <v>0.0114791</v>
      </c>
      <c r="P12" s="6">
        <v>125620000000000</v>
      </c>
      <c r="Q12" s="6">
        <v>83262400000</v>
      </c>
      <c r="R12" s="6">
        <v>0</v>
      </c>
      <c r="S12" s="6">
        <v>0</v>
      </c>
      <c r="T12" s="6">
        <v>2</v>
      </c>
      <c r="U12" s="6">
        <v>26405200000000</v>
      </c>
      <c r="V12" s="6">
        <v>27683500000000</v>
      </c>
      <c r="W12" s="6">
        <v>26885100000000</v>
      </c>
      <c r="X12" s="6">
        <v>27755500000000</v>
      </c>
      <c r="Y12" s="6">
        <v>16890300000000</v>
      </c>
      <c r="AA12" s="6">
        <v>0.0110689</v>
      </c>
      <c r="AB12" s="6">
        <v>0.0115566</v>
      </c>
      <c r="AC12" s="6">
        <v>126321000000000</v>
      </c>
      <c r="AD12" s="6">
        <v>6206200000</v>
      </c>
      <c r="AE12" s="6">
        <v>0</v>
      </c>
      <c r="AF12" s="6">
        <v>0</v>
      </c>
      <c r="AG12" s="6">
        <v>2</v>
      </c>
      <c r="AH12" s="6">
        <v>27960700000000</v>
      </c>
      <c r="AI12" s="6">
        <v>28684800000000</v>
      </c>
      <c r="AJ12" s="6">
        <v>28077200000000</v>
      </c>
      <c r="AK12" s="6">
        <v>27054400000000</v>
      </c>
      <c r="AL12" s="6">
        <v>14543500000000</v>
      </c>
      <c r="AN12" s="6">
        <f t="shared" si="0"/>
        <v>0.0110256</v>
      </c>
      <c r="AO12" s="6">
        <f t="shared" si="1"/>
        <v>125926000000000</v>
      </c>
      <c r="AP12" s="6">
        <f t="shared" si="2"/>
        <v>125620000000000</v>
      </c>
      <c r="AQ12" s="6">
        <f t="shared" si="3"/>
        <v>126321000000000</v>
      </c>
      <c r="AR12" s="6">
        <f t="shared" si="4"/>
        <v>37106700000000</v>
      </c>
      <c r="AS12" s="6">
        <f t="shared" si="5"/>
        <v>14543500000000</v>
      </c>
      <c r="AT12" s="6">
        <f t="shared" si="6"/>
        <v>37106700000000</v>
      </c>
    </row>
    <row r="13" customHeight="1" spans="1:46">
      <c r="A13" s="6">
        <v>0.0120005</v>
      </c>
      <c r="B13" s="6">
        <v>0.0126315</v>
      </c>
      <c r="C13" s="6">
        <v>125953000000000</v>
      </c>
      <c r="D13" s="6">
        <v>26522100000</v>
      </c>
      <c r="E13" s="6">
        <v>0</v>
      </c>
      <c r="F13" s="6">
        <v>0</v>
      </c>
      <c r="G13" s="6">
        <v>2</v>
      </c>
      <c r="H13" s="6">
        <v>19266000000000</v>
      </c>
      <c r="I13" s="6">
        <v>19611800000000</v>
      </c>
      <c r="J13" s="6">
        <v>21347700000000</v>
      </c>
      <c r="K13" s="6">
        <v>21523900000000</v>
      </c>
      <c r="L13" s="6">
        <v>44200400000000</v>
      </c>
      <c r="N13" s="6">
        <v>0.0120621</v>
      </c>
      <c r="O13" s="6">
        <v>0.0126571</v>
      </c>
      <c r="P13" s="6">
        <v>126069000000000</v>
      </c>
      <c r="Q13" s="6">
        <v>14940500000</v>
      </c>
      <c r="R13" s="6">
        <v>0</v>
      </c>
      <c r="S13" s="6">
        <v>0</v>
      </c>
      <c r="T13" s="6">
        <v>2</v>
      </c>
      <c r="U13" s="6">
        <v>26420700000000</v>
      </c>
      <c r="V13" s="6">
        <v>26983700000000</v>
      </c>
      <c r="W13" s="6">
        <v>26345500000000</v>
      </c>
      <c r="X13" s="6">
        <v>27731800000000</v>
      </c>
      <c r="Y13" s="6">
        <v>18585700000000</v>
      </c>
      <c r="AA13" s="6">
        <v>0.0119677</v>
      </c>
      <c r="AB13" s="6">
        <v>0.0124856</v>
      </c>
      <c r="AC13" s="6">
        <v>126727000000000</v>
      </c>
      <c r="AD13" s="6">
        <v>21211400000</v>
      </c>
      <c r="AE13" s="6">
        <v>0</v>
      </c>
      <c r="AF13" s="6">
        <v>0</v>
      </c>
      <c r="AG13" s="6">
        <v>2</v>
      </c>
      <c r="AH13" s="6">
        <v>27798100000000</v>
      </c>
      <c r="AI13" s="6">
        <v>28201100000000</v>
      </c>
      <c r="AJ13" s="6">
        <v>28200100000000</v>
      </c>
      <c r="AK13" s="6">
        <v>26905200000000</v>
      </c>
      <c r="AL13" s="6">
        <v>15616500000000</v>
      </c>
      <c r="AN13" s="6">
        <f t="shared" si="0"/>
        <v>0.0120005</v>
      </c>
      <c r="AO13" s="6">
        <f t="shared" si="1"/>
        <v>125953000000000</v>
      </c>
      <c r="AP13" s="6">
        <f t="shared" si="2"/>
        <v>125953000000000</v>
      </c>
      <c r="AQ13" s="6">
        <f t="shared" si="3"/>
        <v>126727000000000</v>
      </c>
      <c r="AR13" s="6">
        <f t="shared" si="4"/>
        <v>44200400000000</v>
      </c>
      <c r="AS13" s="6">
        <f t="shared" si="5"/>
        <v>15616500000000</v>
      </c>
      <c r="AT13" s="6">
        <f t="shared" si="6"/>
        <v>44200400000000</v>
      </c>
    </row>
    <row r="14" customHeight="1" spans="1:46">
      <c r="A14" s="6">
        <v>0.0131082</v>
      </c>
      <c r="B14" s="6">
        <v>0.0138076</v>
      </c>
      <c r="C14" s="6">
        <v>125417000000000</v>
      </c>
      <c r="D14" s="6">
        <v>20172400000</v>
      </c>
      <c r="E14" s="6">
        <v>0</v>
      </c>
      <c r="F14" s="6">
        <v>0</v>
      </c>
      <c r="G14" s="6">
        <v>2</v>
      </c>
      <c r="H14" s="6">
        <v>18429200000000</v>
      </c>
      <c r="I14" s="6">
        <v>19481400000000</v>
      </c>
      <c r="J14" s="6">
        <v>19821100000000</v>
      </c>
      <c r="K14" s="6">
        <v>18960900000000</v>
      </c>
      <c r="L14" s="6">
        <v>48722700000000</v>
      </c>
      <c r="N14" s="6">
        <v>0.0130452</v>
      </c>
      <c r="O14" s="6">
        <v>0.0137395</v>
      </c>
      <c r="P14" s="6">
        <v>126415000000000</v>
      </c>
      <c r="Q14" s="6">
        <v>15110900000</v>
      </c>
      <c r="R14" s="6">
        <v>0</v>
      </c>
      <c r="S14" s="6">
        <v>0</v>
      </c>
      <c r="T14" s="6">
        <v>2</v>
      </c>
      <c r="U14" s="6">
        <v>26294300000000</v>
      </c>
      <c r="V14" s="6">
        <v>26084600000000</v>
      </c>
      <c r="W14" s="6">
        <v>25038100000000</v>
      </c>
      <c r="X14" s="6">
        <v>26481100000000</v>
      </c>
      <c r="Y14" s="6">
        <v>22516500000000</v>
      </c>
      <c r="AA14" s="6">
        <v>0.0129759</v>
      </c>
      <c r="AB14" s="6">
        <v>0.0134945</v>
      </c>
      <c r="AC14" s="6">
        <v>126618000000000</v>
      </c>
      <c r="AD14" s="6">
        <v>25253700000</v>
      </c>
      <c r="AE14" s="6">
        <v>0</v>
      </c>
      <c r="AF14" s="6">
        <v>0</v>
      </c>
      <c r="AG14" s="6">
        <v>2</v>
      </c>
      <c r="AH14" s="6">
        <v>27293300000000</v>
      </c>
      <c r="AI14" s="6">
        <v>28184700000000</v>
      </c>
      <c r="AJ14" s="6">
        <v>28072300000000</v>
      </c>
      <c r="AK14" s="6">
        <v>27121800000000</v>
      </c>
      <c r="AL14" s="6">
        <v>15943200000000</v>
      </c>
      <c r="AN14" s="6">
        <f t="shared" si="0"/>
        <v>0.0131082</v>
      </c>
      <c r="AO14" s="6">
        <f t="shared" si="1"/>
        <v>125417000000000</v>
      </c>
      <c r="AP14" s="6">
        <f t="shared" si="2"/>
        <v>125417000000000</v>
      </c>
      <c r="AQ14" s="6">
        <f t="shared" si="3"/>
        <v>126618000000000</v>
      </c>
      <c r="AR14" s="6">
        <f t="shared" si="4"/>
        <v>48722700000000</v>
      </c>
      <c r="AS14" s="6">
        <f t="shared" si="5"/>
        <v>15943200000000</v>
      </c>
      <c r="AT14" s="6">
        <f t="shared" si="6"/>
        <v>48722700000000</v>
      </c>
    </row>
    <row r="15" customHeight="1" spans="1:46">
      <c r="A15" s="6">
        <v>0.0140191</v>
      </c>
      <c r="B15" s="6">
        <v>0.0146991</v>
      </c>
      <c r="C15" s="6">
        <v>126325000000000</v>
      </c>
      <c r="D15" s="6">
        <v>7867030000</v>
      </c>
      <c r="E15" s="6">
        <v>0</v>
      </c>
      <c r="F15" s="6">
        <v>0</v>
      </c>
      <c r="G15" s="6">
        <v>2</v>
      </c>
      <c r="H15" s="6">
        <v>18664500000000</v>
      </c>
      <c r="I15" s="6">
        <v>18756400000000</v>
      </c>
      <c r="J15" s="6">
        <v>19387100000000</v>
      </c>
      <c r="K15" s="6">
        <v>18634700000000</v>
      </c>
      <c r="L15" s="6">
        <v>50880900000000</v>
      </c>
      <c r="N15" s="6">
        <v>0.0139858</v>
      </c>
      <c r="O15" s="6">
        <v>0.0147061</v>
      </c>
      <c r="P15" s="6">
        <v>129295000000000</v>
      </c>
      <c r="Q15" s="6">
        <v>13851800000</v>
      </c>
      <c r="R15" s="6">
        <v>0</v>
      </c>
      <c r="S15" s="6">
        <v>0</v>
      </c>
      <c r="T15" s="6">
        <v>2</v>
      </c>
      <c r="U15" s="6">
        <v>27590900000000</v>
      </c>
      <c r="V15" s="6">
        <v>27284400000000</v>
      </c>
      <c r="W15" s="6">
        <v>26351800000000</v>
      </c>
      <c r="X15" s="6">
        <v>26880200000000</v>
      </c>
      <c r="Y15" s="6">
        <v>21188000000000</v>
      </c>
      <c r="AA15" s="6">
        <v>0.0141253</v>
      </c>
      <c r="AB15" s="6">
        <v>0.0146415</v>
      </c>
      <c r="AC15" s="6">
        <v>126654000000000</v>
      </c>
      <c r="AD15" s="6">
        <v>20911200000</v>
      </c>
      <c r="AE15" s="6">
        <v>0</v>
      </c>
      <c r="AF15" s="6">
        <v>0</v>
      </c>
      <c r="AG15" s="6">
        <v>2</v>
      </c>
      <c r="AH15" s="6">
        <v>26631000000000</v>
      </c>
      <c r="AI15" s="6">
        <v>28335000000000</v>
      </c>
      <c r="AJ15" s="6">
        <v>28622800000000</v>
      </c>
      <c r="AK15" s="6">
        <v>26551300000000</v>
      </c>
      <c r="AL15" s="6">
        <v>16514100000000</v>
      </c>
      <c r="AN15" s="6">
        <f t="shared" si="0"/>
        <v>0.0140191</v>
      </c>
      <c r="AO15" s="6">
        <f t="shared" si="1"/>
        <v>126325000000000</v>
      </c>
      <c r="AP15" s="6">
        <f t="shared" si="2"/>
        <v>126325000000000</v>
      </c>
      <c r="AQ15" s="6">
        <f t="shared" si="3"/>
        <v>129295000000000</v>
      </c>
      <c r="AR15" s="6">
        <f t="shared" si="4"/>
        <v>50880900000000</v>
      </c>
      <c r="AS15" s="6">
        <f t="shared" si="5"/>
        <v>16514100000000</v>
      </c>
      <c r="AT15" s="6">
        <f t="shared" si="6"/>
        <v>50880900000000</v>
      </c>
    </row>
    <row r="16" customHeight="1" spans="1:46">
      <c r="A16" s="6">
        <v>0.0150061</v>
      </c>
      <c r="B16" s="6">
        <v>0.0156756</v>
      </c>
      <c r="C16" s="6">
        <v>124151000000000</v>
      </c>
      <c r="D16" s="6">
        <v>4769880000</v>
      </c>
      <c r="E16" s="6">
        <v>0</v>
      </c>
      <c r="F16" s="6">
        <v>0</v>
      </c>
      <c r="G16" s="6">
        <v>2</v>
      </c>
      <c r="H16" s="6">
        <v>17133600000000</v>
      </c>
      <c r="I16" s="6">
        <v>16403600000000</v>
      </c>
      <c r="J16" s="6">
        <v>17032700000000</v>
      </c>
      <c r="K16" s="6">
        <v>16626700000000</v>
      </c>
      <c r="L16" s="6">
        <v>56937400000000</v>
      </c>
      <c r="N16" s="6">
        <v>0.0150132</v>
      </c>
      <c r="O16" s="6">
        <v>0.0156819</v>
      </c>
      <c r="P16" s="6">
        <v>129476000000000</v>
      </c>
      <c r="Q16" s="6">
        <v>14394300000</v>
      </c>
      <c r="R16" s="6">
        <v>0</v>
      </c>
      <c r="S16" s="6">
        <v>0</v>
      </c>
      <c r="T16" s="6">
        <v>2</v>
      </c>
      <c r="U16" s="6">
        <v>26706700000000</v>
      </c>
      <c r="V16" s="6">
        <v>26052000000000</v>
      </c>
      <c r="W16" s="6">
        <v>26042500000000</v>
      </c>
      <c r="X16" s="6">
        <v>26609700000000</v>
      </c>
      <c r="Y16" s="6">
        <v>24064700000000</v>
      </c>
      <c r="AA16" s="6">
        <v>0.0148874</v>
      </c>
      <c r="AB16" s="6">
        <v>0.0153843</v>
      </c>
      <c r="AC16" s="6">
        <v>126491000000000</v>
      </c>
      <c r="AD16" s="6">
        <v>2257200000</v>
      </c>
      <c r="AE16" s="6">
        <v>0</v>
      </c>
      <c r="AF16" s="6">
        <v>0</v>
      </c>
      <c r="AG16" s="6">
        <v>2</v>
      </c>
      <c r="AH16" s="6">
        <v>26412000000000</v>
      </c>
      <c r="AI16" s="6">
        <v>28395700000000</v>
      </c>
      <c r="AJ16" s="6">
        <v>28614900000000</v>
      </c>
      <c r="AK16" s="6">
        <v>26584100000000</v>
      </c>
      <c r="AL16" s="6">
        <v>16484400000000</v>
      </c>
      <c r="AN16" s="6">
        <f t="shared" si="0"/>
        <v>0.0150061</v>
      </c>
      <c r="AO16" s="6">
        <f t="shared" si="1"/>
        <v>124151000000000</v>
      </c>
      <c r="AP16" s="6">
        <f t="shared" si="2"/>
        <v>124151000000000</v>
      </c>
      <c r="AQ16" s="6">
        <f t="shared" si="3"/>
        <v>129476000000000</v>
      </c>
      <c r="AR16" s="6">
        <f t="shared" si="4"/>
        <v>56937400000000</v>
      </c>
      <c r="AS16" s="6">
        <f t="shared" si="5"/>
        <v>16484400000000</v>
      </c>
      <c r="AT16" s="6">
        <f t="shared" si="6"/>
        <v>56937400000000</v>
      </c>
    </row>
    <row r="17" customHeight="1" spans="1:46">
      <c r="A17" s="6">
        <v>0.0160272</v>
      </c>
      <c r="B17" s="6">
        <v>0.0166684</v>
      </c>
      <c r="C17" s="6">
        <v>122508000000000</v>
      </c>
      <c r="D17" s="6">
        <v>40905100000</v>
      </c>
      <c r="E17" s="6">
        <v>0</v>
      </c>
      <c r="F17" s="6">
        <v>0</v>
      </c>
      <c r="G17" s="6">
        <v>2</v>
      </c>
      <c r="H17" s="6">
        <v>14584100000000</v>
      </c>
      <c r="I17" s="6">
        <v>14653800000000</v>
      </c>
      <c r="J17" s="6">
        <v>14832800000000</v>
      </c>
      <c r="K17" s="6">
        <v>13769700000000</v>
      </c>
      <c r="L17" s="6">
        <v>64616400000000</v>
      </c>
      <c r="N17" s="6">
        <v>0.0160216</v>
      </c>
      <c r="O17" s="6">
        <v>0.0166962</v>
      </c>
      <c r="P17" s="6">
        <v>129645000000000</v>
      </c>
      <c r="Q17" s="6">
        <v>5150140000</v>
      </c>
      <c r="R17" s="6">
        <v>0</v>
      </c>
      <c r="S17" s="6">
        <v>0</v>
      </c>
      <c r="T17" s="6">
        <v>2</v>
      </c>
      <c r="U17" s="6">
        <v>25920400000000</v>
      </c>
      <c r="V17" s="6">
        <v>25025700000000</v>
      </c>
      <c r="W17" s="6">
        <v>24655500000000</v>
      </c>
      <c r="X17" s="6">
        <v>25270200000000</v>
      </c>
      <c r="Y17" s="6">
        <v>28768800000000</v>
      </c>
      <c r="AA17" s="6">
        <v>0.0161202</v>
      </c>
      <c r="AB17" s="6">
        <v>0.0165902</v>
      </c>
      <c r="AC17" s="6">
        <v>126137000000000</v>
      </c>
      <c r="AD17" s="6">
        <v>8003800000</v>
      </c>
      <c r="AE17" s="6">
        <v>0</v>
      </c>
      <c r="AF17" s="6">
        <v>0</v>
      </c>
      <c r="AG17" s="6">
        <v>2</v>
      </c>
      <c r="AH17" s="6">
        <v>26424900000000</v>
      </c>
      <c r="AI17" s="6">
        <v>28681200000000</v>
      </c>
      <c r="AJ17" s="6">
        <v>28893100000000</v>
      </c>
      <c r="AK17" s="6">
        <v>26595800000000</v>
      </c>
      <c r="AL17" s="6">
        <v>15542300000000</v>
      </c>
      <c r="AN17" s="6">
        <f t="shared" si="0"/>
        <v>0.0160272</v>
      </c>
      <c r="AO17" s="6">
        <f t="shared" si="1"/>
        <v>122508000000000</v>
      </c>
      <c r="AP17" s="6">
        <f t="shared" si="2"/>
        <v>122508000000000</v>
      </c>
      <c r="AQ17" s="6">
        <f t="shared" si="3"/>
        <v>129645000000000</v>
      </c>
      <c r="AR17" s="6">
        <f t="shared" si="4"/>
        <v>64616400000000</v>
      </c>
      <c r="AS17" s="6">
        <f t="shared" si="5"/>
        <v>15542300000000</v>
      </c>
      <c r="AT17" s="6">
        <f t="shared" si="6"/>
        <v>64616400000000</v>
      </c>
    </row>
    <row r="18" customHeight="1" spans="1:46">
      <c r="A18" s="6">
        <v>0.0169018</v>
      </c>
      <c r="B18" s="6">
        <v>0.0178401</v>
      </c>
      <c r="C18" s="6">
        <v>120506000000000</v>
      </c>
      <c r="D18" s="6">
        <v>79166000000</v>
      </c>
      <c r="E18" s="6">
        <v>0</v>
      </c>
      <c r="F18" s="6">
        <v>0</v>
      </c>
      <c r="G18" s="6">
        <v>2</v>
      </c>
      <c r="H18" s="6">
        <v>11750700000000</v>
      </c>
      <c r="I18" s="6">
        <v>12046000000000</v>
      </c>
      <c r="J18" s="6">
        <v>11435400000000</v>
      </c>
      <c r="K18" s="6">
        <v>10641500000000</v>
      </c>
      <c r="L18" s="6">
        <v>74592700000000</v>
      </c>
      <c r="N18" s="6">
        <v>0.0171345</v>
      </c>
      <c r="O18" s="6">
        <v>0.0177788</v>
      </c>
      <c r="P18" s="6">
        <v>130730000000000</v>
      </c>
      <c r="Q18" s="6">
        <v>4104060000</v>
      </c>
      <c r="R18" s="6">
        <v>0</v>
      </c>
      <c r="S18" s="6">
        <v>0</v>
      </c>
      <c r="T18" s="6">
        <v>2</v>
      </c>
      <c r="U18" s="6">
        <v>25225100000000</v>
      </c>
      <c r="V18" s="6">
        <v>23945200000000</v>
      </c>
      <c r="W18" s="6">
        <v>23601800000000</v>
      </c>
      <c r="X18" s="6">
        <v>25152300000000</v>
      </c>
      <c r="Y18" s="6">
        <v>32805500000000</v>
      </c>
      <c r="AA18" s="6">
        <v>0.0170747</v>
      </c>
      <c r="AB18" s="6">
        <v>0.0175328</v>
      </c>
      <c r="AC18" s="6">
        <v>126222000000000</v>
      </c>
      <c r="AD18" s="6">
        <v>35187700000</v>
      </c>
      <c r="AE18" s="6">
        <v>0</v>
      </c>
      <c r="AF18" s="6">
        <v>0</v>
      </c>
      <c r="AG18" s="6">
        <v>2</v>
      </c>
      <c r="AH18" s="6">
        <v>26439600000000</v>
      </c>
      <c r="AI18" s="6">
        <v>28859100000000</v>
      </c>
      <c r="AJ18" s="6">
        <v>28625700000000</v>
      </c>
      <c r="AK18" s="6">
        <v>26060700000000</v>
      </c>
      <c r="AL18" s="6">
        <v>16235700000000</v>
      </c>
      <c r="AN18" s="6">
        <f t="shared" si="0"/>
        <v>0.0169018</v>
      </c>
      <c r="AO18" s="6">
        <f t="shared" si="1"/>
        <v>120506000000000</v>
      </c>
      <c r="AP18" s="6">
        <f t="shared" si="2"/>
        <v>120506000000000</v>
      </c>
      <c r="AQ18" s="6">
        <f t="shared" si="3"/>
        <v>130730000000000</v>
      </c>
      <c r="AR18" s="6">
        <f t="shared" si="4"/>
        <v>74592700000000</v>
      </c>
      <c r="AS18" s="6">
        <f t="shared" si="5"/>
        <v>16235700000000</v>
      </c>
      <c r="AT18" s="6">
        <f t="shared" si="6"/>
        <v>74592700000000</v>
      </c>
    </row>
    <row r="19" customHeight="1" spans="1:46">
      <c r="A19" s="6">
        <v>0.0180332</v>
      </c>
      <c r="B19" s="6">
        <v>0.0188585</v>
      </c>
      <c r="C19" s="6">
        <v>121804000000000</v>
      </c>
      <c r="D19" s="6">
        <v>95043500000</v>
      </c>
      <c r="E19" s="6">
        <v>0</v>
      </c>
      <c r="F19" s="6">
        <v>0</v>
      </c>
      <c r="G19" s="6">
        <v>2</v>
      </c>
      <c r="H19" s="6">
        <v>13246900000000</v>
      </c>
      <c r="I19" s="6">
        <v>12739500000000</v>
      </c>
      <c r="J19" s="6">
        <v>10944400000000</v>
      </c>
      <c r="K19" s="6">
        <v>12517100000000</v>
      </c>
      <c r="L19" s="6">
        <v>72310600000000</v>
      </c>
      <c r="N19" s="6">
        <v>0.0180138</v>
      </c>
      <c r="O19" s="6">
        <v>0.0186823</v>
      </c>
      <c r="P19" s="6">
        <v>130928000000000</v>
      </c>
      <c r="Q19" s="6">
        <v>7281830000</v>
      </c>
      <c r="R19" s="6">
        <v>0</v>
      </c>
      <c r="S19" s="6">
        <v>0</v>
      </c>
      <c r="T19" s="6">
        <v>2</v>
      </c>
      <c r="U19" s="6">
        <v>24302000000000</v>
      </c>
      <c r="V19" s="6">
        <v>22467200000000</v>
      </c>
      <c r="W19" s="6">
        <v>23579300000000</v>
      </c>
      <c r="X19" s="6">
        <v>22995700000000</v>
      </c>
      <c r="Y19" s="6">
        <v>37583500000000</v>
      </c>
      <c r="AA19" s="6">
        <v>0.0179877</v>
      </c>
      <c r="AB19" s="6">
        <v>0.0184321</v>
      </c>
      <c r="AC19" s="6">
        <v>126143000000000</v>
      </c>
      <c r="AD19" s="6">
        <v>41906500000</v>
      </c>
      <c r="AE19" s="6">
        <v>0</v>
      </c>
      <c r="AF19" s="6">
        <v>0</v>
      </c>
      <c r="AG19" s="6">
        <v>2</v>
      </c>
      <c r="AH19" s="6">
        <v>26560400000000</v>
      </c>
      <c r="AI19" s="6">
        <v>29922200000000</v>
      </c>
      <c r="AJ19" s="6">
        <v>29250300000000</v>
      </c>
      <c r="AK19" s="6">
        <v>26424200000000</v>
      </c>
      <c r="AL19" s="6">
        <v>13985600000000</v>
      </c>
      <c r="AN19" s="6">
        <f t="shared" si="0"/>
        <v>0.0180332</v>
      </c>
      <c r="AO19" s="6">
        <f t="shared" si="1"/>
        <v>121804000000000</v>
      </c>
      <c r="AP19" s="6">
        <f t="shared" si="2"/>
        <v>121804000000000</v>
      </c>
      <c r="AQ19" s="6">
        <f t="shared" si="3"/>
        <v>130928000000000</v>
      </c>
      <c r="AR19" s="6">
        <f t="shared" si="4"/>
        <v>72310600000000</v>
      </c>
      <c r="AS19" s="6">
        <f t="shared" si="5"/>
        <v>13985600000000</v>
      </c>
      <c r="AT19" s="6">
        <f t="shared" si="6"/>
        <v>72310600000000</v>
      </c>
    </row>
    <row r="20" customHeight="1" spans="1:46">
      <c r="A20" s="6">
        <v>0.0189849</v>
      </c>
      <c r="B20" s="6">
        <v>0.0199253</v>
      </c>
      <c r="C20" s="6">
        <v>120502000000000</v>
      </c>
      <c r="D20" s="6">
        <v>25495900000</v>
      </c>
      <c r="E20" s="6">
        <v>0</v>
      </c>
      <c r="F20" s="6">
        <v>0</v>
      </c>
      <c r="G20" s="6">
        <v>2</v>
      </c>
      <c r="H20" s="6">
        <v>12178400000000</v>
      </c>
      <c r="I20" s="6">
        <v>11178100000000</v>
      </c>
      <c r="J20" s="6">
        <v>10069400000000</v>
      </c>
      <c r="K20" s="6">
        <v>12441000000000</v>
      </c>
      <c r="L20" s="6">
        <v>74490900000000</v>
      </c>
      <c r="N20" s="6">
        <v>0.0189339</v>
      </c>
      <c r="O20" s="6">
        <v>0.0195993</v>
      </c>
      <c r="P20" s="6">
        <v>132537000000000</v>
      </c>
      <c r="Q20" s="6">
        <v>6866040000</v>
      </c>
      <c r="R20" s="6">
        <v>0</v>
      </c>
      <c r="S20" s="6">
        <v>0</v>
      </c>
      <c r="T20" s="6">
        <v>2</v>
      </c>
      <c r="U20" s="6">
        <v>23702400000000</v>
      </c>
      <c r="V20" s="6">
        <v>21120300000000</v>
      </c>
      <c r="W20" s="6">
        <v>23391600000000</v>
      </c>
      <c r="X20" s="6">
        <v>22486400000000</v>
      </c>
      <c r="Y20" s="6">
        <v>41835400000000</v>
      </c>
      <c r="AA20" s="6">
        <v>0.0189791</v>
      </c>
      <c r="AB20" s="6">
        <v>0.0194153</v>
      </c>
      <c r="AC20" s="6">
        <v>126405000000000</v>
      </c>
      <c r="AD20" s="6">
        <v>2543480000</v>
      </c>
      <c r="AE20" s="6">
        <v>0</v>
      </c>
      <c r="AF20" s="6">
        <v>0</v>
      </c>
      <c r="AG20" s="6">
        <v>2</v>
      </c>
      <c r="AH20" s="6">
        <v>26436500000000</v>
      </c>
      <c r="AI20" s="6">
        <v>30116200000000</v>
      </c>
      <c r="AJ20" s="6">
        <v>29677600000000</v>
      </c>
      <c r="AK20" s="6">
        <v>26639700000000</v>
      </c>
      <c r="AL20" s="6">
        <v>13535100000000</v>
      </c>
      <c r="AN20" s="6">
        <f t="shared" si="0"/>
        <v>0.0189849</v>
      </c>
      <c r="AO20" s="6">
        <f t="shared" si="1"/>
        <v>120502000000000</v>
      </c>
      <c r="AP20" s="6">
        <f t="shared" si="2"/>
        <v>120502000000000</v>
      </c>
      <c r="AQ20" s="6">
        <f t="shared" si="3"/>
        <v>132537000000000</v>
      </c>
      <c r="AR20" s="6">
        <f t="shared" si="4"/>
        <v>74490900000000</v>
      </c>
      <c r="AS20" s="6">
        <f t="shared" si="5"/>
        <v>13535100000000</v>
      </c>
      <c r="AT20" s="6">
        <f t="shared" si="6"/>
        <v>74490900000000</v>
      </c>
    </row>
    <row r="21" customHeight="1" spans="1:46">
      <c r="A21" s="6">
        <v>0.0199998</v>
      </c>
      <c r="B21" s="6">
        <v>0.0207966</v>
      </c>
      <c r="C21" s="6">
        <v>121166000000000</v>
      </c>
      <c r="D21" s="6">
        <v>15598800000</v>
      </c>
      <c r="E21" s="6">
        <v>0</v>
      </c>
      <c r="F21" s="6">
        <v>0</v>
      </c>
      <c r="G21" s="6">
        <v>2</v>
      </c>
      <c r="H21" s="6">
        <v>12996200000000</v>
      </c>
      <c r="I21" s="6">
        <v>11389600000000</v>
      </c>
      <c r="J21" s="6">
        <v>9994480000000</v>
      </c>
      <c r="K21" s="6">
        <v>13967800000000</v>
      </c>
      <c r="L21" s="6">
        <v>72636700000000</v>
      </c>
      <c r="N21" s="6">
        <v>0.0200167</v>
      </c>
      <c r="O21" s="6">
        <v>0.0206056</v>
      </c>
      <c r="P21" s="6">
        <v>129019000000000</v>
      </c>
      <c r="Q21" s="6">
        <v>4531550000</v>
      </c>
      <c r="R21" s="6">
        <v>0</v>
      </c>
      <c r="S21" s="6">
        <v>0</v>
      </c>
      <c r="T21" s="6">
        <v>2</v>
      </c>
      <c r="U21" s="6">
        <v>20816100000000</v>
      </c>
      <c r="V21" s="6">
        <v>17873800000000</v>
      </c>
      <c r="W21" s="6">
        <v>20633100000000</v>
      </c>
      <c r="X21" s="6">
        <v>20954900000000</v>
      </c>
      <c r="Y21" s="6">
        <v>48738100000000</v>
      </c>
      <c r="AA21" s="6">
        <v>0.0199769</v>
      </c>
      <c r="AB21" s="6">
        <v>0.020399</v>
      </c>
      <c r="AC21" s="6">
        <v>126624000000000</v>
      </c>
      <c r="AD21" s="6">
        <v>17608700000</v>
      </c>
      <c r="AE21" s="6">
        <v>0</v>
      </c>
      <c r="AF21" s="6">
        <v>0</v>
      </c>
      <c r="AG21" s="6">
        <v>2</v>
      </c>
      <c r="AH21" s="6">
        <v>27081700000000</v>
      </c>
      <c r="AI21" s="6">
        <v>30024400000000</v>
      </c>
      <c r="AJ21" s="6">
        <v>30333900000000</v>
      </c>
      <c r="AK21" s="6">
        <v>27125200000000</v>
      </c>
      <c r="AL21" s="6">
        <v>12058600000000</v>
      </c>
      <c r="AN21" s="6">
        <f t="shared" si="0"/>
        <v>0.0199998</v>
      </c>
      <c r="AO21" s="6">
        <f t="shared" si="1"/>
        <v>121166000000000</v>
      </c>
      <c r="AP21" s="6">
        <f t="shared" si="2"/>
        <v>121166000000000</v>
      </c>
      <c r="AQ21" s="6">
        <f t="shared" si="3"/>
        <v>129019000000000</v>
      </c>
      <c r="AR21" s="6">
        <f t="shared" si="4"/>
        <v>72636700000000</v>
      </c>
      <c r="AS21" s="6">
        <f t="shared" si="5"/>
        <v>12058600000000</v>
      </c>
      <c r="AT21" s="6">
        <f t="shared" si="6"/>
        <v>72636700000000</v>
      </c>
    </row>
    <row r="22" customHeight="1" spans="1:46">
      <c r="A22" s="6">
        <v>0.0207894</v>
      </c>
      <c r="B22" s="6">
        <v>0.0217047</v>
      </c>
      <c r="C22" s="6">
        <v>121921000000000</v>
      </c>
      <c r="D22" s="6">
        <v>6073420000</v>
      </c>
      <c r="E22" s="6">
        <v>0</v>
      </c>
      <c r="F22" s="6">
        <v>0</v>
      </c>
      <c r="G22" s="6">
        <v>2</v>
      </c>
      <c r="H22" s="6">
        <v>12346700000000</v>
      </c>
      <c r="I22" s="6">
        <v>11927000000000</v>
      </c>
      <c r="J22" s="6">
        <v>10602400000000</v>
      </c>
      <c r="K22" s="6">
        <v>14890400000000</v>
      </c>
      <c r="L22" s="6">
        <v>71944200000000</v>
      </c>
      <c r="N22" s="6">
        <v>0.0209944</v>
      </c>
      <c r="O22" s="6">
        <v>0.0216334</v>
      </c>
      <c r="P22" s="6">
        <v>127957000000000</v>
      </c>
      <c r="Q22" s="6">
        <v>41015000000</v>
      </c>
      <c r="R22" s="6">
        <v>0</v>
      </c>
      <c r="S22" s="6">
        <v>0</v>
      </c>
      <c r="T22" s="6">
        <v>2</v>
      </c>
      <c r="U22" s="6">
        <v>19056900000000</v>
      </c>
      <c r="V22" s="6">
        <v>18646700000000</v>
      </c>
      <c r="W22" s="6">
        <v>20403800000000</v>
      </c>
      <c r="X22" s="6">
        <v>18895000000000</v>
      </c>
      <c r="Y22" s="6">
        <v>50954300000000</v>
      </c>
      <c r="AA22" s="6">
        <v>0.0210492</v>
      </c>
      <c r="AB22" s="6">
        <v>0.0214475</v>
      </c>
      <c r="AC22" s="6">
        <v>126269000000000</v>
      </c>
      <c r="AD22" s="6">
        <v>8903550000</v>
      </c>
      <c r="AE22" s="6">
        <v>0</v>
      </c>
      <c r="AF22" s="6">
        <v>0</v>
      </c>
      <c r="AG22" s="6">
        <v>2</v>
      </c>
      <c r="AH22" s="6">
        <v>26991900000000</v>
      </c>
      <c r="AI22" s="6">
        <v>30051100000000</v>
      </c>
      <c r="AJ22" s="6">
        <v>30424600000000</v>
      </c>
      <c r="AK22" s="6">
        <v>26931300000000</v>
      </c>
      <c r="AL22" s="6">
        <v>11870300000000</v>
      </c>
      <c r="AN22" s="6">
        <f t="shared" si="0"/>
        <v>0.0207894</v>
      </c>
      <c r="AO22" s="6">
        <f t="shared" si="1"/>
        <v>121921000000000</v>
      </c>
      <c r="AP22" s="6">
        <f t="shared" si="2"/>
        <v>121921000000000</v>
      </c>
      <c r="AQ22" s="6">
        <f t="shared" si="3"/>
        <v>127957000000000</v>
      </c>
      <c r="AR22" s="6">
        <f t="shared" si="4"/>
        <v>71944200000000</v>
      </c>
      <c r="AS22" s="6">
        <f t="shared" si="5"/>
        <v>11870300000000</v>
      </c>
      <c r="AT22" s="6">
        <f t="shared" si="6"/>
        <v>71944200000000</v>
      </c>
    </row>
    <row r="23" customHeight="1" spans="1:46">
      <c r="A23" s="6">
        <v>0.0218755</v>
      </c>
      <c r="B23" s="6">
        <v>0.0227684</v>
      </c>
      <c r="C23" s="6">
        <v>121954000000000</v>
      </c>
      <c r="D23" s="6">
        <v>11438600000</v>
      </c>
      <c r="E23" s="6">
        <v>0</v>
      </c>
      <c r="F23" s="6">
        <v>0</v>
      </c>
      <c r="G23" s="6">
        <v>2</v>
      </c>
      <c r="H23" s="6">
        <v>12979300000000</v>
      </c>
      <c r="I23" s="6">
        <v>11904200000000</v>
      </c>
      <c r="J23" s="6">
        <v>11083500000000</v>
      </c>
      <c r="K23" s="6">
        <v>14253400000000</v>
      </c>
      <c r="L23" s="6">
        <v>71504400000000</v>
      </c>
      <c r="N23" s="6">
        <v>0.0220424</v>
      </c>
      <c r="O23" s="6">
        <v>0.0226586</v>
      </c>
      <c r="P23" s="6">
        <v>124914000000000</v>
      </c>
      <c r="Q23" s="6">
        <v>27573200000</v>
      </c>
      <c r="R23" s="6">
        <v>0</v>
      </c>
      <c r="S23" s="6">
        <v>0</v>
      </c>
      <c r="T23" s="6">
        <v>2</v>
      </c>
      <c r="U23" s="6">
        <v>17117700000000</v>
      </c>
      <c r="V23" s="6">
        <v>17056700000000</v>
      </c>
      <c r="W23" s="6">
        <v>17515600000000</v>
      </c>
      <c r="X23" s="6">
        <v>16737200000000</v>
      </c>
      <c r="Y23" s="6">
        <v>56485600000000</v>
      </c>
      <c r="AA23" s="6">
        <v>0.0220476</v>
      </c>
      <c r="AB23" s="6">
        <v>0.0224647</v>
      </c>
      <c r="AC23" s="6">
        <v>126299000000000</v>
      </c>
      <c r="AD23" s="6">
        <v>16319600000</v>
      </c>
      <c r="AE23" s="6">
        <v>0</v>
      </c>
      <c r="AF23" s="6">
        <v>0</v>
      </c>
      <c r="AG23" s="6">
        <v>2</v>
      </c>
      <c r="AH23" s="6">
        <v>27061300000000</v>
      </c>
      <c r="AI23" s="6">
        <v>29863300000000</v>
      </c>
      <c r="AJ23" s="6">
        <v>30235100000000</v>
      </c>
      <c r="AK23" s="6">
        <v>27127400000000</v>
      </c>
      <c r="AL23" s="6">
        <v>12011500000000</v>
      </c>
      <c r="AN23" s="6">
        <f t="shared" si="0"/>
        <v>0.0218755</v>
      </c>
      <c r="AO23" s="6">
        <f t="shared" si="1"/>
        <v>121954000000000</v>
      </c>
      <c r="AP23" s="6">
        <f t="shared" si="2"/>
        <v>121954000000000</v>
      </c>
      <c r="AQ23" s="6">
        <f t="shared" si="3"/>
        <v>126299000000000</v>
      </c>
      <c r="AR23" s="6">
        <f t="shared" si="4"/>
        <v>71504400000000</v>
      </c>
      <c r="AS23" s="6">
        <f t="shared" si="5"/>
        <v>12011500000000</v>
      </c>
      <c r="AT23" s="6">
        <f t="shared" si="6"/>
        <v>71504400000000</v>
      </c>
    </row>
    <row r="24" customHeight="1" spans="1:46">
      <c r="A24" s="6">
        <v>0.0228839</v>
      </c>
      <c r="B24" s="6">
        <v>0.0236744</v>
      </c>
      <c r="C24" s="6">
        <v>122211000000000</v>
      </c>
      <c r="D24" s="6">
        <v>46517400000</v>
      </c>
      <c r="E24" s="6">
        <v>0</v>
      </c>
      <c r="F24" s="6">
        <v>0</v>
      </c>
      <c r="G24" s="6">
        <v>2</v>
      </c>
      <c r="H24" s="6">
        <v>14217100000000</v>
      </c>
      <c r="I24" s="6">
        <v>12494200000000</v>
      </c>
      <c r="J24" s="6">
        <v>11632600000000</v>
      </c>
      <c r="K24" s="6">
        <v>14122800000000</v>
      </c>
      <c r="L24" s="6">
        <v>69527200000000</v>
      </c>
      <c r="N24" s="6">
        <v>0.0229543</v>
      </c>
      <c r="O24" s="6">
        <v>0.023588</v>
      </c>
      <c r="P24" s="6">
        <v>124033000000000</v>
      </c>
      <c r="Q24" s="6">
        <v>15573800000</v>
      </c>
      <c r="R24" s="6">
        <v>0</v>
      </c>
      <c r="S24" s="6">
        <v>0</v>
      </c>
      <c r="T24" s="6">
        <v>2</v>
      </c>
      <c r="U24" s="6">
        <v>15675700000000</v>
      </c>
      <c r="V24" s="6">
        <v>15143700000000</v>
      </c>
      <c r="W24" s="6">
        <v>16225000000000</v>
      </c>
      <c r="X24" s="6">
        <v>14907200000000</v>
      </c>
      <c r="Y24" s="6">
        <v>62064000000000</v>
      </c>
      <c r="AA24" s="6">
        <v>0.0229617</v>
      </c>
      <c r="AB24" s="6">
        <v>0.023406</v>
      </c>
      <c r="AC24" s="6">
        <v>126550000000000</v>
      </c>
      <c r="AD24" s="6">
        <v>20594700000</v>
      </c>
      <c r="AE24" s="6">
        <v>0</v>
      </c>
      <c r="AF24" s="6">
        <v>0</v>
      </c>
      <c r="AG24" s="6">
        <v>2</v>
      </c>
      <c r="AH24" s="6">
        <v>27161900000000</v>
      </c>
      <c r="AI24" s="6">
        <v>29779000000000</v>
      </c>
      <c r="AJ24" s="6">
        <v>30051900000000</v>
      </c>
      <c r="AK24" s="6">
        <v>27142400000000</v>
      </c>
      <c r="AL24" s="6">
        <v>12414800000000</v>
      </c>
      <c r="AN24" s="6">
        <f t="shared" si="0"/>
        <v>0.0228839</v>
      </c>
      <c r="AO24" s="6">
        <f t="shared" si="1"/>
        <v>122211000000000</v>
      </c>
      <c r="AP24" s="6">
        <f t="shared" si="2"/>
        <v>122211000000000</v>
      </c>
      <c r="AQ24" s="6">
        <f t="shared" si="3"/>
        <v>126550000000000</v>
      </c>
      <c r="AR24" s="6">
        <f t="shared" si="4"/>
        <v>69527200000000</v>
      </c>
      <c r="AS24" s="6">
        <f t="shared" si="5"/>
        <v>12414800000000</v>
      </c>
      <c r="AT24" s="6">
        <f t="shared" si="6"/>
        <v>69527200000000</v>
      </c>
    </row>
    <row r="25" customHeight="1" spans="1:46">
      <c r="A25" s="6">
        <v>0.0240288</v>
      </c>
      <c r="B25" s="6">
        <v>0.0246678</v>
      </c>
      <c r="C25" s="6">
        <v>123135000000000</v>
      </c>
      <c r="D25" s="6">
        <v>12470400000</v>
      </c>
      <c r="E25" s="6">
        <v>0</v>
      </c>
      <c r="F25" s="6">
        <v>0</v>
      </c>
      <c r="G25" s="6">
        <v>2</v>
      </c>
      <c r="H25" s="6">
        <v>15362500000000</v>
      </c>
      <c r="I25" s="6">
        <v>13893000000000</v>
      </c>
      <c r="J25" s="6">
        <v>13377500000000</v>
      </c>
      <c r="K25" s="6">
        <v>14652300000000</v>
      </c>
      <c r="L25" s="6">
        <v>65706800000000</v>
      </c>
      <c r="N25" s="6">
        <v>0.0238307</v>
      </c>
      <c r="O25" s="6">
        <v>0.0245893</v>
      </c>
      <c r="P25" s="6">
        <v>122187000000000</v>
      </c>
      <c r="Q25" s="6">
        <v>61215300000</v>
      </c>
      <c r="R25" s="6">
        <v>0</v>
      </c>
      <c r="S25" s="6">
        <v>0</v>
      </c>
      <c r="T25" s="6">
        <v>2</v>
      </c>
      <c r="U25" s="6">
        <v>13794200000000</v>
      </c>
      <c r="V25" s="6">
        <v>12603700000000</v>
      </c>
      <c r="W25" s="6">
        <v>14024200000000</v>
      </c>
      <c r="X25" s="6">
        <v>13297000000000</v>
      </c>
      <c r="Y25" s="6">
        <v>68372000000000</v>
      </c>
      <c r="AA25" s="6">
        <v>0.0240296</v>
      </c>
      <c r="AB25" s="6">
        <v>0.0244483</v>
      </c>
      <c r="AC25" s="6">
        <v>126985000000000</v>
      </c>
      <c r="AD25" s="6">
        <v>34882700000</v>
      </c>
      <c r="AE25" s="6">
        <v>0</v>
      </c>
      <c r="AF25" s="6">
        <v>0</v>
      </c>
      <c r="AG25" s="6">
        <v>2</v>
      </c>
      <c r="AH25" s="6">
        <v>27692400000000</v>
      </c>
      <c r="AI25" s="6">
        <v>30214200000000</v>
      </c>
      <c r="AJ25" s="6">
        <v>30197300000000</v>
      </c>
      <c r="AK25" s="6">
        <v>27391600000000</v>
      </c>
      <c r="AL25" s="6">
        <v>11488900000000</v>
      </c>
      <c r="AN25" s="6">
        <f t="shared" si="0"/>
        <v>0.0240288</v>
      </c>
      <c r="AO25" s="6">
        <f t="shared" si="1"/>
        <v>123135000000000</v>
      </c>
      <c r="AP25" s="6">
        <f t="shared" si="2"/>
        <v>122187000000000</v>
      </c>
      <c r="AQ25" s="6">
        <f t="shared" si="3"/>
        <v>126985000000000</v>
      </c>
      <c r="AR25" s="6">
        <f t="shared" si="4"/>
        <v>65706800000000</v>
      </c>
      <c r="AS25" s="6">
        <f t="shared" si="5"/>
        <v>11488900000000</v>
      </c>
      <c r="AT25" s="6">
        <f t="shared" si="6"/>
        <v>68372000000000</v>
      </c>
    </row>
    <row r="26" customHeight="1" spans="1:46">
      <c r="A26" s="6">
        <v>0.0249402</v>
      </c>
      <c r="B26" s="6">
        <v>0.0257533</v>
      </c>
      <c r="C26" s="6">
        <v>123295000000000</v>
      </c>
      <c r="D26" s="6">
        <v>15159700000</v>
      </c>
      <c r="E26" s="6">
        <v>0</v>
      </c>
      <c r="F26" s="6">
        <v>0</v>
      </c>
      <c r="G26" s="6">
        <v>2</v>
      </c>
      <c r="H26" s="6">
        <v>14200100000000</v>
      </c>
      <c r="I26" s="6">
        <v>14508600000000</v>
      </c>
      <c r="J26" s="6">
        <v>13906100000000</v>
      </c>
      <c r="K26" s="6">
        <v>13728600000000</v>
      </c>
      <c r="L26" s="6">
        <v>66876200000000</v>
      </c>
      <c r="N26" s="6">
        <v>0.0249625</v>
      </c>
      <c r="O26" s="6">
        <v>0.0258838</v>
      </c>
      <c r="P26" s="6">
        <v>121942000000000</v>
      </c>
      <c r="Q26" s="6">
        <v>118271000000</v>
      </c>
      <c r="R26" s="6">
        <v>0</v>
      </c>
      <c r="S26" s="6">
        <v>0</v>
      </c>
      <c r="T26" s="6">
        <v>2</v>
      </c>
      <c r="U26" s="6">
        <v>13244900000000</v>
      </c>
      <c r="V26" s="6">
        <v>12219200000000</v>
      </c>
      <c r="W26" s="6">
        <v>12944600000000</v>
      </c>
      <c r="X26" s="6">
        <v>14093400000000</v>
      </c>
      <c r="Y26" s="6">
        <v>69356100000000</v>
      </c>
      <c r="AA26" s="6">
        <v>0.0250661</v>
      </c>
      <c r="AB26" s="6">
        <v>0.0254909</v>
      </c>
      <c r="AC26" s="6">
        <v>127328000000000</v>
      </c>
      <c r="AD26" s="6">
        <v>11129400000</v>
      </c>
      <c r="AE26" s="6">
        <v>0</v>
      </c>
      <c r="AF26" s="6">
        <v>0</v>
      </c>
      <c r="AG26" s="6">
        <v>2</v>
      </c>
      <c r="AH26" s="6">
        <v>28010400000000</v>
      </c>
      <c r="AI26" s="6">
        <v>30603400000000</v>
      </c>
      <c r="AJ26" s="6">
        <v>30963100000000</v>
      </c>
      <c r="AK26" s="6">
        <v>28001200000000</v>
      </c>
      <c r="AL26" s="6">
        <v>9750100000000</v>
      </c>
      <c r="AN26" s="6">
        <f t="shared" si="0"/>
        <v>0.0249402</v>
      </c>
      <c r="AO26" s="6">
        <f t="shared" si="1"/>
        <v>123295000000000</v>
      </c>
      <c r="AP26" s="6">
        <f t="shared" si="2"/>
        <v>121942000000000</v>
      </c>
      <c r="AQ26" s="6">
        <f t="shared" si="3"/>
        <v>127328000000000</v>
      </c>
      <c r="AR26" s="6">
        <f t="shared" si="4"/>
        <v>66876200000000</v>
      </c>
      <c r="AS26" s="6">
        <f t="shared" si="5"/>
        <v>9750100000000</v>
      </c>
      <c r="AT26" s="6">
        <f t="shared" si="6"/>
        <v>69356100000000</v>
      </c>
    </row>
    <row r="27" customHeight="1" spans="1:46">
      <c r="A27" s="6">
        <v>0.0259639</v>
      </c>
      <c r="B27" s="6">
        <v>0.0267122</v>
      </c>
      <c r="C27" s="6">
        <v>123976000000000</v>
      </c>
      <c r="D27" s="6">
        <v>30717400000</v>
      </c>
      <c r="E27" s="6">
        <v>0</v>
      </c>
      <c r="F27" s="6">
        <v>0</v>
      </c>
      <c r="G27" s="6">
        <v>2</v>
      </c>
      <c r="H27" s="6">
        <v>15174900000000</v>
      </c>
      <c r="I27" s="6">
        <v>14980400000000</v>
      </c>
      <c r="J27" s="6">
        <v>14546300000000</v>
      </c>
      <c r="K27" s="6">
        <v>14630700000000</v>
      </c>
      <c r="L27" s="6">
        <v>64603700000000</v>
      </c>
      <c r="N27" s="6">
        <v>0.0260463</v>
      </c>
      <c r="O27" s="6">
        <v>0.0267858</v>
      </c>
      <c r="P27" s="6">
        <v>123145000000000</v>
      </c>
      <c r="Q27" s="6">
        <v>6897170000</v>
      </c>
      <c r="R27" s="6">
        <v>0</v>
      </c>
      <c r="S27" s="6">
        <v>0</v>
      </c>
      <c r="T27" s="6">
        <v>2</v>
      </c>
      <c r="U27" s="6">
        <v>14556300000000</v>
      </c>
      <c r="V27" s="6">
        <v>13251100000000</v>
      </c>
      <c r="W27" s="6">
        <v>13359200000000</v>
      </c>
      <c r="X27" s="6">
        <v>14618900000000</v>
      </c>
      <c r="Y27" s="6">
        <v>67244700000000</v>
      </c>
      <c r="AA27" s="6">
        <v>0.0259647</v>
      </c>
      <c r="AB27" s="6">
        <v>0.0263689</v>
      </c>
      <c r="AC27" s="6">
        <v>127150000000000</v>
      </c>
      <c r="AD27" s="6">
        <v>37024200000</v>
      </c>
      <c r="AE27" s="6">
        <v>0</v>
      </c>
      <c r="AF27" s="6">
        <v>0</v>
      </c>
      <c r="AG27" s="6">
        <v>2</v>
      </c>
      <c r="AH27" s="6">
        <v>27825300000000</v>
      </c>
      <c r="AI27" s="6">
        <v>30801100000000</v>
      </c>
      <c r="AJ27" s="6">
        <v>31053700000000</v>
      </c>
      <c r="AK27" s="6">
        <v>27750300000000</v>
      </c>
      <c r="AL27" s="6">
        <v>9719880000000</v>
      </c>
      <c r="AN27" s="6">
        <f t="shared" si="0"/>
        <v>0.0259639</v>
      </c>
      <c r="AO27" s="6">
        <f t="shared" si="1"/>
        <v>123976000000000</v>
      </c>
      <c r="AP27" s="6">
        <f t="shared" si="2"/>
        <v>123145000000000</v>
      </c>
      <c r="AQ27" s="6">
        <f t="shared" si="3"/>
        <v>127150000000000</v>
      </c>
      <c r="AR27" s="6">
        <f t="shared" si="4"/>
        <v>64603700000000</v>
      </c>
      <c r="AS27" s="6">
        <f t="shared" si="5"/>
        <v>9719880000000</v>
      </c>
      <c r="AT27" s="6">
        <f t="shared" si="6"/>
        <v>67244700000000</v>
      </c>
    </row>
    <row r="28" customHeight="1" spans="1:46">
      <c r="A28" s="6">
        <v>0.0269637</v>
      </c>
      <c r="B28" s="6">
        <v>0.0278059</v>
      </c>
      <c r="C28" s="6">
        <v>121279000000000</v>
      </c>
      <c r="D28" s="6">
        <v>9068360000</v>
      </c>
      <c r="E28" s="6">
        <v>0</v>
      </c>
      <c r="F28" s="6">
        <v>0</v>
      </c>
      <c r="G28" s="6">
        <v>2</v>
      </c>
      <c r="H28" s="6">
        <v>13043900000000</v>
      </c>
      <c r="I28" s="6">
        <v>12027800000000</v>
      </c>
      <c r="J28" s="6">
        <v>10982700000000</v>
      </c>
      <c r="K28" s="6">
        <v>12850300000000</v>
      </c>
      <c r="L28" s="6">
        <v>72296900000000</v>
      </c>
      <c r="N28" s="6">
        <v>0.0269885</v>
      </c>
      <c r="O28" s="6">
        <v>0.027681</v>
      </c>
      <c r="P28" s="6">
        <v>123503000000000</v>
      </c>
      <c r="Q28" s="6">
        <v>8702430000</v>
      </c>
      <c r="R28" s="6">
        <v>0</v>
      </c>
      <c r="S28" s="6">
        <v>0</v>
      </c>
      <c r="T28" s="6">
        <v>2</v>
      </c>
      <c r="U28" s="6">
        <v>14944700000000</v>
      </c>
      <c r="V28" s="6">
        <v>13835600000000</v>
      </c>
      <c r="W28" s="6">
        <v>14091200000000</v>
      </c>
      <c r="X28" s="6">
        <v>14806700000000</v>
      </c>
      <c r="Y28" s="6">
        <v>65685200000000</v>
      </c>
      <c r="AA28" s="6">
        <v>0.0270004</v>
      </c>
      <c r="AB28" s="6">
        <v>0.0273913</v>
      </c>
      <c r="AC28" s="6">
        <v>126914000000000</v>
      </c>
      <c r="AD28" s="6">
        <v>4088190000</v>
      </c>
      <c r="AE28" s="6">
        <v>0</v>
      </c>
      <c r="AF28" s="6">
        <v>0</v>
      </c>
      <c r="AG28" s="6">
        <v>2</v>
      </c>
      <c r="AH28" s="6">
        <v>27684900000000</v>
      </c>
      <c r="AI28" s="6">
        <v>30619700000000</v>
      </c>
      <c r="AJ28" s="6">
        <v>31336800000000</v>
      </c>
      <c r="AK28" s="6">
        <v>27988000000000</v>
      </c>
      <c r="AL28" s="6">
        <v>9284870000000</v>
      </c>
      <c r="AN28" s="6">
        <f t="shared" si="0"/>
        <v>0.0269637</v>
      </c>
      <c r="AO28" s="6">
        <f t="shared" si="1"/>
        <v>121279000000000</v>
      </c>
      <c r="AP28" s="6">
        <f t="shared" si="2"/>
        <v>121279000000000</v>
      </c>
      <c r="AQ28" s="6">
        <f t="shared" si="3"/>
        <v>126914000000000</v>
      </c>
      <c r="AR28" s="6">
        <f t="shared" si="4"/>
        <v>72296900000000</v>
      </c>
      <c r="AS28" s="6">
        <f t="shared" si="5"/>
        <v>9284870000000</v>
      </c>
      <c r="AT28" s="6">
        <f t="shared" si="6"/>
        <v>72296900000000</v>
      </c>
    </row>
    <row r="29" customHeight="1" spans="1:46">
      <c r="A29" s="6">
        <v>0.0281025</v>
      </c>
      <c r="B29" s="6">
        <v>0.0288026</v>
      </c>
      <c r="C29" s="6">
        <v>123207000000000</v>
      </c>
      <c r="D29" s="6">
        <v>14636000000</v>
      </c>
      <c r="E29" s="6">
        <v>0</v>
      </c>
      <c r="F29" s="6">
        <v>0</v>
      </c>
      <c r="G29" s="6">
        <v>2</v>
      </c>
      <c r="H29" s="6">
        <v>14827400000000</v>
      </c>
      <c r="I29" s="6">
        <v>12804400000000</v>
      </c>
      <c r="J29" s="6">
        <v>12448200000000</v>
      </c>
      <c r="K29" s="6">
        <v>15888900000000</v>
      </c>
      <c r="L29" s="6">
        <v>67157700000000</v>
      </c>
      <c r="N29" s="6">
        <v>0.0279744</v>
      </c>
      <c r="O29" s="6">
        <v>0.0288481</v>
      </c>
      <c r="P29" s="6">
        <v>122132000000000</v>
      </c>
      <c r="Q29" s="6">
        <v>22808200000</v>
      </c>
      <c r="R29" s="6">
        <v>0</v>
      </c>
      <c r="S29" s="6">
        <v>0</v>
      </c>
      <c r="T29" s="6">
        <v>2</v>
      </c>
      <c r="U29" s="6">
        <v>14123500000000</v>
      </c>
      <c r="V29" s="6">
        <v>12182400000000</v>
      </c>
      <c r="W29" s="6">
        <v>12663600000000</v>
      </c>
      <c r="X29" s="6">
        <v>12687900000000</v>
      </c>
      <c r="Y29" s="6">
        <v>70368800000000</v>
      </c>
      <c r="AN29" s="6">
        <f t="shared" si="0"/>
        <v>0.0281025</v>
      </c>
      <c r="AO29" s="6">
        <f t="shared" si="1"/>
        <v>123207000000000</v>
      </c>
      <c r="AP29" s="6">
        <f t="shared" si="2"/>
        <v>122132000000000</v>
      </c>
      <c r="AQ29" s="6">
        <f t="shared" si="3"/>
        <v>123207000000000</v>
      </c>
      <c r="AR29" s="6">
        <f t="shared" si="4"/>
        <v>67157700000000</v>
      </c>
      <c r="AS29" s="6">
        <f t="shared" si="5"/>
        <v>67157700000000</v>
      </c>
      <c r="AT29" s="6">
        <f t="shared" si="6"/>
        <v>70368800000000</v>
      </c>
    </row>
    <row r="30" customHeight="1" spans="1:46">
      <c r="A30" s="6">
        <v>0.0289868</v>
      </c>
      <c r="B30" s="6">
        <v>0.0297027</v>
      </c>
      <c r="C30" s="6">
        <v>122664000000000</v>
      </c>
      <c r="D30" s="6">
        <v>12460700000</v>
      </c>
      <c r="E30" s="6">
        <v>0</v>
      </c>
      <c r="F30" s="6">
        <v>0</v>
      </c>
      <c r="G30" s="6">
        <v>2</v>
      </c>
      <c r="H30" s="6">
        <v>13944700000000</v>
      </c>
      <c r="I30" s="6">
        <v>13730800000000</v>
      </c>
      <c r="J30" s="6">
        <v>13215600000000</v>
      </c>
      <c r="K30" s="6">
        <v>13881000000000</v>
      </c>
      <c r="L30" s="6">
        <v>67795300000000</v>
      </c>
      <c r="AN30" s="6">
        <f t="shared" si="0"/>
        <v>0.0289868</v>
      </c>
      <c r="AO30" s="6">
        <f t="shared" si="1"/>
        <v>122664000000000</v>
      </c>
      <c r="AP30" s="6">
        <f t="shared" si="2"/>
        <v>122664000000000</v>
      </c>
      <c r="AQ30" s="6">
        <f t="shared" si="3"/>
        <v>122664000000000</v>
      </c>
      <c r="AR30" s="6">
        <f t="shared" si="4"/>
        <v>67795300000000</v>
      </c>
      <c r="AS30" s="6">
        <f t="shared" si="5"/>
        <v>67795300000000</v>
      </c>
      <c r="AT30" s="6">
        <f t="shared" si="6"/>
        <v>67795300000000</v>
      </c>
    </row>
    <row r="31" customHeight="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AN31" s="6">
        <f t="shared" si="0"/>
        <v>0</v>
      </c>
      <c r="AO31" s="6">
        <f t="shared" si="1"/>
        <v>0</v>
      </c>
      <c r="AP31" s="6">
        <f t="shared" si="2"/>
        <v>0</v>
      </c>
      <c r="AQ31" s="6">
        <f t="shared" si="3"/>
        <v>0</v>
      </c>
      <c r="AR31" s="6">
        <f t="shared" si="4"/>
        <v>0</v>
      </c>
      <c r="AS31" s="6">
        <f t="shared" si="5"/>
        <v>0</v>
      </c>
      <c r="AT31" s="6">
        <f t="shared" si="6"/>
        <v>0</v>
      </c>
    </row>
    <row r="32" customHeight="1" spans="40:46">
      <c r="AN32" s="6"/>
      <c r="AO32" s="6"/>
      <c r="AP32" s="6"/>
      <c r="AQ32" s="6"/>
      <c r="AR32" s="6"/>
      <c r="AS32" s="6"/>
      <c r="AT32" s="6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M16" sqref="M16"/>
    </sheetView>
  </sheetViews>
  <sheetFormatPr defaultColWidth="9.00666666666667" defaultRowHeight="15" customHeight="1"/>
  <cols>
    <col min="10" max="10" width="10.28" style="7" customWidth="1"/>
    <col min="11" max="11" width="12.44" style="7" customWidth="1"/>
    <col min="12" max="12" width="12.28" style="7" customWidth="1"/>
  </cols>
  <sheetData>
    <row r="1" customHeight="1" spans="1:20">
      <c r="A1" s="17" t="s">
        <v>11</v>
      </c>
      <c r="B1" s="17"/>
      <c r="D1" s="17" t="s">
        <v>12</v>
      </c>
      <c r="E1" s="17"/>
      <c r="G1" s="17" t="s">
        <v>3</v>
      </c>
      <c r="H1" s="17"/>
      <c r="K1" s="17" t="s">
        <v>13</v>
      </c>
      <c r="L1" s="17"/>
      <c r="O1" s="3"/>
      <c r="P1" s="3"/>
      <c r="T1" s="3"/>
    </row>
    <row r="2" customHeight="1" spans="1:19">
      <c r="A2" s="6">
        <v>0.000974606</v>
      </c>
      <c r="B2" s="6">
        <v>110579000</v>
      </c>
      <c r="D2" s="6">
        <v>0.000990369</v>
      </c>
      <c r="E2" s="6">
        <v>99805500</v>
      </c>
      <c r="G2" s="6">
        <v>0.000989107</v>
      </c>
      <c r="H2" s="6">
        <v>106808000</v>
      </c>
      <c r="K2" s="7" t="s">
        <v>14</v>
      </c>
      <c r="L2" s="7" t="s">
        <v>15</v>
      </c>
      <c r="M2" s="7" t="s">
        <v>16</v>
      </c>
      <c r="N2" s="3" t="s">
        <v>17</v>
      </c>
      <c r="O2" s="3" t="s">
        <v>18</v>
      </c>
      <c r="P2" s="1" t="s">
        <v>19</v>
      </c>
      <c r="Q2" s="1" t="s">
        <v>20</v>
      </c>
      <c r="R2" s="1" t="s">
        <v>21</v>
      </c>
      <c r="S2" s="3" t="s">
        <v>22</v>
      </c>
    </row>
    <row r="3" customHeight="1" spans="1:19">
      <c r="A3" s="6">
        <v>0.00204321</v>
      </c>
      <c r="B3" s="6">
        <v>99151100</v>
      </c>
      <c r="D3" s="6">
        <v>0.002124</v>
      </c>
      <c r="E3" s="6">
        <v>98356300</v>
      </c>
      <c r="G3" s="6">
        <v>0.00201989</v>
      </c>
      <c r="H3" s="6">
        <v>115151000</v>
      </c>
      <c r="J3" s="1" t="s">
        <v>1</v>
      </c>
      <c r="K3" s="1">
        <f>AVERAGE(B25:B30)/1000000</f>
        <v>155.941333333333</v>
      </c>
      <c r="L3" s="19">
        <f>AVERAGE('400K_SR20'!L28:L32)</f>
        <v>69083300000000</v>
      </c>
      <c r="M3" s="19">
        <f>AVERAGE('400K_SR20'!C28:C32)</f>
        <v>122383333333333</v>
      </c>
      <c r="N3" s="2">
        <f>Graphs!$B$1*80.9*0.248*SQRT(L3)/1000000</f>
        <v>62.5342589429888</v>
      </c>
      <c r="O3" s="2">
        <f>Graphs!$B$2*80.9*0.248*SQRT(M3)/1000000</f>
        <v>11.0976582246442</v>
      </c>
      <c r="P3" s="1">
        <f>SQRT(N3^2+O3^2)</f>
        <v>63.5113498488246</v>
      </c>
      <c r="Q3" s="1">
        <f>K3*0.4707</f>
        <v>73.4015856</v>
      </c>
      <c r="R3" s="1">
        <f>Q3/P3</f>
        <v>1.15572391036747</v>
      </c>
      <c r="S3" s="2">
        <f>L3/M3</f>
        <v>0.564482908892823</v>
      </c>
    </row>
    <row r="4" customHeight="1" spans="1:19">
      <c r="A4" s="6">
        <v>0.00297351</v>
      </c>
      <c r="B4" s="6">
        <v>105715000</v>
      </c>
      <c r="D4" s="6">
        <v>0.00306679</v>
      </c>
      <c r="E4" s="6">
        <v>86227800</v>
      </c>
      <c r="G4" s="6">
        <v>0.00323733</v>
      </c>
      <c r="H4" s="6">
        <v>120553000</v>
      </c>
      <c r="J4" s="1" t="s">
        <v>2</v>
      </c>
      <c r="K4" s="1">
        <f>AVERAGE(E25:E30)/1000000</f>
        <v>167.2634</v>
      </c>
      <c r="L4" s="19">
        <f>AVERAGE('400K_SR20'!Y28:Y32)</f>
        <v>68027000000000</v>
      </c>
      <c r="M4" s="19">
        <f>AVERAGE('400K_SR20'!P28:P32)</f>
        <v>122817500000000</v>
      </c>
      <c r="N4" s="2">
        <f>Graphs!$B$1*80.9*0.248*SQRT(L4)/1000000</f>
        <v>62.0543355341561</v>
      </c>
      <c r="O4" s="2">
        <f>Graphs!$B$2*80.9*0.248*SQRT(M4)/1000000</f>
        <v>11.1173258028371</v>
      </c>
      <c r="P4" s="1">
        <f>SQRT(N4^2+O4^2)</f>
        <v>63.042330949863</v>
      </c>
      <c r="Q4" s="1">
        <f>K4*0.4707</f>
        <v>78.73088238</v>
      </c>
      <c r="R4" s="1">
        <f>Q4/P4</f>
        <v>1.24885741364186</v>
      </c>
      <c r="S4" s="2">
        <f>L4/M4</f>
        <v>0.55388686465691</v>
      </c>
    </row>
    <row r="5" customHeight="1" spans="1:19">
      <c r="A5" s="6">
        <v>0.00403768</v>
      </c>
      <c r="B5" s="6">
        <v>109610000</v>
      </c>
      <c r="D5" s="6">
        <v>0.00400013</v>
      </c>
      <c r="E5" s="6">
        <v>92019400</v>
      </c>
      <c r="G5" s="6">
        <v>0.00398168</v>
      </c>
      <c r="H5" s="6">
        <v>120121000</v>
      </c>
      <c r="J5" s="1" t="s">
        <v>3</v>
      </c>
      <c r="K5" s="1">
        <f>AVERAGE(H24:H28)/1000000</f>
        <v>87.40314</v>
      </c>
      <c r="L5" s="19">
        <f>AVERAGE('400K_SR20'!AL28:AL32)</f>
        <v>9284870000000</v>
      </c>
      <c r="M5" s="19">
        <f>AVERAGE('400K_SR20'!AC28:AC32)</f>
        <v>126914000000000</v>
      </c>
      <c r="N5" s="2">
        <f>Graphs!$B$1*80.9*0.248*SQRT(L5)/1000000</f>
        <v>22.9255299612382</v>
      </c>
      <c r="O5" s="2">
        <f>Graphs!$B$2*80.9*0.248*SQRT(M5)/1000000</f>
        <v>11.3012107224155</v>
      </c>
      <c r="P5" s="1">
        <f>SQRT(N5^2+O5^2)</f>
        <v>25.5596809016871</v>
      </c>
      <c r="Q5" s="1">
        <f>K5*0.4707</f>
        <v>41.140657998</v>
      </c>
      <c r="R5" s="1">
        <f>Q5/P5</f>
        <v>1.6095920037595</v>
      </c>
      <c r="S5" s="2">
        <f>L5/M5</f>
        <v>0.0731587531714389</v>
      </c>
    </row>
    <row r="6" customHeight="1" spans="1:8">
      <c r="A6" s="6">
        <v>0.00499008</v>
      </c>
      <c r="B6" s="6">
        <v>114582000</v>
      </c>
      <c r="D6" s="6">
        <v>0.0050262</v>
      </c>
      <c r="E6" s="6">
        <v>89592500</v>
      </c>
      <c r="G6" s="6">
        <v>0.00498484</v>
      </c>
      <c r="H6" s="6">
        <v>115054000</v>
      </c>
    </row>
    <row r="7" customHeight="1" spans="1:8">
      <c r="A7" s="6">
        <v>0.00601634</v>
      </c>
      <c r="B7" s="6">
        <v>108370000</v>
      </c>
      <c r="D7" s="6">
        <v>0.00609306</v>
      </c>
      <c r="E7" s="6">
        <v>87400300</v>
      </c>
      <c r="G7" s="6">
        <v>0.00600329</v>
      </c>
      <c r="H7" s="6">
        <v>116893000</v>
      </c>
    </row>
    <row r="8" customHeight="1" spans="1:8">
      <c r="A8" s="6">
        <v>0.00699688</v>
      </c>
      <c r="B8" s="6">
        <v>117188000</v>
      </c>
      <c r="D8" s="6">
        <v>0.00699312</v>
      </c>
      <c r="E8" s="6">
        <v>83381600</v>
      </c>
      <c r="G8" s="6">
        <v>0.00695664</v>
      </c>
      <c r="H8" s="6">
        <v>104188000</v>
      </c>
    </row>
    <row r="9" customHeight="1" spans="1:8">
      <c r="A9" s="6">
        <v>0.00803321</v>
      </c>
      <c r="B9" s="6">
        <v>126894000</v>
      </c>
      <c r="D9" s="6">
        <v>0.0080631</v>
      </c>
      <c r="E9" s="6">
        <v>85785500</v>
      </c>
      <c r="G9" s="6">
        <v>0.00812375</v>
      </c>
      <c r="H9" s="6">
        <v>104007000</v>
      </c>
    </row>
    <row r="10" customHeight="1" spans="1:8">
      <c r="A10" s="6">
        <v>0.00900416</v>
      </c>
      <c r="B10" s="6">
        <v>125873000</v>
      </c>
      <c r="D10" s="6">
        <v>0.00900432</v>
      </c>
      <c r="E10" s="6">
        <v>81150900</v>
      </c>
      <c r="G10" s="6">
        <v>0.0090335</v>
      </c>
      <c r="H10" s="6">
        <v>105178000</v>
      </c>
    </row>
    <row r="11" customHeight="1" spans="1:19">
      <c r="A11" s="6">
        <v>0.0100131</v>
      </c>
      <c r="B11" s="6">
        <v>115600000</v>
      </c>
      <c r="D11" s="6">
        <v>0.0100997</v>
      </c>
      <c r="E11" s="6">
        <v>86188000</v>
      </c>
      <c r="G11" s="6">
        <v>0.0100048</v>
      </c>
      <c r="H11" s="6">
        <v>102231000</v>
      </c>
      <c r="J11" s="17" t="s">
        <v>23</v>
      </c>
      <c r="K11" s="17"/>
      <c r="L11" s="17"/>
      <c r="M11" s="17"/>
      <c r="N11" s="17"/>
      <c r="O11" s="17"/>
      <c r="P11" s="17"/>
      <c r="Q11" s="17"/>
      <c r="R11" s="17"/>
      <c r="S11" s="17"/>
    </row>
    <row r="12" customHeight="1" spans="1:19">
      <c r="A12" s="6">
        <v>0.0110256</v>
      </c>
      <c r="B12" s="6">
        <v>119675000</v>
      </c>
      <c r="D12" s="6">
        <v>0.0110179</v>
      </c>
      <c r="E12" s="6">
        <v>96758900</v>
      </c>
      <c r="G12" s="6">
        <v>0.0110689</v>
      </c>
      <c r="H12" s="6">
        <v>102355000</v>
      </c>
      <c r="K12" s="7" t="s">
        <v>14</v>
      </c>
      <c r="L12" s="7" t="s">
        <v>15</v>
      </c>
      <c r="M12" s="7" t="s">
        <v>16</v>
      </c>
      <c r="N12" s="3" t="s">
        <v>17</v>
      </c>
      <c r="O12" s="3" t="s">
        <v>18</v>
      </c>
      <c r="P12" s="1" t="s">
        <v>19</v>
      </c>
      <c r="Q12" s="1" t="s">
        <v>20</v>
      </c>
      <c r="R12" s="1" t="s">
        <v>21</v>
      </c>
      <c r="S12" s="3" t="s">
        <v>22</v>
      </c>
    </row>
    <row r="13" customHeight="1" spans="1:19">
      <c r="A13" s="6">
        <v>0.0120005</v>
      </c>
      <c r="B13" s="6">
        <v>132414000</v>
      </c>
      <c r="D13" s="6">
        <v>0.0120621</v>
      </c>
      <c r="E13" s="6">
        <v>124863000</v>
      </c>
      <c r="G13" s="6">
        <v>0.0119677</v>
      </c>
      <c r="H13" s="6">
        <v>108677000</v>
      </c>
      <c r="J13" s="1" t="s">
        <v>1</v>
      </c>
      <c r="K13" s="1">
        <f>AVERAGE(B12:B16)/1000000</f>
        <v>136.4098</v>
      </c>
      <c r="L13" s="19">
        <f>AVERAGE('400K_SR20'!L12:L16)</f>
        <v>47569620000000</v>
      </c>
      <c r="M13" s="19">
        <f>AVERAGE('400K_SR20'!C12:C16)</f>
        <v>125554400000000</v>
      </c>
      <c r="N13" s="2">
        <f>Graphs!$B$1*80.9*0.248*SQRT(L13)/1000000</f>
        <v>51.8915103296277</v>
      </c>
      <c r="O13" s="2">
        <f>Graphs!$B$2*80.9*0.248*SQRT(M13)/1000000</f>
        <v>11.2405141138658</v>
      </c>
      <c r="P13" s="1">
        <f>SQRT(N13^2+O13^2)</f>
        <v>53.0949903647592</v>
      </c>
      <c r="Q13" s="1">
        <f>K13*0.4707</f>
        <v>64.20809286</v>
      </c>
      <c r="R13" s="1">
        <f>Q13/P13</f>
        <v>1.20930604599218</v>
      </c>
      <c r="S13" s="2">
        <f>L13/M13</f>
        <v>0.378876566651587</v>
      </c>
    </row>
    <row r="14" customHeight="1" spans="1:19">
      <c r="A14" s="6">
        <v>0.0131082</v>
      </c>
      <c r="B14" s="6">
        <v>146766000</v>
      </c>
      <c r="D14" s="6">
        <v>0.0130452</v>
      </c>
      <c r="E14" s="6">
        <v>145691000</v>
      </c>
      <c r="G14" s="6">
        <v>0.0129759</v>
      </c>
      <c r="H14" s="6">
        <v>108822000</v>
      </c>
      <c r="J14" s="1" t="s">
        <v>2</v>
      </c>
      <c r="K14" s="1">
        <f>AVERAGE(E12:E16)/1000000</f>
        <v>131.75038</v>
      </c>
      <c r="L14" s="19">
        <f>AVERAGE('400K_SR20'!Y12:Y16)</f>
        <v>20649040000000</v>
      </c>
      <c r="M14" s="19">
        <f>AVERAGE('400K_SR20'!P12:P16)</f>
        <v>127375000000000</v>
      </c>
      <c r="N14" s="2">
        <f>Graphs!$B$1*80.9*0.248*SQRT(L14)/1000000</f>
        <v>34.1886067583819</v>
      </c>
      <c r="O14" s="2">
        <f>Graphs!$B$2*80.9*0.248*SQRT(M14)/1000000</f>
        <v>11.321717268851</v>
      </c>
      <c r="P14" s="1">
        <f>SQRT(N14^2+O14^2)</f>
        <v>36.0144708970586</v>
      </c>
      <c r="Q14" s="1">
        <f>K14*0.4707</f>
        <v>62.014903866</v>
      </c>
      <c r="R14" s="1">
        <f>Q14/P14</f>
        <v>1.72194404974765</v>
      </c>
      <c r="S14" s="2">
        <f>L14/M14</f>
        <v>0.16211218842002</v>
      </c>
    </row>
    <row r="15" customHeight="1" spans="1:19">
      <c r="A15" s="6">
        <v>0.0140191</v>
      </c>
      <c r="B15" s="6">
        <v>142697000</v>
      </c>
      <c r="D15" s="6">
        <v>0.0139858</v>
      </c>
      <c r="E15" s="6">
        <v>151131000</v>
      </c>
      <c r="G15" s="6">
        <v>0.0141253</v>
      </c>
      <c r="H15" s="6">
        <v>108317000</v>
      </c>
      <c r="J15" s="1" t="s">
        <v>3</v>
      </c>
      <c r="K15" s="1">
        <f>AVERAGE(H12:H16)/1000000</f>
        <v>106.4906</v>
      </c>
      <c r="L15" s="19">
        <f>AVERAGE('400K_SR20'!AL12:AL16)</f>
        <v>15820340000000</v>
      </c>
      <c r="M15" s="19">
        <f>AVERAGE('400K_SR20'!AC12:AC16)</f>
        <v>126562200000000</v>
      </c>
      <c r="N15" s="2">
        <f>Graphs!$B$1*80.9*0.248*SQRT(L15)/1000000</f>
        <v>29.9253595132419</v>
      </c>
      <c r="O15" s="2">
        <f>Graphs!$B$2*80.9*0.248*SQRT(M15)/1000000</f>
        <v>11.2855366245254</v>
      </c>
      <c r="P15" s="1">
        <f>SQRT(N15^2+O15^2)</f>
        <v>31.9826590342373</v>
      </c>
      <c r="Q15" s="1">
        <f>K15*0.4707</f>
        <v>50.12512542</v>
      </c>
      <c r="R15" s="1">
        <f>Q15/P15</f>
        <v>1.56725947540326</v>
      </c>
      <c r="S15" s="2">
        <f>L15/M15</f>
        <v>0.125000513581464</v>
      </c>
    </row>
    <row r="16" customHeight="1" spans="1:8">
      <c r="A16" s="6">
        <v>0.0150061</v>
      </c>
      <c r="B16" s="6">
        <v>140497000</v>
      </c>
      <c r="D16" s="6">
        <v>0.0150132</v>
      </c>
      <c r="E16" s="6">
        <v>140308000</v>
      </c>
      <c r="G16" s="6">
        <v>0.0148874</v>
      </c>
      <c r="H16" s="6">
        <v>104282000</v>
      </c>
    </row>
    <row r="17" customHeight="1" spans="1:8">
      <c r="A17" s="6">
        <v>0.0160272</v>
      </c>
      <c r="B17" s="6">
        <v>134553000</v>
      </c>
      <c r="D17" s="6">
        <v>0.0160216</v>
      </c>
      <c r="E17" s="6">
        <v>141558000</v>
      </c>
      <c r="G17" s="6">
        <v>0.0161202</v>
      </c>
      <c r="H17" s="6">
        <v>98637500</v>
      </c>
    </row>
    <row r="18" customHeight="1" spans="1:8">
      <c r="A18" s="6">
        <v>0.0169018</v>
      </c>
      <c r="B18" s="6">
        <v>196898000</v>
      </c>
      <c r="D18" s="6">
        <v>0.0171345</v>
      </c>
      <c r="E18" s="6">
        <v>135206000</v>
      </c>
      <c r="G18" s="6">
        <v>0.0170747</v>
      </c>
      <c r="H18" s="6">
        <v>96121700</v>
      </c>
    </row>
    <row r="19" customHeight="1" spans="1:8">
      <c r="A19" s="6">
        <v>0.0180332</v>
      </c>
      <c r="B19" s="6">
        <v>173200000</v>
      </c>
      <c r="D19" s="6">
        <v>0.0180138</v>
      </c>
      <c r="E19" s="6">
        <v>140272000</v>
      </c>
      <c r="G19" s="6">
        <v>0.0179877</v>
      </c>
      <c r="H19" s="6">
        <v>93269500</v>
      </c>
    </row>
    <row r="20" customHeight="1" spans="1:8">
      <c r="A20" s="6">
        <v>0.0189849</v>
      </c>
      <c r="B20" s="6">
        <v>197333000</v>
      </c>
      <c r="D20" s="6">
        <v>0.0189339</v>
      </c>
      <c r="E20" s="6">
        <v>139626000</v>
      </c>
      <c r="G20" s="6">
        <v>0.0189791</v>
      </c>
      <c r="H20" s="6">
        <v>91531900</v>
      </c>
    </row>
    <row r="21" customHeight="1" spans="1:8">
      <c r="A21" s="6">
        <v>0.0199998</v>
      </c>
      <c r="B21" s="6">
        <v>167221000</v>
      </c>
      <c r="D21" s="6">
        <v>0.0200167</v>
      </c>
      <c r="E21" s="6">
        <v>123552000</v>
      </c>
      <c r="G21" s="6">
        <v>0.0199769</v>
      </c>
      <c r="H21" s="6">
        <v>88576400</v>
      </c>
    </row>
    <row r="22" customHeight="1" spans="1:8">
      <c r="A22" s="6">
        <v>0.0207894</v>
      </c>
      <c r="B22" s="6">
        <v>192091000</v>
      </c>
      <c r="D22" s="6">
        <v>0.0209944</v>
      </c>
      <c r="E22" s="6">
        <v>134096000</v>
      </c>
      <c r="G22" s="6">
        <v>0.0210492</v>
      </c>
      <c r="H22" s="6">
        <v>83583500</v>
      </c>
    </row>
    <row r="23" customHeight="1" spans="1:8">
      <c r="A23" s="6">
        <v>0.0218755</v>
      </c>
      <c r="B23" s="6">
        <v>187385000</v>
      </c>
      <c r="D23" s="6">
        <v>0.0220424</v>
      </c>
      <c r="E23" s="6">
        <v>129314000</v>
      </c>
      <c r="G23" s="6">
        <v>0.0220476</v>
      </c>
      <c r="H23" s="6">
        <v>87511800</v>
      </c>
    </row>
    <row r="24" customHeight="1" spans="1:8">
      <c r="A24" s="6">
        <v>0.0228839</v>
      </c>
      <c r="B24" s="6">
        <v>165898000</v>
      </c>
      <c r="D24" s="6">
        <v>0.0229543</v>
      </c>
      <c r="E24" s="6">
        <v>132968000</v>
      </c>
      <c r="G24" s="6">
        <v>0.0229617</v>
      </c>
      <c r="H24" s="6">
        <v>93218600</v>
      </c>
    </row>
    <row r="25" customHeight="1" spans="1:8">
      <c r="A25" s="6">
        <v>0.0240288</v>
      </c>
      <c r="B25" s="6">
        <v>134088000</v>
      </c>
      <c r="D25" s="6">
        <v>0.0238307</v>
      </c>
      <c r="E25" s="6">
        <v>159191000</v>
      </c>
      <c r="G25" s="6">
        <v>0.0240296</v>
      </c>
      <c r="H25" s="6">
        <v>87847100</v>
      </c>
    </row>
    <row r="26" customHeight="1" spans="1:8">
      <c r="A26" s="6">
        <v>0.0249402</v>
      </c>
      <c r="B26" s="6">
        <v>170641000</v>
      </c>
      <c r="D26" s="6">
        <v>0.0249625</v>
      </c>
      <c r="E26" s="6">
        <v>193321000</v>
      </c>
      <c r="G26" s="6">
        <v>0.0250661</v>
      </c>
      <c r="H26" s="6">
        <v>89130200</v>
      </c>
    </row>
    <row r="27" customHeight="1" spans="1:8">
      <c r="A27" s="6">
        <v>0.0259639</v>
      </c>
      <c r="B27" s="6">
        <v>157028000</v>
      </c>
      <c r="D27" s="6">
        <v>0.0260463</v>
      </c>
      <c r="E27" s="6">
        <v>155163000</v>
      </c>
      <c r="G27" s="6">
        <v>0.0259647</v>
      </c>
      <c r="H27" s="6">
        <v>84810000</v>
      </c>
    </row>
    <row r="28" customHeight="1" spans="1:8">
      <c r="A28" s="6">
        <v>0.0269637</v>
      </c>
      <c r="B28" s="6">
        <v>176730000</v>
      </c>
      <c r="D28" s="6">
        <v>0.0269885</v>
      </c>
      <c r="E28" s="6">
        <v>145296000</v>
      </c>
      <c r="G28" s="6">
        <v>0.0270004</v>
      </c>
      <c r="H28" s="6">
        <v>82009800</v>
      </c>
    </row>
    <row r="29" customHeight="1" spans="1:5">
      <c r="A29" s="6">
        <v>0.0281025</v>
      </c>
      <c r="B29" s="6">
        <v>146932000</v>
      </c>
      <c r="D29" s="6">
        <v>0.0279744</v>
      </c>
      <c r="E29" s="6">
        <v>183346000</v>
      </c>
    </row>
    <row r="30" customHeight="1" spans="1:2">
      <c r="A30" s="6">
        <v>0.0289868</v>
      </c>
      <c r="B30" s="6">
        <v>150229000</v>
      </c>
    </row>
    <row r="31" customHeight="1" spans="1:2">
      <c r="A31" s="6"/>
      <c r="B31" s="6"/>
    </row>
  </sheetData>
  <mergeCells count="5">
    <mergeCell ref="A1:B1"/>
    <mergeCell ref="D1:E1"/>
    <mergeCell ref="G1:H1"/>
    <mergeCell ref="K1:L1"/>
    <mergeCell ref="J11:S1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9"/>
  <sheetViews>
    <sheetView topLeftCell="X1" workbookViewId="0">
      <selection activeCell="AA23" sqref="AA23:AL33"/>
    </sheetView>
  </sheetViews>
  <sheetFormatPr defaultColWidth="9.00666666666667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24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6">
        <v>0.00100817</v>
      </c>
      <c r="B2" s="6">
        <v>0.00152811</v>
      </c>
      <c r="C2" s="6">
        <v>126734000000000</v>
      </c>
      <c r="D2" s="6">
        <v>69313100000</v>
      </c>
      <c r="E2" s="6">
        <v>0</v>
      </c>
      <c r="F2" s="6">
        <v>0</v>
      </c>
      <c r="G2" s="6">
        <v>2</v>
      </c>
      <c r="H2" s="6">
        <v>29819200000000</v>
      </c>
      <c r="I2" s="6">
        <v>29372200000000</v>
      </c>
      <c r="J2" s="6">
        <v>29316400000000</v>
      </c>
      <c r="K2" s="6">
        <v>28949500000000</v>
      </c>
      <c r="L2" s="6">
        <v>9276800000000</v>
      </c>
      <c r="N2" s="6">
        <v>0.000946734</v>
      </c>
      <c r="O2" s="6">
        <v>0.00150362</v>
      </c>
      <c r="P2" s="6">
        <v>127411000000000</v>
      </c>
      <c r="Q2" s="6">
        <v>5276330000</v>
      </c>
      <c r="R2" s="6">
        <v>0</v>
      </c>
      <c r="S2" s="6">
        <v>0</v>
      </c>
      <c r="T2" s="6">
        <v>2</v>
      </c>
      <c r="U2" s="6">
        <v>30399400000000</v>
      </c>
      <c r="V2" s="6">
        <v>29987900000000</v>
      </c>
      <c r="W2" s="6">
        <v>29623400000000</v>
      </c>
      <c r="X2" s="6">
        <v>29915400000000</v>
      </c>
      <c r="Y2" s="6">
        <v>7484320000000</v>
      </c>
      <c r="AA2" s="6">
        <v>0.000986807</v>
      </c>
      <c r="AB2" s="6">
        <v>0.00152015</v>
      </c>
      <c r="AC2" s="6">
        <v>127143000000000</v>
      </c>
      <c r="AD2" s="6">
        <v>4117280000</v>
      </c>
      <c r="AE2" s="6">
        <v>0</v>
      </c>
      <c r="AF2" s="6">
        <v>0</v>
      </c>
      <c r="AG2" s="6">
        <v>2</v>
      </c>
      <c r="AH2" s="6">
        <v>29600100000000</v>
      </c>
      <c r="AI2" s="6">
        <v>29478800000000</v>
      </c>
      <c r="AJ2" s="6">
        <v>29433300000000</v>
      </c>
      <c r="AK2" s="6">
        <v>28981400000000</v>
      </c>
      <c r="AL2" s="6">
        <v>9649260000000</v>
      </c>
      <c r="AN2" s="6">
        <f t="shared" ref="AN2:AN30" si="0">A2</f>
        <v>0.00100817</v>
      </c>
      <c r="AO2" s="6">
        <f t="shared" ref="AO2:AO30" si="1">(C2+P2+AC2)/3</f>
        <v>127096000000000</v>
      </c>
      <c r="AP2" s="6">
        <f t="shared" ref="AP2:AP30" si="2">MIN(C2,P2,AC2)</f>
        <v>126734000000000</v>
      </c>
      <c r="AQ2" s="6">
        <f t="shared" ref="AQ2:AQ30" si="3">MAX(C2,P2,AC2)</f>
        <v>127411000000000</v>
      </c>
      <c r="AR2" s="6">
        <f t="shared" ref="AR2:AR30" si="4">(L2+Y2+AL2)/3</f>
        <v>8803460000000</v>
      </c>
      <c r="AS2" s="6">
        <f t="shared" ref="AS2:AS30" si="5">MIN(L2,Y2,AL2)</f>
        <v>7484320000000</v>
      </c>
      <c r="AT2" s="6">
        <f t="shared" ref="AT2:AT30" si="6">MAX(L2,Y2,AL2)</f>
        <v>9649260000000</v>
      </c>
    </row>
    <row r="3" customHeight="1" spans="1:46">
      <c r="A3" s="6">
        <v>0.00196264</v>
      </c>
      <c r="B3" s="6">
        <v>0.0025242</v>
      </c>
      <c r="C3" s="6">
        <v>126717000000000</v>
      </c>
      <c r="D3" s="6">
        <v>4892010000</v>
      </c>
      <c r="E3" s="6">
        <v>0</v>
      </c>
      <c r="F3" s="6">
        <v>0</v>
      </c>
      <c r="G3" s="6">
        <v>2</v>
      </c>
      <c r="H3" s="6">
        <v>28943000000000</v>
      </c>
      <c r="I3" s="6">
        <v>28336900000000</v>
      </c>
      <c r="J3" s="6">
        <v>28766500000000</v>
      </c>
      <c r="K3" s="6">
        <v>28165300000000</v>
      </c>
      <c r="L3" s="6">
        <v>12504900000000</v>
      </c>
      <c r="N3" s="6">
        <v>0.0020171</v>
      </c>
      <c r="O3" s="6">
        <v>0.00265706</v>
      </c>
      <c r="P3" s="6">
        <v>127647000000000</v>
      </c>
      <c r="Q3" s="6">
        <v>8085840000</v>
      </c>
      <c r="R3" s="6">
        <v>0</v>
      </c>
      <c r="S3" s="6">
        <v>0</v>
      </c>
      <c r="T3" s="6">
        <v>2</v>
      </c>
      <c r="U3" s="6">
        <v>28890100000000</v>
      </c>
      <c r="V3" s="6">
        <v>28534000000000</v>
      </c>
      <c r="W3" s="6">
        <v>27704800000000</v>
      </c>
      <c r="X3" s="6">
        <v>28746400000000</v>
      </c>
      <c r="Y3" s="6">
        <v>13771200000000</v>
      </c>
      <c r="AA3" s="6">
        <v>0.00202279</v>
      </c>
      <c r="AB3" s="6">
        <v>0.0026457</v>
      </c>
      <c r="AC3" s="6">
        <v>126880000000000</v>
      </c>
      <c r="AD3" s="6">
        <v>35600200000</v>
      </c>
      <c r="AE3" s="6">
        <v>0</v>
      </c>
      <c r="AF3" s="6">
        <v>0</v>
      </c>
      <c r="AG3" s="6">
        <v>2</v>
      </c>
      <c r="AH3" s="6">
        <v>28188000000000</v>
      </c>
      <c r="AI3" s="6">
        <v>28112100000000</v>
      </c>
      <c r="AJ3" s="6">
        <v>28022600000000</v>
      </c>
      <c r="AK3" s="6">
        <v>27596700000000</v>
      </c>
      <c r="AL3" s="6">
        <v>14960300000000</v>
      </c>
      <c r="AN3" s="6">
        <f t="shared" si="0"/>
        <v>0.00196264</v>
      </c>
      <c r="AO3" s="6">
        <f t="shared" si="1"/>
        <v>127081333333333</v>
      </c>
      <c r="AP3" s="6">
        <f t="shared" si="2"/>
        <v>126717000000000</v>
      </c>
      <c r="AQ3" s="6">
        <f t="shared" si="3"/>
        <v>127647000000000</v>
      </c>
      <c r="AR3" s="6">
        <f t="shared" si="4"/>
        <v>13745466666666.7</v>
      </c>
      <c r="AS3" s="6">
        <f t="shared" si="5"/>
        <v>12504900000000</v>
      </c>
      <c r="AT3" s="6">
        <f t="shared" si="6"/>
        <v>14960300000000</v>
      </c>
    </row>
    <row r="4" customHeight="1" spans="1:46">
      <c r="A4" s="6">
        <v>0.00303062</v>
      </c>
      <c r="B4" s="6">
        <v>0.00362846</v>
      </c>
      <c r="C4" s="6">
        <v>126702000000000</v>
      </c>
      <c r="D4" s="6">
        <v>2656140000</v>
      </c>
      <c r="E4" s="6">
        <v>0</v>
      </c>
      <c r="F4" s="6">
        <v>0</v>
      </c>
      <c r="G4" s="6">
        <v>2</v>
      </c>
      <c r="H4" s="6">
        <v>27465900000000</v>
      </c>
      <c r="I4" s="6">
        <v>27424100000000</v>
      </c>
      <c r="J4" s="6">
        <v>27658700000000</v>
      </c>
      <c r="K4" s="6">
        <v>27068600000000</v>
      </c>
      <c r="L4" s="6">
        <v>17084800000000</v>
      </c>
      <c r="N4" s="6">
        <v>0.00295437</v>
      </c>
      <c r="O4" s="6">
        <v>0.00365188</v>
      </c>
      <c r="P4" s="6">
        <v>127992000000000</v>
      </c>
      <c r="Q4" s="6">
        <v>6747040000</v>
      </c>
      <c r="R4" s="6">
        <v>0</v>
      </c>
      <c r="S4" s="6">
        <v>0</v>
      </c>
      <c r="T4" s="6">
        <v>2</v>
      </c>
      <c r="U4" s="6">
        <v>27582400000000</v>
      </c>
      <c r="V4" s="6">
        <v>27389000000000</v>
      </c>
      <c r="W4" s="6">
        <v>27069800000000</v>
      </c>
      <c r="X4" s="6">
        <v>27498100000000</v>
      </c>
      <c r="Y4" s="6">
        <v>18452600000000</v>
      </c>
      <c r="AA4" s="6">
        <v>0.00301632</v>
      </c>
      <c r="AB4" s="6">
        <v>0.00370676</v>
      </c>
      <c r="AC4" s="6">
        <v>128103000000000</v>
      </c>
      <c r="AD4" s="6">
        <v>4585490000</v>
      </c>
      <c r="AE4" s="6">
        <v>0</v>
      </c>
      <c r="AF4" s="6">
        <v>0</v>
      </c>
      <c r="AG4" s="6">
        <v>2</v>
      </c>
      <c r="AH4" s="6">
        <v>27294700000000</v>
      </c>
      <c r="AI4" s="6">
        <v>27563900000000</v>
      </c>
      <c r="AJ4" s="6">
        <v>27468700000000</v>
      </c>
      <c r="AK4" s="6">
        <v>27688200000000</v>
      </c>
      <c r="AL4" s="6">
        <v>18086900000000</v>
      </c>
      <c r="AN4" s="6">
        <f t="shared" si="0"/>
        <v>0.00303062</v>
      </c>
      <c r="AO4" s="6">
        <f t="shared" si="1"/>
        <v>127599000000000</v>
      </c>
      <c r="AP4" s="6">
        <f t="shared" si="2"/>
        <v>126702000000000</v>
      </c>
      <c r="AQ4" s="6">
        <f t="shared" si="3"/>
        <v>128103000000000</v>
      </c>
      <c r="AR4" s="6">
        <f t="shared" si="4"/>
        <v>17874766666666.7</v>
      </c>
      <c r="AS4" s="6">
        <f t="shared" si="5"/>
        <v>17084800000000</v>
      </c>
      <c r="AT4" s="6">
        <f t="shared" si="6"/>
        <v>18452600000000</v>
      </c>
    </row>
    <row r="5" customHeight="1" spans="1:46">
      <c r="A5" s="6">
        <v>0.00402491</v>
      </c>
      <c r="B5" s="6">
        <v>0.00464284</v>
      </c>
      <c r="C5" s="6">
        <v>127703000000000</v>
      </c>
      <c r="D5" s="6">
        <v>13288400000</v>
      </c>
      <c r="E5" s="6">
        <v>0</v>
      </c>
      <c r="F5" s="6">
        <v>0</v>
      </c>
      <c r="G5" s="6">
        <v>2</v>
      </c>
      <c r="H5" s="6">
        <v>27434600000000</v>
      </c>
      <c r="I5" s="6">
        <v>27399900000000</v>
      </c>
      <c r="J5" s="6">
        <v>28163600000000</v>
      </c>
      <c r="K5" s="6">
        <v>27161400000000</v>
      </c>
      <c r="L5" s="6">
        <v>17543400000000</v>
      </c>
      <c r="N5" s="6">
        <v>0.0040034</v>
      </c>
      <c r="O5" s="6">
        <v>0.00466247</v>
      </c>
      <c r="P5" s="6">
        <v>127340000000000</v>
      </c>
      <c r="Q5" s="6">
        <v>11682800000</v>
      </c>
      <c r="R5" s="6">
        <v>0</v>
      </c>
      <c r="S5" s="6">
        <v>0</v>
      </c>
      <c r="T5" s="6">
        <v>2</v>
      </c>
      <c r="U5" s="6">
        <v>27305400000000</v>
      </c>
      <c r="V5" s="6">
        <v>27008800000000</v>
      </c>
      <c r="W5" s="6">
        <v>26420900000000</v>
      </c>
      <c r="X5" s="6">
        <v>25944800000000</v>
      </c>
      <c r="Y5" s="6">
        <v>20660000000000</v>
      </c>
      <c r="AA5" s="6">
        <v>0.00400083</v>
      </c>
      <c r="AB5" s="6">
        <v>0.00465531</v>
      </c>
      <c r="AC5" s="6">
        <v>127739000000000</v>
      </c>
      <c r="AD5" s="6">
        <v>9730830000</v>
      </c>
      <c r="AE5" s="6">
        <v>0</v>
      </c>
      <c r="AF5" s="6">
        <v>0</v>
      </c>
      <c r="AG5" s="6">
        <v>2</v>
      </c>
      <c r="AH5" s="6">
        <v>26632500000000</v>
      </c>
      <c r="AI5" s="6">
        <v>26919900000000</v>
      </c>
      <c r="AJ5" s="6">
        <v>27380500000000</v>
      </c>
      <c r="AK5" s="6">
        <v>28002200000000</v>
      </c>
      <c r="AL5" s="6">
        <v>18803900000000</v>
      </c>
      <c r="AN5" s="6">
        <f t="shared" si="0"/>
        <v>0.00402491</v>
      </c>
      <c r="AO5" s="6">
        <f t="shared" si="1"/>
        <v>127594000000000</v>
      </c>
      <c r="AP5" s="6">
        <f t="shared" si="2"/>
        <v>127340000000000</v>
      </c>
      <c r="AQ5" s="6">
        <f t="shared" si="3"/>
        <v>127739000000000</v>
      </c>
      <c r="AR5" s="6">
        <f t="shared" si="4"/>
        <v>19002433333333.3</v>
      </c>
      <c r="AS5" s="6">
        <f t="shared" si="5"/>
        <v>17543400000000</v>
      </c>
      <c r="AT5" s="6">
        <f t="shared" si="6"/>
        <v>20660000000000</v>
      </c>
    </row>
    <row r="6" customHeight="1" spans="1:46">
      <c r="A6" s="6">
        <v>0.00501723</v>
      </c>
      <c r="B6" s="6">
        <v>0.00562562</v>
      </c>
      <c r="C6" s="6">
        <v>127695000000000</v>
      </c>
      <c r="D6" s="6">
        <v>19670300000</v>
      </c>
      <c r="E6" s="6">
        <v>0</v>
      </c>
      <c r="F6" s="6">
        <v>0</v>
      </c>
      <c r="G6" s="6">
        <v>2</v>
      </c>
      <c r="H6" s="6">
        <v>27588500000000</v>
      </c>
      <c r="I6" s="6">
        <v>27475600000000</v>
      </c>
      <c r="J6" s="6">
        <v>27701200000000</v>
      </c>
      <c r="K6" s="6">
        <v>27641800000000</v>
      </c>
      <c r="L6" s="6">
        <v>17287700000000</v>
      </c>
      <c r="N6" s="6">
        <v>0.00501629</v>
      </c>
      <c r="O6" s="6">
        <v>0.00571476</v>
      </c>
      <c r="P6" s="6">
        <v>127502000000000</v>
      </c>
      <c r="Q6" s="6">
        <v>42832800000</v>
      </c>
      <c r="R6" s="6">
        <v>0</v>
      </c>
      <c r="S6" s="6">
        <v>0</v>
      </c>
      <c r="T6" s="6">
        <v>2</v>
      </c>
      <c r="U6" s="6">
        <v>26372800000000</v>
      </c>
      <c r="V6" s="6">
        <v>27290200000000</v>
      </c>
      <c r="W6" s="6">
        <v>25192300000000</v>
      </c>
      <c r="X6" s="6">
        <v>25401900000000</v>
      </c>
      <c r="Y6" s="6">
        <v>23240800000000</v>
      </c>
      <c r="AA6" s="6">
        <v>0.00501192</v>
      </c>
      <c r="AB6" s="6">
        <v>0.00557816</v>
      </c>
      <c r="AC6" s="6">
        <v>126751000000000</v>
      </c>
      <c r="AD6" s="6">
        <v>35700200000</v>
      </c>
      <c r="AE6" s="6">
        <v>0</v>
      </c>
      <c r="AF6" s="6">
        <v>0</v>
      </c>
      <c r="AG6" s="6">
        <v>2</v>
      </c>
      <c r="AH6" s="6">
        <v>26586600000000</v>
      </c>
      <c r="AI6" s="6">
        <v>26741200000000</v>
      </c>
      <c r="AJ6" s="6">
        <v>27512100000000</v>
      </c>
      <c r="AK6" s="6">
        <v>27657700000000</v>
      </c>
      <c r="AL6" s="6">
        <v>18252300000000</v>
      </c>
      <c r="AN6" s="6">
        <f t="shared" si="0"/>
        <v>0.00501723</v>
      </c>
      <c r="AO6" s="6">
        <f t="shared" si="1"/>
        <v>127316000000000</v>
      </c>
      <c r="AP6" s="6">
        <f t="shared" si="2"/>
        <v>126751000000000</v>
      </c>
      <c r="AQ6" s="6">
        <f t="shared" si="3"/>
        <v>127695000000000</v>
      </c>
      <c r="AR6" s="6">
        <f t="shared" si="4"/>
        <v>19593600000000</v>
      </c>
      <c r="AS6" s="6">
        <f t="shared" si="5"/>
        <v>17287700000000</v>
      </c>
      <c r="AT6" s="6">
        <f t="shared" si="6"/>
        <v>23240800000000</v>
      </c>
    </row>
    <row r="7" customHeight="1" spans="1:46">
      <c r="A7" s="6">
        <v>0.00599375</v>
      </c>
      <c r="B7" s="6">
        <v>0.00657748</v>
      </c>
      <c r="C7" s="6">
        <v>127158000000000</v>
      </c>
      <c r="D7" s="6">
        <v>6228020000</v>
      </c>
      <c r="E7" s="6">
        <v>0</v>
      </c>
      <c r="F7" s="6">
        <v>0</v>
      </c>
      <c r="G7" s="6">
        <v>2</v>
      </c>
      <c r="H7" s="6">
        <v>27804300000000</v>
      </c>
      <c r="I7" s="6">
        <v>27382700000000</v>
      </c>
      <c r="J7" s="6">
        <v>27717800000000</v>
      </c>
      <c r="K7" s="6">
        <v>28099800000000</v>
      </c>
      <c r="L7" s="6">
        <v>16152300000000</v>
      </c>
      <c r="N7" s="6">
        <v>0.00602332</v>
      </c>
      <c r="O7" s="6">
        <v>0.00671383</v>
      </c>
      <c r="P7" s="6">
        <v>128443000000000</v>
      </c>
      <c r="Q7" s="6">
        <v>32692700000</v>
      </c>
      <c r="R7" s="6">
        <v>0</v>
      </c>
      <c r="S7" s="6">
        <v>0</v>
      </c>
      <c r="T7" s="6">
        <v>2</v>
      </c>
      <c r="U7" s="6">
        <v>26464200000000</v>
      </c>
      <c r="V7" s="6">
        <v>26985300000000</v>
      </c>
      <c r="W7" s="6">
        <v>24446600000000</v>
      </c>
      <c r="X7" s="6">
        <v>25123400000000</v>
      </c>
      <c r="Y7" s="6">
        <v>25423000000000</v>
      </c>
      <c r="AA7" s="6">
        <v>0.00601177</v>
      </c>
      <c r="AB7" s="6">
        <v>0.00659708</v>
      </c>
      <c r="AC7" s="6">
        <v>127087000000000</v>
      </c>
      <c r="AD7" s="6">
        <v>85393700000</v>
      </c>
      <c r="AE7" s="6">
        <v>0</v>
      </c>
      <c r="AF7" s="6">
        <v>0</v>
      </c>
      <c r="AG7" s="6">
        <v>2</v>
      </c>
      <c r="AH7" s="6">
        <v>27196100000000</v>
      </c>
      <c r="AI7" s="6">
        <v>27244700000000</v>
      </c>
      <c r="AJ7" s="6">
        <v>28433100000000</v>
      </c>
      <c r="AK7" s="6">
        <v>28331200000000</v>
      </c>
      <c r="AL7" s="6">
        <v>15881500000000</v>
      </c>
      <c r="AN7" s="6">
        <f t="shared" si="0"/>
        <v>0.00599375</v>
      </c>
      <c r="AO7" s="6">
        <f t="shared" si="1"/>
        <v>127562666666667</v>
      </c>
      <c r="AP7" s="6">
        <f t="shared" si="2"/>
        <v>127087000000000</v>
      </c>
      <c r="AQ7" s="6">
        <f t="shared" si="3"/>
        <v>128443000000000</v>
      </c>
      <c r="AR7" s="6">
        <f t="shared" si="4"/>
        <v>19152266666666.7</v>
      </c>
      <c r="AS7" s="6">
        <f t="shared" si="5"/>
        <v>15881500000000</v>
      </c>
      <c r="AT7" s="6">
        <f t="shared" si="6"/>
        <v>25423000000000</v>
      </c>
    </row>
    <row r="8" customHeight="1" spans="1:46">
      <c r="A8" s="6">
        <v>0.00698656</v>
      </c>
      <c r="B8" s="6">
        <v>0.00754123</v>
      </c>
      <c r="C8" s="6">
        <v>127488000000000</v>
      </c>
      <c r="D8" s="6">
        <v>20662700000</v>
      </c>
      <c r="E8" s="6">
        <v>0</v>
      </c>
      <c r="F8" s="6">
        <v>0</v>
      </c>
      <c r="G8" s="6">
        <v>2</v>
      </c>
      <c r="H8" s="6">
        <v>28432900000000</v>
      </c>
      <c r="I8" s="6">
        <v>27553000000000</v>
      </c>
      <c r="J8" s="6">
        <v>28101300000000</v>
      </c>
      <c r="K8" s="6">
        <v>28088400000000</v>
      </c>
      <c r="L8" s="6">
        <v>15307500000000</v>
      </c>
      <c r="N8" s="6">
        <v>0.00701347</v>
      </c>
      <c r="O8" s="6">
        <v>0.00772629</v>
      </c>
      <c r="P8" s="6">
        <v>128863000000000</v>
      </c>
      <c r="Q8" s="6">
        <v>21741100000</v>
      </c>
      <c r="R8" s="6">
        <v>0</v>
      </c>
      <c r="S8" s="6">
        <v>0</v>
      </c>
      <c r="T8" s="6">
        <v>2</v>
      </c>
      <c r="U8" s="6">
        <v>27319700000000</v>
      </c>
      <c r="V8" s="6">
        <v>27618600000000</v>
      </c>
      <c r="W8" s="6">
        <v>23339900000000</v>
      </c>
      <c r="X8" s="6">
        <v>25667200000000</v>
      </c>
      <c r="Y8" s="6">
        <v>24916300000000</v>
      </c>
      <c r="AA8" s="6">
        <v>0.00706293</v>
      </c>
      <c r="AB8" s="6">
        <v>0.00767411</v>
      </c>
      <c r="AC8" s="6">
        <v>127789000000000</v>
      </c>
      <c r="AD8" s="6">
        <v>7168850000</v>
      </c>
      <c r="AE8" s="6">
        <v>0</v>
      </c>
      <c r="AF8" s="6">
        <v>0</v>
      </c>
      <c r="AG8" s="6">
        <v>2</v>
      </c>
      <c r="AH8" s="6">
        <v>26638300000000</v>
      </c>
      <c r="AI8" s="6">
        <v>27317100000000</v>
      </c>
      <c r="AJ8" s="6">
        <v>28628700000000</v>
      </c>
      <c r="AK8" s="6">
        <v>28008100000000</v>
      </c>
      <c r="AL8" s="6">
        <v>17196500000000</v>
      </c>
      <c r="AN8" s="6">
        <f t="shared" si="0"/>
        <v>0.00698656</v>
      </c>
      <c r="AO8" s="6">
        <f t="shared" si="1"/>
        <v>128046666666667</v>
      </c>
      <c r="AP8" s="6">
        <f t="shared" si="2"/>
        <v>127488000000000</v>
      </c>
      <c r="AQ8" s="6">
        <f t="shared" si="3"/>
        <v>128863000000000</v>
      </c>
      <c r="AR8" s="6">
        <f t="shared" si="4"/>
        <v>19140100000000</v>
      </c>
      <c r="AS8" s="6">
        <f t="shared" si="5"/>
        <v>15307500000000</v>
      </c>
      <c r="AT8" s="6">
        <f t="shared" si="6"/>
        <v>24916300000000</v>
      </c>
    </row>
    <row r="9" customHeight="1" spans="1:46">
      <c r="A9" s="6">
        <v>0.00792094</v>
      </c>
      <c r="B9" s="6">
        <v>0.0085072</v>
      </c>
      <c r="C9" s="6">
        <v>127757000000000</v>
      </c>
      <c r="D9" s="6">
        <v>20026700000</v>
      </c>
      <c r="E9" s="6">
        <v>0</v>
      </c>
      <c r="F9" s="6">
        <v>0</v>
      </c>
      <c r="G9" s="6">
        <v>2</v>
      </c>
      <c r="H9" s="6">
        <v>28091400000000</v>
      </c>
      <c r="I9" s="6">
        <v>27954200000000</v>
      </c>
      <c r="J9" s="6">
        <v>28321500000000</v>
      </c>
      <c r="K9" s="6">
        <v>27424200000000</v>
      </c>
      <c r="L9" s="6">
        <v>15965200000000</v>
      </c>
      <c r="N9" s="6">
        <v>0.00799778</v>
      </c>
      <c r="O9" s="6">
        <v>0.0087257</v>
      </c>
      <c r="P9" s="6">
        <v>128531000000000</v>
      </c>
      <c r="Q9" s="6">
        <v>8646210000</v>
      </c>
      <c r="R9" s="6">
        <v>0</v>
      </c>
      <c r="S9" s="6">
        <v>0</v>
      </c>
      <c r="T9" s="6">
        <v>2</v>
      </c>
      <c r="U9" s="6">
        <v>26653800000000</v>
      </c>
      <c r="V9" s="6">
        <v>25884000000000</v>
      </c>
      <c r="W9" s="6">
        <v>22591800000000</v>
      </c>
      <c r="X9" s="6">
        <v>24670800000000</v>
      </c>
      <c r="Y9" s="6">
        <v>28728000000000</v>
      </c>
      <c r="AA9" s="6">
        <v>0.00802035</v>
      </c>
      <c r="AB9" s="6">
        <v>0.00865498</v>
      </c>
      <c r="AC9" s="6">
        <v>128018000000000</v>
      </c>
      <c r="AD9" s="6">
        <v>24702400000</v>
      </c>
      <c r="AE9" s="6">
        <v>0</v>
      </c>
      <c r="AF9" s="6">
        <v>0</v>
      </c>
      <c r="AG9" s="6">
        <v>2</v>
      </c>
      <c r="AH9" s="6">
        <v>26875000000000</v>
      </c>
      <c r="AI9" s="6">
        <v>27071600000000</v>
      </c>
      <c r="AJ9" s="6">
        <v>27793000000000</v>
      </c>
      <c r="AK9" s="6">
        <v>27567500000000</v>
      </c>
      <c r="AL9" s="6">
        <v>18710300000000</v>
      </c>
      <c r="AN9" s="6">
        <f t="shared" si="0"/>
        <v>0.00792094</v>
      </c>
      <c r="AO9" s="6">
        <f t="shared" si="1"/>
        <v>128102000000000</v>
      </c>
      <c r="AP9" s="6">
        <f t="shared" si="2"/>
        <v>127757000000000</v>
      </c>
      <c r="AQ9" s="6">
        <f t="shared" si="3"/>
        <v>128531000000000</v>
      </c>
      <c r="AR9" s="6">
        <f t="shared" si="4"/>
        <v>21134500000000</v>
      </c>
      <c r="AS9" s="6">
        <f t="shared" si="5"/>
        <v>15965200000000</v>
      </c>
      <c r="AT9" s="6">
        <f t="shared" si="6"/>
        <v>28728000000000</v>
      </c>
    </row>
    <row r="10" customHeight="1" spans="1:46">
      <c r="A10" s="6">
        <v>0.00898586</v>
      </c>
      <c r="B10" s="6">
        <v>0.00956327</v>
      </c>
      <c r="C10" s="6">
        <v>127695000000000</v>
      </c>
      <c r="D10" s="6">
        <v>175489000000</v>
      </c>
      <c r="E10" s="6">
        <v>0</v>
      </c>
      <c r="F10" s="6">
        <v>0</v>
      </c>
      <c r="G10" s="6">
        <v>2</v>
      </c>
      <c r="H10" s="6">
        <v>27944300000000</v>
      </c>
      <c r="I10" s="6">
        <v>27433400000000</v>
      </c>
      <c r="J10" s="6">
        <v>27682800000000</v>
      </c>
      <c r="K10" s="6">
        <v>27242400000000</v>
      </c>
      <c r="L10" s="6">
        <v>17388700000000</v>
      </c>
      <c r="N10" s="6">
        <v>0.0089879</v>
      </c>
      <c r="O10" s="6">
        <v>0.00975243</v>
      </c>
      <c r="P10" s="6">
        <v>130308000000000</v>
      </c>
      <c r="Q10" s="6">
        <v>25766200000</v>
      </c>
      <c r="R10" s="6">
        <v>0</v>
      </c>
      <c r="S10" s="6">
        <v>0</v>
      </c>
      <c r="T10" s="6">
        <v>2</v>
      </c>
      <c r="U10" s="6">
        <v>25783600000000</v>
      </c>
      <c r="V10" s="6">
        <v>24606700000000</v>
      </c>
      <c r="W10" s="6">
        <v>22372200000000</v>
      </c>
      <c r="X10" s="6">
        <v>24672300000000</v>
      </c>
      <c r="Y10" s="6">
        <v>32871800000000</v>
      </c>
      <c r="AA10" s="6">
        <v>0.00906845</v>
      </c>
      <c r="AB10" s="6">
        <v>0.00971131</v>
      </c>
      <c r="AC10" s="6">
        <v>127820000000000</v>
      </c>
      <c r="AD10" s="6">
        <v>4931100000</v>
      </c>
      <c r="AE10" s="6">
        <v>0</v>
      </c>
      <c r="AF10" s="6">
        <v>0</v>
      </c>
      <c r="AG10" s="6">
        <v>2</v>
      </c>
      <c r="AH10" s="6">
        <v>26326800000000</v>
      </c>
      <c r="AI10" s="6">
        <v>26228500000000</v>
      </c>
      <c r="AJ10" s="6">
        <v>27266300000000</v>
      </c>
      <c r="AK10" s="6">
        <v>26633500000000</v>
      </c>
      <c r="AL10" s="6">
        <v>21363700000000</v>
      </c>
      <c r="AN10" s="6">
        <f t="shared" si="0"/>
        <v>0.00898586</v>
      </c>
      <c r="AO10" s="6">
        <f t="shared" si="1"/>
        <v>128607666666667</v>
      </c>
      <c r="AP10" s="6">
        <f t="shared" si="2"/>
        <v>127695000000000</v>
      </c>
      <c r="AQ10" s="6">
        <f t="shared" si="3"/>
        <v>130308000000000</v>
      </c>
      <c r="AR10" s="6">
        <f t="shared" si="4"/>
        <v>23874733333333.3</v>
      </c>
      <c r="AS10" s="6">
        <f t="shared" si="5"/>
        <v>17388700000000</v>
      </c>
      <c r="AT10" s="6">
        <f t="shared" si="6"/>
        <v>32871800000000</v>
      </c>
    </row>
    <row r="11" customHeight="1" spans="1:46">
      <c r="A11" s="6">
        <v>0.0100146</v>
      </c>
      <c r="B11" s="6">
        <v>0.0105786</v>
      </c>
      <c r="C11" s="6">
        <v>127265000000000</v>
      </c>
      <c r="D11" s="6">
        <v>52988200000</v>
      </c>
      <c r="E11" s="6">
        <v>0</v>
      </c>
      <c r="F11" s="6">
        <v>0</v>
      </c>
      <c r="G11" s="6">
        <v>2</v>
      </c>
      <c r="H11" s="6">
        <v>27954000000000</v>
      </c>
      <c r="I11" s="6">
        <v>27420100000000</v>
      </c>
      <c r="J11" s="6">
        <v>27915000000000</v>
      </c>
      <c r="K11" s="6">
        <v>27441300000000</v>
      </c>
      <c r="L11" s="6">
        <v>16534100000000</v>
      </c>
      <c r="N11" s="6">
        <v>0.00995588</v>
      </c>
      <c r="O11" s="6">
        <v>0.010734</v>
      </c>
      <c r="P11" s="6">
        <v>130520000000000</v>
      </c>
      <c r="Q11" s="6">
        <v>5108870000</v>
      </c>
      <c r="R11" s="6">
        <v>0</v>
      </c>
      <c r="S11" s="6">
        <v>0</v>
      </c>
      <c r="T11" s="6">
        <v>2</v>
      </c>
      <c r="U11" s="6">
        <v>25722600000000</v>
      </c>
      <c r="V11" s="6">
        <v>24964600000000</v>
      </c>
      <c r="W11" s="6">
        <v>22374700000000</v>
      </c>
      <c r="X11" s="6">
        <v>24371900000000</v>
      </c>
      <c r="Y11" s="6">
        <v>33085500000000</v>
      </c>
      <c r="AA11" s="6">
        <v>0.00996406</v>
      </c>
      <c r="AB11" s="6">
        <v>0.010629</v>
      </c>
      <c r="AC11" s="6">
        <v>127457000000000</v>
      </c>
      <c r="AD11" s="6">
        <v>4385630000</v>
      </c>
      <c r="AE11" s="6">
        <v>0</v>
      </c>
      <c r="AF11" s="6">
        <v>0</v>
      </c>
      <c r="AG11" s="6">
        <v>2</v>
      </c>
      <c r="AH11" s="6">
        <v>25539200000000</v>
      </c>
      <c r="AI11" s="6">
        <v>26313400000000</v>
      </c>
      <c r="AJ11" s="6">
        <v>26678200000000</v>
      </c>
      <c r="AK11" s="6">
        <v>25909200000000</v>
      </c>
      <c r="AL11" s="6">
        <v>23017300000000</v>
      </c>
      <c r="AN11" s="6">
        <f t="shared" si="0"/>
        <v>0.0100146</v>
      </c>
      <c r="AO11" s="6">
        <f t="shared" si="1"/>
        <v>128414000000000</v>
      </c>
      <c r="AP11" s="6">
        <f t="shared" si="2"/>
        <v>127265000000000</v>
      </c>
      <c r="AQ11" s="6">
        <f t="shared" si="3"/>
        <v>130520000000000</v>
      </c>
      <c r="AR11" s="6">
        <f t="shared" si="4"/>
        <v>24212300000000</v>
      </c>
      <c r="AS11" s="6">
        <f t="shared" si="5"/>
        <v>16534100000000</v>
      </c>
      <c r="AT11" s="6">
        <f t="shared" si="6"/>
        <v>33085500000000</v>
      </c>
    </row>
    <row r="12" customHeight="1" spans="1:46">
      <c r="A12" s="6">
        <v>0.0110441</v>
      </c>
      <c r="B12" s="6">
        <v>0.011575</v>
      </c>
      <c r="C12" s="6">
        <v>127272000000000</v>
      </c>
      <c r="D12" s="6">
        <v>10249300000</v>
      </c>
      <c r="E12" s="6">
        <v>0</v>
      </c>
      <c r="F12" s="6">
        <v>0</v>
      </c>
      <c r="G12" s="6">
        <v>2</v>
      </c>
      <c r="H12" s="6">
        <v>28546500000000</v>
      </c>
      <c r="I12" s="6">
        <v>27778400000000</v>
      </c>
      <c r="J12" s="6">
        <v>28354900000000</v>
      </c>
      <c r="K12" s="6">
        <v>28242000000000</v>
      </c>
      <c r="L12" s="6">
        <v>14350100000000</v>
      </c>
      <c r="N12" s="6">
        <v>0.0110491</v>
      </c>
      <c r="O12" s="6">
        <v>0.0118091</v>
      </c>
      <c r="P12" s="6">
        <v>134745000000000</v>
      </c>
      <c r="Q12" s="6">
        <v>5604470000</v>
      </c>
      <c r="R12" s="6">
        <v>0</v>
      </c>
      <c r="S12" s="6">
        <v>0</v>
      </c>
      <c r="T12" s="6">
        <v>2</v>
      </c>
      <c r="U12" s="6">
        <v>26713500000000</v>
      </c>
      <c r="V12" s="6">
        <v>24664500000000</v>
      </c>
      <c r="W12" s="6">
        <v>23731300000000</v>
      </c>
      <c r="X12" s="6">
        <v>24229800000000</v>
      </c>
      <c r="Y12" s="6">
        <v>35405800000000</v>
      </c>
      <c r="AA12" s="6">
        <v>0.0110879</v>
      </c>
      <c r="AB12" s="6">
        <v>0.0117777</v>
      </c>
      <c r="AC12" s="6">
        <v>128090000000000</v>
      </c>
      <c r="AD12" s="6">
        <v>9838750000</v>
      </c>
      <c r="AE12" s="6">
        <v>0</v>
      </c>
      <c r="AF12" s="6">
        <v>0</v>
      </c>
      <c r="AG12" s="6">
        <v>2</v>
      </c>
      <c r="AH12" s="6">
        <v>25894600000000</v>
      </c>
      <c r="AI12" s="6">
        <v>26603600000000</v>
      </c>
      <c r="AJ12" s="6">
        <v>26590500000000</v>
      </c>
      <c r="AK12" s="6">
        <v>26058600000000</v>
      </c>
      <c r="AL12" s="6">
        <v>22942300000000</v>
      </c>
      <c r="AN12" s="6">
        <f t="shared" si="0"/>
        <v>0.0110441</v>
      </c>
      <c r="AO12" s="6">
        <f t="shared" si="1"/>
        <v>130035666666667</v>
      </c>
      <c r="AP12" s="6">
        <f t="shared" si="2"/>
        <v>127272000000000</v>
      </c>
      <c r="AQ12" s="6">
        <f t="shared" si="3"/>
        <v>134745000000000</v>
      </c>
      <c r="AR12" s="6">
        <f t="shared" si="4"/>
        <v>24232733333333.3</v>
      </c>
      <c r="AS12" s="6">
        <f t="shared" si="5"/>
        <v>14350100000000</v>
      </c>
      <c r="AT12" s="6">
        <f t="shared" si="6"/>
        <v>35405800000000</v>
      </c>
    </row>
    <row r="13" customHeight="1" spans="1:46">
      <c r="A13" s="6">
        <v>0.011965</v>
      </c>
      <c r="B13" s="6">
        <v>0.0125261</v>
      </c>
      <c r="C13" s="6">
        <v>127583000000000</v>
      </c>
      <c r="D13" s="6">
        <v>10573300000</v>
      </c>
      <c r="E13" s="6">
        <v>0</v>
      </c>
      <c r="F13" s="6">
        <v>0</v>
      </c>
      <c r="G13" s="6">
        <v>2</v>
      </c>
      <c r="H13" s="6">
        <v>28332700000000</v>
      </c>
      <c r="I13" s="6">
        <v>27681800000000</v>
      </c>
      <c r="J13" s="6">
        <v>28357600000000</v>
      </c>
      <c r="K13" s="6">
        <v>28378500000000</v>
      </c>
      <c r="L13" s="6">
        <v>14831900000000</v>
      </c>
      <c r="N13" s="6">
        <v>0.0119874</v>
      </c>
      <c r="O13" s="6">
        <v>0.0127627</v>
      </c>
      <c r="P13" s="6">
        <v>134472000000000</v>
      </c>
      <c r="Q13" s="6">
        <v>6467890000</v>
      </c>
      <c r="R13" s="6">
        <v>0</v>
      </c>
      <c r="S13" s="6">
        <v>0</v>
      </c>
      <c r="T13" s="6">
        <v>2</v>
      </c>
      <c r="U13" s="6">
        <v>27901700000000</v>
      </c>
      <c r="V13" s="6">
        <v>23823900000000</v>
      </c>
      <c r="W13" s="6">
        <v>22615300000000</v>
      </c>
      <c r="X13" s="6">
        <v>22469200000000</v>
      </c>
      <c r="Y13" s="6">
        <v>37660400000000</v>
      </c>
      <c r="AA13" s="6">
        <v>0.0119925</v>
      </c>
      <c r="AB13" s="6">
        <v>0.012699</v>
      </c>
      <c r="AC13" s="6">
        <v>129624000000000</v>
      </c>
      <c r="AD13" s="6">
        <v>4410190000</v>
      </c>
      <c r="AE13" s="6">
        <v>0</v>
      </c>
      <c r="AF13" s="6">
        <v>0</v>
      </c>
      <c r="AG13" s="6">
        <v>2</v>
      </c>
      <c r="AH13" s="6">
        <v>27131600000000</v>
      </c>
      <c r="AI13" s="6">
        <v>26704100000000</v>
      </c>
      <c r="AJ13" s="6">
        <v>27099900000000</v>
      </c>
      <c r="AK13" s="6">
        <v>25811000000000</v>
      </c>
      <c r="AL13" s="6">
        <v>22877000000000</v>
      </c>
      <c r="AN13" s="6">
        <f t="shared" si="0"/>
        <v>0.011965</v>
      </c>
      <c r="AO13" s="6">
        <f t="shared" si="1"/>
        <v>130559666666667</v>
      </c>
      <c r="AP13" s="6">
        <f t="shared" si="2"/>
        <v>127583000000000</v>
      </c>
      <c r="AQ13" s="6">
        <f t="shared" si="3"/>
        <v>134472000000000</v>
      </c>
      <c r="AR13" s="6">
        <f t="shared" si="4"/>
        <v>25123100000000</v>
      </c>
      <c r="AS13" s="6">
        <f t="shared" si="5"/>
        <v>14831900000000</v>
      </c>
      <c r="AT13" s="6">
        <f t="shared" si="6"/>
        <v>37660400000000</v>
      </c>
    </row>
    <row r="14" customHeight="1" spans="1:46">
      <c r="A14" s="6">
        <v>0.0129662</v>
      </c>
      <c r="B14" s="6">
        <v>0.013499</v>
      </c>
      <c r="C14" s="6">
        <v>127118000000000</v>
      </c>
      <c r="D14" s="6">
        <v>30644700000</v>
      </c>
      <c r="E14" s="6">
        <v>0</v>
      </c>
      <c r="F14" s="6">
        <v>0</v>
      </c>
      <c r="G14" s="6">
        <v>2</v>
      </c>
      <c r="H14" s="6">
        <v>28412200000000</v>
      </c>
      <c r="I14" s="6">
        <v>27556000000000</v>
      </c>
      <c r="J14" s="6">
        <v>27897700000000</v>
      </c>
      <c r="K14" s="6">
        <v>28193000000000</v>
      </c>
      <c r="L14" s="6">
        <v>15058700000000</v>
      </c>
      <c r="N14" s="6">
        <v>0.0130225</v>
      </c>
      <c r="O14" s="6">
        <v>0.0137852</v>
      </c>
      <c r="P14" s="6">
        <v>133890000000000</v>
      </c>
      <c r="Q14" s="6">
        <v>7676740000</v>
      </c>
      <c r="R14" s="6">
        <v>0</v>
      </c>
      <c r="S14" s="6">
        <v>0</v>
      </c>
      <c r="T14" s="6">
        <v>2</v>
      </c>
      <c r="U14" s="6">
        <v>27440500000000</v>
      </c>
      <c r="V14" s="6">
        <v>24308500000000</v>
      </c>
      <c r="W14" s="6">
        <v>20853600000000</v>
      </c>
      <c r="X14" s="6">
        <v>21254900000000</v>
      </c>
      <c r="Y14" s="6">
        <v>40032000000000</v>
      </c>
      <c r="AA14" s="6">
        <v>0.0130106</v>
      </c>
      <c r="AB14" s="6">
        <v>0.0137198</v>
      </c>
      <c r="AC14" s="6">
        <v>131044000000000</v>
      </c>
      <c r="AD14" s="6">
        <v>7516800000</v>
      </c>
      <c r="AE14" s="6">
        <v>0</v>
      </c>
      <c r="AF14" s="6">
        <v>0</v>
      </c>
      <c r="AG14" s="6">
        <v>2</v>
      </c>
      <c r="AH14" s="6">
        <v>27456100000000</v>
      </c>
      <c r="AI14" s="6">
        <v>26047600000000</v>
      </c>
      <c r="AJ14" s="6">
        <v>26544200000000</v>
      </c>
      <c r="AK14" s="6">
        <v>25684500000000</v>
      </c>
      <c r="AL14" s="6">
        <v>25296900000000</v>
      </c>
      <c r="AN14" s="6">
        <f t="shared" si="0"/>
        <v>0.0129662</v>
      </c>
      <c r="AO14" s="6">
        <f t="shared" si="1"/>
        <v>130684000000000</v>
      </c>
      <c r="AP14" s="6">
        <f t="shared" si="2"/>
        <v>127118000000000</v>
      </c>
      <c r="AQ14" s="6">
        <f t="shared" si="3"/>
        <v>133890000000000</v>
      </c>
      <c r="AR14" s="6">
        <f t="shared" si="4"/>
        <v>26795866666666.7</v>
      </c>
      <c r="AS14" s="6">
        <f t="shared" si="5"/>
        <v>15058700000000</v>
      </c>
      <c r="AT14" s="6">
        <f t="shared" si="6"/>
        <v>40032000000000</v>
      </c>
    </row>
    <row r="15" customHeight="1" spans="1:46">
      <c r="A15" s="6">
        <v>0.0140695</v>
      </c>
      <c r="B15" s="6">
        <v>0.0145902</v>
      </c>
      <c r="C15" s="6">
        <v>126991000000000</v>
      </c>
      <c r="D15" s="6">
        <v>9102150000</v>
      </c>
      <c r="E15" s="6">
        <v>0</v>
      </c>
      <c r="F15" s="6">
        <v>0</v>
      </c>
      <c r="G15" s="6">
        <v>2</v>
      </c>
      <c r="H15" s="6">
        <v>28179700000000</v>
      </c>
      <c r="I15" s="6">
        <v>27707500000000</v>
      </c>
      <c r="J15" s="6">
        <v>27070500000000</v>
      </c>
      <c r="K15" s="6">
        <v>27895800000000</v>
      </c>
      <c r="L15" s="6">
        <v>16137200000000</v>
      </c>
      <c r="N15" s="6">
        <v>0.0140142</v>
      </c>
      <c r="O15" s="6">
        <v>0.0147303</v>
      </c>
      <c r="P15" s="6">
        <v>134346000000000</v>
      </c>
      <c r="Q15" s="6">
        <v>5406040000</v>
      </c>
      <c r="R15" s="6">
        <v>0</v>
      </c>
      <c r="S15" s="6">
        <v>0</v>
      </c>
      <c r="T15" s="6">
        <v>2</v>
      </c>
      <c r="U15" s="6">
        <v>27657700000000</v>
      </c>
      <c r="V15" s="6">
        <v>24304400000000</v>
      </c>
      <c r="W15" s="6">
        <v>21134900000000</v>
      </c>
      <c r="X15" s="6">
        <v>20688700000000</v>
      </c>
      <c r="Y15" s="6">
        <v>40559400000000</v>
      </c>
      <c r="AA15" s="6">
        <v>0.0139884</v>
      </c>
      <c r="AB15" s="6">
        <v>0.0147093</v>
      </c>
      <c r="AC15" s="6">
        <v>130114000000000</v>
      </c>
      <c r="AD15" s="6">
        <v>13522600000</v>
      </c>
      <c r="AE15" s="6">
        <v>0</v>
      </c>
      <c r="AF15" s="6">
        <v>0</v>
      </c>
      <c r="AG15" s="6">
        <v>2</v>
      </c>
      <c r="AH15" s="6">
        <v>25298000000000</v>
      </c>
      <c r="AI15" s="6">
        <v>24050800000000</v>
      </c>
      <c r="AJ15" s="6">
        <v>25586200000000</v>
      </c>
      <c r="AK15" s="6">
        <v>24531600000000</v>
      </c>
      <c r="AL15" s="6">
        <v>30645700000000</v>
      </c>
      <c r="AN15" s="6">
        <f t="shared" si="0"/>
        <v>0.0140695</v>
      </c>
      <c r="AO15" s="6">
        <f t="shared" si="1"/>
        <v>130483666666667</v>
      </c>
      <c r="AP15" s="6">
        <f t="shared" si="2"/>
        <v>126991000000000</v>
      </c>
      <c r="AQ15" s="6">
        <f t="shared" si="3"/>
        <v>134346000000000</v>
      </c>
      <c r="AR15" s="6">
        <f t="shared" si="4"/>
        <v>29114100000000</v>
      </c>
      <c r="AS15" s="6">
        <f t="shared" si="5"/>
        <v>16137200000000</v>
      </c>
      <c r="AT15" s="6">
        <f t="shared" si="6"/>
        <v>40559400000000</v>
      </c>
    </row>
    <row r="16" customHeight="1" spans="1:46">
      <c r="A16" s="6">
        <v>0.0149936</v>
      </c>
      <c r="B16" s="6">
        <v>0.0155459</v>
      </c>
      <c r="C16" s="6">
        <v>127192000000000</v>
      </c>
      <c r="D16" s="6">
        <v>8254610000</v>
      </c>
      <c r="E16" s="6">
        <v>0</v>
      </c>
      <c r="F16" s="6">
        <v>0</v>
      </c>
      <c r="G16" s="6">
        <v>2</v>
      </c>
      <c r="H16" s="6">
        <v>28744100000000</v>
      </c>
      <c r="I16" s="6">
        <v>27276300000000</v>
      </c>
      <c r="J16" s="6">
        <v>26995700000000</v>
      </c>
      <c r="K16" s="6">
        <v>28169500000000</v>
      </c>
      <c r="L16" s="6">
        <v>16006200000000</v>
      </c>
      <c r="N16" s="6">
        <v>0.0150242</v>
      </c>
      <c r="O16" s="6">
        <v>0.0157587</v>
      </c>
      <c r="P16" s="6">
        <v>133835000000000</v>
      </c>
      <c r="Q16" s="6">
        <v>7795060000</v>
      </c>
      <c r="R16" s="6">
        <v>0</v>
      </c>
      <c r="S16" s="6">
        <v>0</v>
      </c>
      <c r="T16" s="6">
        <v>2</v>
      </c>
      <c r="U16" s="6">
        <v>25527000000000</v>
      </c>
      <c r="V16" s="6">
        <v>23575300000000</v>
      </c>
      <c r="W16" s="6">
        <v>20721200000000</v>
      </c>
      <c r="X16" s="6">
        <v>20063800000000</v>
      </c>
      <c r="Y16" s="6">
        <v>43947000000000</v>
      </c>
      <c r="AA16" s="6">
        <v>0.0150131</v>
      </c>
      <c r="AB16" s="6">
        <v>0.0157902</v>
      </c>
      <c r="AC16" s="6">
        <v>132462000000000</v>
      </c>
      <c r="AD16" s="6">
        <v>5673910000</v>
      </c>
      <c r="AE16" s="6">
        <v>0</v>
      </c>
      <c r="AF16" s="6">
        <v>0</v>
      </c>
      <c r="AG16" s="6">
        <v>2</v>
      </c>
      <c r="AH16" s="6">
        <v>24898000000000</v>
      </c>
      <c r="AI16" s="6">
        <v>22582400000000</v>
      </c>
      <c r="AJ16" s="6">
        <v>25410400000000</v>
      </c>
      <c r="AK16" s="6">
        <v>23977900000000</v>
      </c>
      <c r="AL16" s="6">
        <v>35592100000000</v>
      </c>
      <c r="AN16" s="6">
        <f t="shared" si="0"/>
        <v>0.0149936</v>
      </c>
      <c r="AO16" s="6">
        <f t="shared" si="1"/>
        <v>131163000000000</v>
      </c>
      <c r="AP16" s="6">
        <f t="shared" si="2"/>
        <v>127192000000000</v>
      </c>
      <c r="AQ16" s="6">
        <f t="shared" si="3"/>
        <v>133835000000000</v>
      </c>
      <c r="AR16" s="6">
        <f t="shared" si="4"/>
        <v>31848433333333.3</v>
      </c>
      <c r="AS16" s="6">
        <f t="shared" si="5"/>
        <v>16006200000000</v>
      </c>
      <c r="AT16" s="6">
        <f t="shared" si="6"/>
        <v>43947000000000</v>
      </c>
    </row>
    <row r="17" customHeight="1" spans="1:46">
      <c r="A17" s="6">
        <v>0.016024</v>
      </c>
      <c r="B17" s="6">
        <v>0.0166054</v>
      </c>
      <c r="C17" s="6">
        <v>127147000000000</v>
      </c>
      <c r="D17" s="6">
        <v>9344620000</v>
      </c>
      <c r="E17" s="6">
        <v>0</v>
      </c>
      <c r="F17" s="6">
        <v>0</v>
      </c>
      <c r="G17" s="6">
        <v>2</v>
      </c>
      <c r="H17" s="6">
        <v>28509400000000</v>
      </c>
      <c r="I17" s="6">
        <v>25971400000000</v>
      </c>
      <c r="J17" s="6">
        <v>26467000000000</v>
      </c>
      <c r="K17" s="6">
        <v>26961400000000</v>
      </c>
      <c r="L17" s="6">
        <v>19237900000000</v>
      </c>
      <c r="N17" s="6">
        <v>0.0159901</v>
      </c>
      <c r="O17" s="6">
        <v>0.0167648</v>
      </c>
      <c r="P17" s="6">
        <v>134882000000000</v>
      </c>
      <c r="Q17" s="6">
        <v>6467150000</v>
      </c>
      <c r="R17" s="6">
        <v>0</v>
      </c>
      <c r="S17" s="6">
        <v>0</v>
      </c>
      <c r="T17" s="6">
        <v>2</v>
      </c>
      <c r="U17" s="6">
        <v>24221100000000</v>
      </c>
      <c r="V17" s="6">
        <v>24555900000000</v>
      </c>
      <c r="W17" s="6">
        <v>20766300000000</v>
      </c>
      <c r="X17" s="6">
        <v>19395600000000</v>
      </c>
      <c r="Y17" s="6">
        <v>45942400000000</v>
      </c>
      <c r="AA17" s="6">
        <v>0.0160184</v>
      </c>
      <c r="AB17" s="6">
        <v>0.0167623</v>
      </c>
      <c r="AC17" s="6">
        <v>135076000000000</v>
      </c>
      <c r="AD17" s="6">
        <v>48834400000</v>
      </c>
      <c r="AE17" s="6">
        <v>0</v>
      </c>
      <c r="AF17" s="6">
        <v>0</v>
      </c>
      <c r="AG17" s="6">
        <v>2</v>
      </c>
      <c r="AH17" s="6">
        <v>25245500000000</v>
      </c>
      <c r="AI17" s="6">
        <v>22497900000000</v>
      </c>
      <c r="AJ17" s="6">
        <v>26781600000000</v>
      </c>
      <c r="AK17" s="6">
        <v>23411100000000</v>
      </c>
      <c r="AL17" s="6">
        <v>37139100000000</v>
      </c>
      <c r="AN17" s="6">
        <f t="shared" si="0"/>
        <v>0.016024</v>
      </c>
      <c r="AO17" s="6">
        <f t="shared" si="1"/>
        <v>132368333333333</v>
      </c>
      <c r="AP17" s="6">
        <f t="shared" si="2"/>
        <v>127147000000000</v>
      </c>
      <c r="AQ17" s="6">
        <f t="shared" si="3"/>
        <v>135076000000000</v>
      </c>
      <c r="AR17" s="6">
        <f t="shared" si="4"/>
        <v>34106466666666.7</v>
      </c>
      <c r="AS17" s="6">
        <f t="shared" si="5"/>
        <v>19237900000000</v>
      </c>
      <c r="AT17" s="6">
        <f t="shared" si="6"/>
        <v>45942400000000</v>
      </c>
    </row>
    <row r="18" customHeight="1" spans="1:46">
      <c r="A18" s="6">
        <v>0.0169842</v>
      </c>
      <c r="B18" s="6">
        <v>0.017616</v>
      </c>
      <c r="C18" s="6">
        <v>127668000000000</v>
      </c>
      <c r="D18" s="6">
        <v>8601420000</v>
      </c>
      <c r="E18" s="6">
        <v>0</v>
      </c>
      <c r="F18" s="6">
        <v>0</v>
      </c>
      <c r="G18" s="6">
        <v>2</v>
      </c>
      <c r="H18" s="6">
        <v>28069300000000</v>
      </c>
      <c r="I18" s="6">
        <v>26600200000000</v>
      </c>
      <c r="J18" s="6">
        <v>27058000000000</v>
      </c>
      <c r="K18" s="6">
        <v>26945500000000</v>
      </c>
      <c r="L18" s="6">
        <v>18993700000000</v>
      </c>
      <c r="N18" s="6">
        <v>0.0170032</v>
      </c>
      <c r="O18" s="6">
        <v>0.0177823</v>
      </c>
      <c r="P18" s="6">
        <v>135443000000000</v>
      </c>
      <c r="Q18" s="6">
        <v>10843200000</v>
      </c>
      <c r="R18" s="6">
        <v>0</v>
      </c>
      <c r="S18" s="6">
        <v>0</v>
      </c>
      <c r="T18" s="6">
        <v>2</v>
      </c>
      <c r="U18" s="6">
        <v>23713800000000</v>
      </c>
      <c r="V18" s="6">
        <v>23679700000000</v>
      </c>
      <c r="W18" s="6">
        <v>20378400000000</v>
      </c>
      <c r="X18" s="6">
        <v>19395500000000</v>
      </c>
      <c r="Y18" s="6">
        <v>48264600000000</v>
      </c>
      <c r="AA18" s="6">
        <v>0.0169489</v>
      </c>
      <c r="AB18" s="6">
        <v>0.017695</v>
      </c>
      <c r="AC18" s="6">
        <v>136579000000000</v>
      </c>
      <c r="AD18" s="6">
        <v>12616200000</v>
      </c>
      <c r="AE18" s="6">
        <v>0</v>
      </c>
      <c r="AF18" s="6">
        <v>0</v>
      </c>
      <c r="AG18" s="6">
        <v>2</v>
      </c>
      <c r="AH18" s="6">
        <v>26375200000000</v>
      </c>
      <c r="AI18" s="6">
        <v>21489900000000</v>
      </c>
      <c r="AJ18" s="6">
        <v>27592600000000</v>
      </c>
      <c r="AK18" s="6">
        <v>23887600000000</v>
      </c>
      <c r="AL18" s="6">
        <v>37230600000000</v>
      </c>
      <c r="AN18" s="6">
        <f t="shared" si="0"/>
        <v>0.0169842</v>
      </c>
      <c r="AO18" s="6">
        <f t="shared" si="1"/>
        <v>133230000000000</v>
      </c>
      <c r="AP18" s="6">
        <f t="shared" si="2"/>
        <v>127668000000000</v>
      </c>
      <c r="AQ18" s="6">
        <f t="shared" si="3"/>
        <v>136579000000000</v>
      </c>
      <c r="AR18" s="6">
        <f t="shared" si="4"/>
        <v>34829633333333.3</v>
      </c>
      <c r="AS18" s="6">
        <f t="shared" si="5"/>
        <v>18993700000000</v>
      </c>
      <c r="AT18" s="6">
        <f t="shared" si="6"/>
        <v>48264600000000</v>
      </c>
    </row>
    <row r="19" customHeight="1" spans="1:46">
      <c r="A19" s="6">
        <v>0.0180334</v>
      </c>
      <c r="B19" s="6">
        <v>0.0186638</v>
      </c>
      <c r="C19" s="6">
        <v>128319000000000</v>
      </c>
      <c r="D19" s="6">
        <v>10514900000</v>
      </c>
      <c r="E19" s="6">
        <v>0</v>
      </c>
      <c r="F19" s="6">
        <v>0</v>
      </c>
      <c r="G19" s="6">
        <v>2</v>
      </c>
      <c r="H19" s="6">
        <v>27143200000000</v>
      </c>
      <c r="I19" s="6">
        <v>26616900000000</v>
      </c>
      <c r="J19" s="6">
        <v>26628300000000</v>
      </c>
      <c r="K19" s="6">
        <v>27070800000000</v>
      </c>
      <c r="L19" s="6">
        <v>20860000000000</v>
      </c>
      <c r="N19" s="6">
        <v>0.018095</v>
      </c>
      <c r="O19" s="6">
        <v>0.0188377</v>
      </c>
      <c r="P19" s="6">
        <v>131801000000000</v>
      </c>
      <c r="Q19" s="6">
        <v>2481300000</v>
      </c>
      <c r="R19" s="6">
        <v>0</v>
      </c>
      <c r="S19" s="6">
        <v>0</v>
      </c>
      <c r="T19" s="6">
        <v>2</v>
      </c>
      <c r="U19" s="6">
        <v>21920800000000</v>
      </c>
      <c r="V19" s="6">
        <v>21208000000000</v>
      </c>
      <c r="W19" s="6">
        <v>18465600000000</v>
      </c>
      <c r="X19" s="6">
        <v>17302300000000</v>
      </c>
      <c r="Y19" s="6">
        <v>52903600000000</v>
      </c>
      <c r="AA19" s="6">
        <v>0.0178765</v>
      </c>
      <c r="AB19" s="6">
        <v>0.0186481</v>
      </c>
      <c r="AC19" s="6">
        <v>137074000000000</v>
      </c>
      <c r="AD19" s="6">
        <v>3932340000</v>
      </c>
      <c r="AE19" s="6">
        <v>0</v>
      </c>
      <c r="AF19" s="6">
        <v>0</v>
      </c>
      <c r="AG19" s="6">
        <v>2</v>
      </c>
      <c r="AH19" s="6">
        <v>25244000000000</v>
      </c>
      <c r="AI19" s="6">
        <v>20604100000000</v>
      </c>
      <c r="AJ19" s="6">
        <v>26810900000000</v>
      </c>
      <c r="AK19" s="6">
        <v>22018000000000</v>
      </c>
      <c r="AL19" s="6">
        <v>42391300000000</v>
      </c>
      <c r="AN19" s="6">
        <f t="shared" si="0"/>
        <v>0.0180334</v>
      </c>
      <c r="AO19" s="6">
        <f t="shared" si="1"/>
        <v>132398000000000</v>
      </c>
      <c r="AP19" s="6">
        <f t="shared" si="2"/>
        <v>128319000000000</v>
      </c>
      <c r="AQ19" s="6">
        <f t="shared" si="3"/>
        <v>137074000000000</v>
      </c>
      <c r="AR19" s="6">
        <f t="shared" si="4"/>
        <v>38718300000000</v>
      </c>
      <c r="AS19" s="6">
        <f t="shared" si="5"/>
        <v>20860000000000</v>
      </c>
      <c r="AT19" s="6">
        <f t="shared" si="6"/>
        <v>52903600000000</v>
      </c>
    </row>
    <row r="20" customHeight="1" spans="1:46">
      <c r="A20" s="6">
        <v>0.0189489</v>
      </c>
      <c r="B20" s="6">
        <v>0.0195741</v>
      </c>
      <c r="C20" s="6">
        <v>128286000000000</v>
      </c>
      <c r="D20" s="6">
        <v>16596500000</v>
      </c>
      <c r="E20" s="6">
        <v>0</v>
      </c>
      <c r="F20" s="6">
        <v>0</v>
      </c>
      <c r="G20" s="6">
        <v>2</v>
      </c>
      <c r="H20" s="6">
        <v>26951700000000</v>
      </c>
      <c r="I20" s="6">
        <v>26559800000000</v>
      </c>
      <c r="J20" s="6">
        <v>26936100000000</v>
      </c>
      <c r="K20" s="6">
        <v>26337900000000</v>
      </c>
      <c r="L20" s="6">
        <v>21499600000000</v>
      </c>
      <c r="N20" s="6">
        <v>0.0189245</v>
      </c>
      <c r="O20" s="6">
        <v>0.0197985</v>
      </c>
      <c r="P20" s="6">
        <v>129946000000000</v>
      </c>
      <c r="Q20" s="6">
        <v>3017920000</v>
      </c>
      <c r="R20" s="6">
        <v>0</v>
      </c>
      <c r="S20" s="6">
        <v>0</v>
      </c>
      <c r="T20" s="6">
        <v>2</v>
      </c>
      <c r="U20" s="6">
        <v>20737200000000</v>
      </c>
      <c r="V20" s="6">
        <v>19165800000000</v>
      </c>
      <c r="W20" s="6">
        <v>16990600000000</v>
      </c>
      <c r="X20" s="6">
        <v>16227200000000</v>
      </c>
      <c r="Y20" s="6">
        <v>56807200000000</v>
      </c>
      <c r="AA20" s="6">
        <v>0.0189507</v>
      </c>
      <c r="AB20" s="6">
        <v>0.0196316</v>
      </c>
      <c r="AC20" s="6">
        <v>138266000000000</v>
      </c>
      <c r="AD20" s="6">
        <v>5824950000</v>
      </c>
      <c r="AE20" s="6">
        <v>0</v>
      </c>
      <c r="AF20" s="6">
        <v>0</v>
      </c>
      <c r="AG20" s="6">
        <v>2</v>
      </c>
      <c r="AH20" s="6">
        <v>24040900000000</v>
      </c>
      <c r="AI20" s="6">
        <v>22232300000000</v>
      </c>
      <c r="AJ20" s="6">
        <v>26907300000000</v>
      </c>
      <c r="AK20" s="6">
        <v>21459500000000</v>
      </c>
      <c r="AL20" s="6">
        <v>43623500000000</v>
      </c>
      <c r="AN20" s="6">
        <f t="shared" si="0"/>
        <v>0.0189489</v>
      </c>
      <c r="AO20" s="6">
        <f t="shared" si="1"/>
        <v>132166000000000</v>
      </c>
      <c r="AP20" s="6">
        <f t="shared" si="2"/>
        <v>128286000000000</v>
      </c>
      <c r="AQ20" s="6">
        <f t="shared" si="3"/>
        <v>138266000000000</v>
      </c>
      <c r="AR20" s="6">
        <f t="shared" si="4"/>
        <v>40643433333333.3</v>
      </c>
      <c r="AS20" s="6">
        <f t="shared" si="5"/>
        <v>21499600000000</v>
      </c>
      <c r="AT20" s="6">
        <f t="shared" si="6"/>
        <v>56807200000000</v>
      </c>
    </row>
    <row r="21" customHeight="1" spans="1:46">
      <c r="A21" s="6">
        <v>0.0200162</v>
      </c>
      <c r="B21" s="6">
        <v>0.0205682</v>
      </c>
      <c r="C21" s="6">
        <v>127548000000000</v>
      </c>
      <c r="D21" s="6">
        <v>5175600000</v>
      </c>
      <c r="E21" s="6">
        <v>0</v>
      </c>
      <c r="F21" s="6">
        <v>0</v>
      </c>
      <c r="G21" s="6">
        <v>2</v>
      </c>
      <c r="H21" s="6">
        <v>26184900000000</v>
      </c>
      <c r="I21" s="6">
        <v>25941800000000</v>
      </c>
      <c r="J21" s="6">
        <v>27299700000000</v>
      </c>
      <c r="K21" s="6">
        <v>25848500000000</v>
      </c>
      <c r="L21" s="6">
        <v>22273100000000</v>
      </c>
      <c r="N21" s="6">
        <v>0.0199117</v>
      </c>
      <c r="O21" s="6">
        <v>0.0206441</v>
      </c>
      <c r="P21" s="6">
        <v>127828000000000</v>
      </c>
      <c r="Q21" s="6">
        <v>12022500000</v>
      </c>
      <c r="R21" s="6">
        <v>0</v>
      </c>
      <c r="S21" s="6">
        <v>0</v>
      </c>
      <c r="T21" s="6">
        <v>2</v>
      </c>
      <c r="U21" s="6">
        <v>18804800000000</v>
      </c>
      <c r="V21" s="6">
        <v>18993600000000</v>
      </c>
      <c r="W21" s="6">
        <v>16621600000000</v>
      </c>
      <c r="X21" s="6">
        <v>15688300000000</v>
      </c>
      <c r="Y21" s="6">
        <v>57685200000000</v>
      </c>
      <c r="AA21" s="6">
        <v>0.0199658</v>
      </c>
      <c r="AB21" s="6">
        <v>0.0206772</v>
      </c>
      <c r="AC21" s="6">
        <v>135595000000000</v>
      </c>
      <c r="AD21" s="6">
        <v>4407740000</v>
      </c>
      <c r="AE21" s="6">
        <v>0</v>
      </c>
      <c r="AF21" s="6">
        <v>0</v>
      </c>
      <c r="AG21" s="6">
        <v>2</v>
      </c>
      <c r="AH21" s="6">
        <v>21633500000000</v>
      </c>
      <c r="AI21" s="6">
        <v>21699500000000</v>
      </c>
      <c r="AJ21" s="6">
        <v>26327200000000</v>
      </c>
      <c r="AK21" s="6">
        <v>19095600000000</v>
      </c>
      <c r="AL21" s="6">
        <v>46832000000000</v>
      </c>
      <c r="AN21" s="6">
        <f t="shared" si="0"/>
        <v>0.0200162</v>
      </c>
      <c r="AO21" s="6">
        <f t="shared" si="1"/>
        <v>130323666666667</v>
      </c>
      <c r="AP21" s="6">
        <f t="shared" si="2"/>
        <v>127548000000000</v>
      </c>
      <c r="AQ21" s="6">
        <f t="shared" si="3"/>
        <v>135595000000000</v>
      </c>
      <c r="AR21" s="6">
        <f t="shared" si="4"/>
        <v>42263433333333.3</v>
      </c>
      <c r="AS21" s="6">
        <f t="shared" si="5"/>
        <v>22273100000000</v>
      </c>
      <c r="AT21" s="6">
        <f t="shared" si="6"/>
        <v>57685200000000</v>
      </c>
    </row>
    <row r="22" customHeight="1" spans="1:46">
      <c r="A22" s="6">
        <v>0.0210149</v>
      </c>
      <c r="B22" s="6">
        <v>0.0215367</v>
      </c>
      <c r="C22" s="6">
        <v>126728000000000</v>
      </c>
      <c r="D22" s="6">
        <v>4405240000</v>
      </c>
      <c r="E22" s="6">
        <v>0</v>
      </c>
      <c r="F22" s="6">
        <v>0</v>
      </c>
      <c r="G22" s="6">
        <v>2</v>
      </c>
      <c r="H22" s="6">
        <v>26348000000000</v>
      </c>
      <c r="I22" s="6">
        <v>25683800000000</v>
      </c>
      <c r="J22" s="6">
        <v>27211100000000</v>
      </c>
      <c r="K22" s="6">
        <v>26132600000000</v>
      </c>
      <c r="L22" s="6">
        <v>21352700000000</v>
      </c>
      <c r="N22" s="6">
        <v>0.0210188</v>
      </c>
      <c r="O22" s="6">
        <v>0.0217945</v>
      </c>
      <c r="P22" s="6">
        <v>125504000000000</v>
      </c>
      <c r="Q22" s="6">
        <v>10036100000</v>
      </c>
      <c r="R22" s="6">
        <v>0</v>
      </c>
      <c r="S22" s="6">
        <v>0</v>
      </c>
      <c r="T22" s="6">
        <v>2</v>
      </c>
      <c r="U22" s="6">
        <v>17532400000000</v>
      </c>
      <c r="V22" s="6">
        <v>17291200000000</v>
      </c>
      <c r="W22" s="6">
        <v>15864600000000</v>
      </c>
      <c r="X22" s="6">
        <v>14912700000000</v>
      </c>
      <c r="Y22" s="6">
        <v>59893400000000</v>
      </c>
      <c r="AA22" s="6">
        <v>0.0209858</v>
      </c>
      <c r="AB22" s="6">
        <v>0.0217274</v>
      </c>
      <c r="AC22" s="6">
        <v>132418000000000</v>
      </c>
      <c r="AD22" s="6">
        <v>11139500000</v>
      </c>
      <c r="AE22" s="6">
        <v>0</v>
      </c>
      <c r="AF22" s="6">
        <v>0</v>
      </c>
      <c r="AG22" s="6">
        <v>2</v>
      </c>
      <c r="AH22" s="6">
        <v>18667300000000</v>
      </c>
      <c r="AI22" s="6">
        <v>22394800000000</v>
      </c>
      <c r="AJ22" s="6">
        <v>23876500000000</v>
      </c>
      <c r="AK22" s="6">
        <v>16801700000000</v>
      </c>
      <c r="AL22" s="6">
        <v>50674600000000</v>
      </c>
      <c r="AN22" s="6">
        <f t="shared" si="0"/>
        <v>0.0210149</v>
      </c>
      <c r="AO22" s="6">
        <f t="shared" si="1"/>
        <v>128216666666667</v>
      </c>
      <c r="AP22" s="6">
        <f t="shared" si="2"/>
        <v>125504000000000</v>
      </c>
      <c r="AQ22" s="6">
        <f t="shared" si="3"/>
        <v>132418000000000</v>
      </c>
      <c r="AR22" s="6">
        <f t="shared" si="4"/>
        <v>43973566666666.7</v>
      </c>
      <c r="AS22" s="6">
        <f t="shared" si="5"/>
        <v>21352700000000</v>
      </c>
      <c r="AT22" s="6">
        <f t="shared" si="6"/>
        <v>59893400000000</v>
      </c>
    </row>
    <row r="23" customHeight="1" spans="1:46">
      <c r="A23" s="6">
        <v>0.0219729</v>
      </c>
      <c r="B23" s="6">
        <v>0.0225198</v>
      </c>
      <c r="C23" s="6">
        <v>128001000000000</v>
      </c>
      <c r="D23" s="6">
        <v>20752500000</v>
      </c>
      <c r="E23" s="6">
        <v>0</v>
      </c>
      <c r="F23" s="6">
        <v>0</v>
      </c>
      <c r="G23" s="6">
        <v>2</v>
      </c>
      <c r="H23" s="6">
        <v>27040100000000</v>
      </c>
      <c r="I23" s="6">
        <v>26660200000000</v>
      </c>
      <c r="J23" s="6">
        <v>28741300000000</v>
      </c>
      <c r="K23" s="6">
        <v>27047100000000</v>
      </c>
      <c r="L23" s="6">
        <v>18512000000000</v>
      </c>
      <c r="N23" s="6">
        <v>0.0219816</v>
      </c>
      <c r="O23" s="6">
        <v>0.0227829</v>
      </c>
      <c r="P23" s="6">
        <v>125970000000000</v>
      </c>
      <c r="Q23" s="6">
        <v>16393100000</v>
      </c>
      <c r="R23" s="6">
        <v>0</v>
      </c>
      <c r="S23" s="6">
        <v>0</v>
      </c>
      <c r="T23" s="6">
        <v>2</v>
      </c>
      <c r="U23" s="6">
        <v>16712100000000</v>
      </c>
      <c r="V23" s="6">
        <v>16682200000000</v>
      </c>
      <c r="W23" s="6">
        <v>15876300000000</v>
      </c>
      <c r="X23" s="6">
        <v>15130700000000</v>
      </c>
      <c r="Y23" s="6">
        <v>61561700000000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N23" s="6">
        <f t="shared" si="0"/>
        <v>0.0219729</v>
      </c>
      <c r="AO23" s="6">
        <f t="shared" si="1"/>
        <v>84657000000000</v>
      </c>
      <c r="AP23" s="6">
        <f t="shared" si="2"/>
        <v>125970000000000</v>
      </c>
      <c r="AQ23" s="6">
        <f t="shared" si="3"/>
        <v>128001000000000</v>
      </c>
      <c r="AR23" s="6">
        <f t="shared" si="4"/>
        <v>26691233333333.3</v>
      </c>
      <c r="AS23" s="6">
        <f t="shared" si="5"/>
        <v>18512000000000</v>
      </c>
      <c r="AT23" s="6">
        <f t="shared" si="6"/>
        <v>61561700000000</v>
      </c>
    </row>
    <row r="24" customHeight="1" spans="1:46">
      <c r="A24" s="6">
        <v>0.0229663</v>
      </c>
      <c r="B24" s="6">
        <v>0.0235044</v>
      </c>
      <c r="C24" s="6">
        <v>126959000000000</v>
      </c>
      <c r="D24" s="6">
        <v>13443200000</v>
      </c>
      <c r="E24" s="6">
        <v>0</v>
      </c>
      <c r="F24" s="6">
        <v>0</v>
      </c>
      <c r="G24" s="6">
        <v>2</v>
      </c>
      <c r="H24" s="6">
        <v>26962700000000</v>
      </c>
      <c r="I24" s="6">
        <v>26777000000000</v>
      </c>
      <c r="J24" s="6">
        <v>28657600000000</v>
      </c>
      <c r="K24" s="6">
        <v>27123400000000</v>
      </c>
      <c r="L24" s="6">
        <v>17438100000000</v>
      </c>
      <c r="N24" s="6">
        <v>0.0229487</v>
      </c>
      <c r="O24" s="6">
        <v>0.0238397</v>
      </c>
      <c r="P24" s="6">
        <v>125007000000000</v>
      </c>
      <c r="Q24" s="6">
        <v>42046800000</v>
      </c>
      <c r="R24" s="6">
        <v>0</v>
      </c>
      <c r="S24" s="6">
        <v>0</v>
      </c>
      <c r="T24" s="6">
        <v>2</v>
      </c>
      <c r="U24" s="6">
        <v>16361900000000</v>
      </c>
      <c r="V24" s="6">
        <v>15702500000000</v>
      </c>
      <c r="W24" s="6">
        <v>15419200000000</v>
      </c>
      <c r="X24" s="6">
        <v>14522400000000</v>
      </c>
      <c r="Y24" s="6">
        <v>62988000000000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N24" s="6">
        <f t="shared" si="0"/>
        <v>0.0229663</v>
      </c>
      <c r="AO24" s="6">
        <f t="shared" si="1"/>
        <v>83988666666666.7</v>
      </c>
      <c r="AP24" s="6">
        <f t="shared" si="2"/>
        <v>125007000000000</v>
      </c>
      <c r="AQ24" s="6">
        <f t="shared" si="3"/>
        <v>126959000000000</v>
      </c>
      <c r="AR24" s="6">
        <f t="shared" si="4"/>
        <v>26808700000000</v>
      </c>
      <c r="AS24" s="6">
        <f t="shared" si="5"/>
        <v>17438100000000</v>
      </c>
      <c r="AT24" s="6">
        <f t="shared" si="6"/>
        <v>62988000000000</v>
      </c>
    </row>
    <row r="25" customHeight="1" spans="1:46">
      <c r="A25" s="6">
        <v>0.0240019</v>
      </c>
      <c r="B25" s="6">
        <v>0.0245669</v>
      </c>
      <c r="C25" s="6">
        <v>126638000000000</v>
      </c>
      <c r="D25" s="6">
        <v>11365000000</v>
      </c>
      <c r="E25" s="6">
        <v>0</v>
      </c>
      <c r="F25" s="6">
        <v>0</v>
      </c>
      <c r="G25" s="6">
        <v>2</v>
      </c>
      <c r="H25" s="6">
        <v>26611800000000</v>
      </c>
      <c r="I25" s="6">
        <v>26268500000000</v>
      </c>
      <c r="J25" s="6">
        <v>28207400000000</v>
      </c>
      <c r="K25" s="6">
        <v>26068200000000</v>
      </c>
      <c r="L25" s="6">
        <v>19481900000000</v>
      </c>
      <c r="N25" s="6">
        <v>0.0240161</v>
      </c>
      <c r="O25" s="6">
        <v>0.0248109</v>
      </c>
      <c r="P25" s="6">
        <v>125035000000000</v>
      </c>
      <c r="Q25" s="6">
        <v>67702600000</v>
      </c>
      <c r="R25" s="6">
        <v>0</v>
      </c>
      <c r="S25" s="6">
        <v>0</v>
      </c>
      <c r="T25" s="6">
        <v>2</v>
      </c>
      <c r="U25" s="6">
        <v>15564700000000</v>
      </c>
      <c r="V25" s="6">
        <v>16145700000000</v>
      </c>
      <c r="W25" s="6">
        <v>15821700000000</v>
      </c>
      <c r="X25" s="6">
        <v>14244300000000</v>
      </c>
      <c r="Y25" s="6">
        <v>63249300000000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N25" s="6">
        <f t="shared" si="0"/>
        <v>0.0240019</v>
      </c>
      <c r="AO25" s="6">
        <f t="shared" si="1"/>
        <v>83891000000000</v>
      </c>
      <c r="AP25" s="6">
        <f t="shared" si="2"/>
        <v>125035000000000</v>
      </c>
      <c r="AQ25" s="6">
        <f t="shared" si="3"/>
        <v>126638000000000</v>
      </c>
      <c r="AR25" s="6">
        <f t="shared" si="4"/>
        <v>27577066666666.7</v>
      </c>
      <c r="AS25" s="6">
        <f t="shared" si="5"/>
        <v>19481900000000</v>
      </c>
      <c r="AT25" s="6">
        <f t="shared" si="6"/>
        <v>63249300000000</v>
      </c>
    </row>
    <row r="26" customHeight="1" spans="1:46">
      <c r="A26" s="6">
        <v>0.0250139</v>
      </c>
      <c r="B26" s="6">
        <v>0.025635</v>
      </c>
      <c r="C26" s="6">
        <v>127077000000000</v>
      </c>
      <c r="D26" s="6">
        <v>7336290000</v>
      </c>
      <c r="E26" s="6">
        <v>0</v>
      </c>
      <c r="F26" s="6">
        <v>0</v>
      </c>
      <c r="G26" s="6">
        <v>2</v>
      </c>
      <c r="H26" s="6">
        <v>26989800000000</v>
      </c>
      <c r="I26" s="6">
        <v>26246500000000</v>
      </c>
      <c r="J26" s="6">
        <v>27567700000000</v>
      </c>
      <c r="K26" s="6">
        <v>25925500000000</v>
      </c>
      <c r="L26" s="6">
        <v>20347300000000</v>
      </c>
      <c r="N26" s="6">
        <v>0.0249183</v>
      </c>
      <c r="O26" s="6">
        <v>0.0257488</v>
      </c>
      <c r="P26" s="6">
        <v>124368000000000</v>
      </c>
      <c r="Q26" s="6">
        <v>29878000000</v>
      </c>
      <c r="R26" s="6">
        <v>0</v>
      </c>
      <c r="S26" s="6">
        <v>0</v>
      </c>
      <c r="T26" s="6">
        <v>2</v>
      </c>
      <c r="U26" s="6">
        <v>15168200000000</v>
      </c>
      <c r="V26" s="6">
        <v>14645600000000</v>
      </c>
      <c r="W26" s="6">
        <v>15444300000000</v>
      </c>
      <c r="X26" s="6">
        <v>14318100000000</v>
      </c>
      <c r="Y26" s="6">
        <v>64761500000000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N26" s="6">
        <f t="shared" si="0"/>
        <v>0.0250139</v>
      </c>
      <c r="AO26" s="6">
        <f t="shared" si="1"/>
        <v>83815000000000</v>
      </c>
      <c r="AP26" s="6">
        <f t="shared" si="2"/>
        <v>124368000000000</v>
      </c>
      <c r="AQ26" s="6">
        <f t="shared" si="3"/>
        <v>127077000000000</v>
      </c>
      <c r="AR26" s="6">
        <f t="shared" si="4"/>
        <v>28369600000000</v>
      </c>
      <c r="AS26" s="6">
        <f t="shared" si="5"/>
        <v>20347300000000</v>
      </c>
      <c r="AT26" s="6">
        <f t="shared" si="6"/>
        <v>64761500000000</v>
      </c>
    </row>
    <row r="27" customHeight="1" spans="1:46">
      <c r="A27" s="6">
        <v>0.0259837</v>
      </c>
      <c r="B27" s="6">
        <v>0.0265949</v>
      </c>
      <c r="C27" s="6">
        <v>127601000000000</v>
      </c>
      <c r="D27" s="6">
        <v>9972790000</v>
      </c>
      <c r="E27" s="6">
        <v>0</v>
      </c>
      <c r="F27" s="6">
        <v>0</v>
      </c>
      <c r="G27" s="6">
        <v>2</v>
      </c>
      <c r="H27" s="6">
        <v>27561100000000</v>
      </c>
      <c r="I27" s="6">
        <v>26752100000000</v>
      </c>
      <c r="J27" s="6">
        <v>26865400000000</v>
      </c>
      <c r="K27" s="6">
        <v>26118200000000</v>
      </c>
      <c r="L27" s="6">
        <v>20304700000000</v>
      </c>
      <c r="N27" s="6">
        <v>0.0260007</v>
      </c>
      <c r="O27" s="6">
        <v>0.0268065</v>
      </c>
      <c r="P27" s="6">
        <v>123914000000000</v>
      </c>
      <c r="Q27" s="6">
        <v>19019600000</v>
      </c>
      <c r="R27" s="6">
        <v>0</v>
      </c>
      <c r="S27" s="6">
        <v>0</v>
      </c>
      <c r="T27" s="6">
        <v>2</v>
      </c>
      <c r="U27" s="6">
        <v>15125000000000</v>
      </c>
      <c r="V27" s="6">
        <v>13555600000000</v>
      </c>
      <c r="W27" s="6">
        <v>14738800000000</v>
      </c>
      <c r="X27" s="6">
        <v>13862900000000</v>
      </c>
      <c r="Y27" s="6">
        <v>66563400000000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N27" s="6">
        <f t="shared" si="0"/>
        <v>0.0259837</v>
      </c>
      <c r="AO27" s="6">
        <f t="shared" si="1"/>
        <v>83838333333333.3</v>
      </c>
      <c r="AP27" s="6">
        <f t="shared" si="2"/>
        <v>123914000000000</v>
      </c>
      <c r="AQ27" s="6">
        <f t="shared" si="3"/>
        <v>127601000000000</v>
      </c>
      <c r="AR27" s="6">
        <f t="shared" si="4"/>
        <v>28956033333333.3</v>
      </c>
      <c r="AS27" s="6">
        <f t="shared" si="5"/>
        <v>20304700000000</v>
      </c>
      <c r="AT27" s="6">
        <f t="shared" si="6"/>
        <v>66563400000000</v>
      </c>
    </row>
    <row r="28" customHeight="1" spans="1:46">
      <c r="A28" s="6">
        <v>0.0269575</v>
      </c>
      <c r="B28" s="6">
        <v>0.0275834</v>
      </c>
      <c r="C28" s="6">
        <v>128123000000000</v>
      </c>
      <c r="D28" s="6">
        <v>20029300000</v>
      </c>
      <c r="E28" s="6">
        <v>0</v>
      </c>
      <c r="F28" s="6">
        <v>0</v>
      </c>
      <c r="G28" s="6">
        <v>2</v>
      </c>
      <c r="H28" s="6">
        <v>28005800000000</v>
      </c>
      <c r="I28" s="6">
        <v>27115300000000</v>
      </c>
      <c r="J28" s="6">
        <v>27606100000000</v>
      </c>
      <c r="K28" s="6">
        <v>26630100000000</v>
      </c>
      <c r="L28" s="6">
        <v>18752000000000</v>
      </c>
      <c r="N28" s="6">
        <v>0.0271111</v>
      </c>
      <c r="O28" s="6">
        <v>0.0279111</v>
      </c>
      <c r="P28" s="6">
        <v>123517000000000</v>
      </c>
      <c r="Q28" s="6">
        <v>18909600000</v>
      </c>
      <c r="R28" s="6">
        <v>0</v>
      </c>
      <c r="S28" s="6">
        <v>0</v>
      </c>
      <c r="T28" s="6">
        <v>2</v>
      </c>
      <c r="U28" s="6">
        <v>13752000000000</v>
      </c>
      <c r="V28" s="6">
        <v>14205700000000</v>
      </c>
      <c r="W28" s="6">
        <v>15083900000000</v>
      </c>
      <c r="X28" s="6">
        <v>12605900000000</v>
      </c>
      <c r="Y28" s="6">
        <v>67805500000000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N28" s="6">
        <f t="shared" si="0"/>
        <v>0.0269575</v>
      </c>
      <c r="AO28" s="6">
        <f t="shared" si="1"/>
        <v>83880000000000</v>
      </c>
      <c r="AP28" s="6">
        <f t="shared" si="2"/>
        <v>123517000000000</v>
      </c>
      <c r="AQ28" s="6">
        <f t="shared" si="3"/>
        <v>128123000000000</v>
      </c>
      <c r="AR28" s="6">
        <f t="shared" si="4"/>
        <v>28852500000000</v>
      </c>
      <c r="AS28" s="6">
        <f t="shared" si="5"/>
        <v>18752000000000</v>
      </c>
      <c r="AT28" s="6">
        <f t="shared" si="6"/>
        <v>67805500000000</v>
      </c>
    </row>
    <row r="29" customHeight="1" spans="1:46">
      <c r="A29" s="6">
        <v>0.0279955</v>
      </c>
      <c r="B29" s="6">
        <v>0.0286084</v>
      </c>
      <c r="C29" s="6">
        <v>127741000000000</v>
      </c>
      <c r="D29" s="6">
        <v>83915300000</v>
      </c>
      <c r="E29" s="6">
        <v>0</v>
      </c>
      <c r="F29" s="6">
        <v>0</v>
      </c>
      <c r="G29" s="6">
        <v>2</v>
      </c>
      <c r="H29" s="6">
        <v>28080500000000</v>
      </c>
      <c r="I29" s="6">
        <v>27118700000000</v>
      </c>
      <c r="J29" s="6">
        <v>28754700000000</v>
      </c>
      <c r="K29" s="6">
        <v>26867200000000</v>
      </c>
      <c r="L29" s="6">
        <v>16920000000000</v>
      </c>
      <c r="N29" s="6">
        <v>0.0281873</v>
      </c>
      <c r="O29" s="6">
        <v>0.0290286</v>
      </c>
      <c r="P29" s="6">
        <v>123393000000000</v>
      </c>
      <c r="Q29" s="6">
        <v>26384000000</v>
      </c>
      <c r="R29" s="6">
        <v>0</v>
      </c>
      <c r="S29" s="6">
        <v>0</v>
      </c>
      <c r="T29" s="6">
        <v>2</v>
      </c>
      <c r="U29" s="6">
        <v>13305900000000</v>
      </c>
      <c r="V29" s="6">
        <v>14137100000000</v>
      </c>
      <c r="W29" s="6">
        <v>15032500000000</v>
      </c>
      <c r="X29" s="6">
        <v>12492100000000</v>
      </c>
      <c r="Y29" s="6">
        <v>68343000000000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N29" s="6">
        <f t="shared" si="0"/>
        <v>0.0279955</v>
      </c>
      <c r="AO29" s="6">
        <f t="shared" si="1"/>
        <v>83711333333333.3</v>
      </c>
      <c r="AP29" s="6">
        <f t="shared" si="2"/>
        <v>123393000000000</v>
      </c>
      <c r="AQ29" s="6">
        <f t="shared" si="3"/>
        <v>127741000000000</v>
      </c>
      <c r="AR29" s="6">
        <f t="shared" si="4"/>
        <v>28421000000000</v>
      </c>
      <c r="AS29" s="6">
        <f t="shared" si="5"/>
        <v>16920000000000</v>
      </c>
      <c r="AT29" s="6">
        <f t="shared" si="6"/>
        <v>68343000000000</v>
      </c>
    </row>
    <row r="30" customHeight="1" spans="1:46">
      <c r="A30" s="6">
        <v>0.0289777</v>
      </c>
      <c r="B30" s="6">
        <v>0.0296293</v>
      </c>
      <c r="C30" s="6">
        <v>127823000000000</v>
      </c>
      <c r="D30" s="6">
        <v>5791920000</v>
      </c>
      <c r="E30" s="6">
        <v>0</v>
      </c>
      <c r="F30" s="6">
        <v>0</v>
      </c>
      <c r="G30" s="6">
        <v>2</v>
      </c>
      <c r="H30" s="6">
        <v>28230100000000</v>
      </c>
      <c r="I30" s="6">
        <v>26864600000000</v>
      </c>
      <c r="J30" s="6">
        <v>28694000000000</v>
      </c>
      <c r="K30" s="6">
        <v>26620000000000</v>
      </c>
      <c r="L30" s="6">
        <v>17413900000000</v>
      </c>
      <c r="N30" s="6">
        <v>0.0290632</v>
      </c>
      <c r="O30" s="6">
        <v>0.0299062</v>
      </c>
      <c r="P30" s="6">
        <v>123346000000000</v>
      </c>
      <c r="Q30" s="6">
        <v>15983200000</v>
      </c>
      <c r="R30" s="6">
        <v>0</v>
      </c>
      <c r="S30" s="6">
        <v>0</v>
      </c>
      <c r="T30" s="6">
        <v>2</v>
      </c>
      <c r="U30" s="6">
        <v>13147200000000</v>
      </c>
      <c r="V30" s="6">
        <v>14907000000000</v>
      </c>
      <c r="W30" s="6">
        <v>14587300000000</v>
      </c>
      <c r="X30" s="6">
        <v>12760000000000</v>
      </c>
      <c r="Y30" s="6">
        <v>67892900000000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N30" s="6">
        <f t="shared" si="0"/>
        <v>0.0289777</v>
      </c>
      <c r="AO30" s="6">
        <f t="shared" si="1"/>
        <v>83723000000000</v>
      </c>
      <c r="AP30" s="6">
        <f t="shared" si="2"/>
        <v>123346000000000</v>
      </c>
      <c r="AQ30" s="6">
        <f t="shared" si="3"/>
        <v>127823000000000</v>
      </c>
      <c r="AR30" s="6">
        <f t="shared" si="4"/>
        <v>28435600000000</v>
      </c>
      <c r="AS30" s="6">
        <f t="shared" si="5"/>
        <v>17413900000000</v>
      </c>
      <c r="AT30" s="6">
        <f t="shared" si="6"/>
        <v>67892900000000</v>
      </c>
    </row>
    <row r="31" customHeight="1" spans="1:46">
      <c r="A31" s="6">
        <v>0.0299604</v>
      </c>
      <c r="B31" s="6">
        <v>0.0305727</v>
      </c>
      <c r="C31" s="6">
        <v>127339000000000</v>
      </c>
      <c r="D31" s="6">
        <v>9686550000</v>
      </c>
      <c r="E31" s="6">
        <v>0</v>
      </c>
      <c r="F31" s="6">
        <v>0</v>
      </c>
      <c r="G31" s="6">
        <v>2</v>
      </c>
      <c r="H31" s="6">
        <v>28223200000000</v>
      </c>
      <c r="I31" s="6">
        <v>26479200000000</v>
      </c>
      <c r="J31" s="6">
        <v>27934900000000</v>
      </c>
      <c r="K31" s="6">
        <v>26374300000000</v>
      </c>
      <c r="L31" s="6">
        <v>18327600000000</v>
      </c>
      <c r="N31" s="6">
        <v>0.0300038</v>
      </c>
      <c r="O31" s="6">
        <v>0.0308257</v>
      </c>
      <c r="P31" s="6">
        <v>123781000000000</v>
      </c>
      <c r="Q31" s="6">
        <v>23708700000</v>
      </c>
      <c r="R31" s="6">
        <v>0</v>
      </c>
      <c r="S31" s="6">
        <v>0</v>
      </c>
      <c r="T31" s="6">
        <v>2</v>
      </c>
      <c r="U31" s="6">
        <v>13820100000000</v>
      </c>
      <c r="V31" s="6">
        <v>14784600000000</v>
      </c>
      <c r="W31" s="6">
        <v>15131000000000</v>
      </c>
      <c r="X31" s="6">
        <v>12947000000000</v>
      </c>
      <c r="Y31" s="6">
        <v>67042700000000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N31" s="6"/>
      <c r="AO31" s="6"/>
      <c r="AP31" s="6"/>
      <c r="AQ31" s="6"/>
      <c r="AR31" s="6"/>
      <c r="AS31" s="6"/>
      <c r="AT31" s="6"/>
    </row>
    <row r="32" customHeight="1" spans="1:25">
      <c r="A32" s="6">
        <v>0.0310262</v>
      </c>
      <c r="B32" s="6">
        <v>0.031678</v>
      </c>
      <c r="C32" s="6">
        <v>127674000000000</v>
      </c>
      <c r="D32" s="6">
        <v>18334600000</v>
      </c>
      <c r="E32" s="6">
        <v>0</v>
      </c>
      <c r="F32" s="6">
        <v>0</v>
      </c>
      <c r="G32" s="6">
        <v>2</v>
      </c>
      <c r="H32" s="6">
        <v>27080100000000</v>
      </c>
      <c r="I32" s="6">
        <v>27072500000000</v>
      </c>
      <c r="J32" s="6">
        <v>28138800000000</v>
      </c>
      <c r="K32" s="6">
        <v>26660400000000</v>
      </c>
      <c r="L32" s="6">
        <v>18719500000000</v>
      </c>
      <c r="N32" s="6">
        <v>0.0310638</v>
      </c>
      <c r="O32" s="6">
        <v>0.0318713</v>
      </c>
      <c r="P32" s="6">
        <v>124164000000000</v>
      </c>
      <c r="Q32" s="6">
        <v>128809000000</v>
      </c>
      <c r="R32" s="6">
        <v>0</v>
      </c>
      <c r="S32" s="6">
        <v>0</v>
      </c>
      <c r="T32" s="6">
        <v>2</v>
      </c>
      <c r="U32" s="6">
        <v>15469000000000</v>
      </c>
      <c r="V32" s="6">
        <v>14661300000000</v>
      </c>
      <c r="W32" s="6">
        <v>15025100000000</v>
      </c>
      <c r="X32" s="6">
        <v>14624400000000</v>
      </c>
      <c r="Y32" s="6">
        <v>64321800000000</v>
      </c>
    </row>
    <row r="33" customHeight="1" spans="1:25">
      <c r="A33" s="6">
        <v>0.0319183</v>
      </c>
      <c r="B33" s="6">
        <v>0.0326012</v>
      </c>
      <c r="C33" s="6">
        <v>128290000000000</v>
      </c>
      <c r="D33" s="6">
        <v>22866200000</v>
      </c>
      <c r="E33" s="6">
        <v>0</v>
      </c>
      <c r="F33" s="6">
        <v>0</v>
      </c>
      <c r="G33" s="6">
        <v>2</v>
      </c>
      <c r="H33" s="6">
        <v>26537700000000</v>
      </c>
      <c r="I33" s="6">
        <v>26310700000000</v>
      </c>
      <c r="J33" s="6">
        <v>27625000000000</v>
      </c>
      <c r="K33" s="6">
        <v>25699800000000</v>
      </c>
      <c r="L33" s="6">
        <v>22113600000000</v>
      </c>
      <c r="N33" s="6">
        <v>0.0319994</v>
      </c>
      <c r="O33" s="6">
        <v>0.0328331</v>
      </c>
      <c r="P33" s="6">
        <v>124714000000000</v>
      </c>
      <c r="Q33" s="6">
        <v>27975800000</v>
      </c>
      <c r="R33" s="6">
        <v>0</v>
      </c>
      <c r="S33" s="6">
        <v>0</v>
      </c>
      <c r="T33" s="6">
        <v>2</v>
      </c>
      <c r="U33" s="6">
        <v>16034900000000</v>
      </c>
      <c r="V33" s="6">
        <v>15298800000000</v>
      </c>
      <c r="W33" s="6">
        <v>15036000000000</v>
      </c>
      <c r="X33" s="6">
        <v>14881400000000</v>
      </c>
      <c r="Y33" s="6">
        <v>63424300000000</v>
      </c>
    </row>
    <row r="34" customHeight="1" spans="1:25">
      <c r="A34" s="6">
        <v>0.0329799</v>
      </c>
      <c r="B34" s="6">
        <v>0.0336575</v>
      </c>
      <c r="C34" s="6">
        <v>128042000000000</v>
      </c>
      <c r="D34" s="6">
        <v>23846900000</v>
      </c>
      <c r="E34" s="6">
        <v>0</v>
      </c>
      <c r="F34" s="6">
        <v>0</v>
      </c>
      <c r="G34" s="6">
        <v>2</v>
      </c>
      <c r="H34" s="6">
        <v>27070300000000</v>
      </c>
      <c r="I34" s="6">
        <v>26418400000000</v>
      </c>
      <c r="J34" s="6">
        <v>27187100000000</v>
      </c>
      <c r="K34" s="6">
        <v>26867500000000</v>
      </c>
      <c r="L34" s="6">
        <v>20498800000000</v>
      </c>
      <c r="N34" s="6">
        <v>0.0329693</v>
      </c>
      <c r="O34" s="6">
        <v>0.0337105</v>
      </c>
      <c r="P34" s="6">
        <v>124385000000000</v>
      </c>
      <c r="Q34" s="6">
        <v>26406600000</v>
      </c>
      <c r="R34" s="6">
        <v>0</v>
      </c>
      <c r="S34" s="6">
        <v>0</v>
      </c>
      <c r="T34" s="6">
        <v>2</v>
      </c>
      <c r="U34" s="6">
        <v>16193300000000</v>
      </c>
      <c r="V34" s="6">
        <v>15826300000000</v>
      </c>
      <c r="W34" s="6">
        <v>14200900000000</v>
      </c>
      <c r="X34" s="6">
        <v>14762500000000</v>
      </c>
      <c r="Y34" s="6">
        <v>63383300000000</v>
      </c>
    </row>
    <row r="35" customHeight="1" spans="1:25">
      <c r="A35" s="6">
        <v>0.0339601</v>
      </c>
      <c r="B35" s="6">
        <v>0.0345912</v>
      </c>
      <c r="C35" s="6">
        <v>127091000000000</v>
      </c>
      <c r="D35" s="6">
        <v>15545500000</v>
      </c>
      <c r="E35" s="6">
        <v>0</v>
      </c>
      <c r="F35" s="6">
        <v>0</v>
      </c>
      <c r="G35" s="6">
        <v>2</v>
      </c>
      <c r="H35" s="6">
        <v>26484900000000</v>
      </c>
      <c r="I35" s="6">
        <v>26266600000000</v>
      </c>
      <c r="J35" s="6">
        <v>27445600000000</v>
      </c>
      <c r="K35" s="6">
        <v>26154900000000</v>
      </c>
      <c r="L35" s="6">
        <v>20734100000000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Height="1" spans="1:12">
      <c r="A36" s="6">
        <v>0.0350297</v>
      </c>
      <c r="B36" s="6">
        <v>0.0357178</v>
      </c>
      <c r="C36" s="6">
        <v>127919000000000</v>
      </c>
      <c r="D36" s="6">
        <v>18150700000</v>
      </c>
      <c r="E36" s="6">
        <v>0</v>
      </c>
      <c r="F36" s="6">
        <v>0</v>
      </c>
      <c r="G36" s="6">
        <v>2</v>
      </c>
      <c r="H36" s="6">
        <v>26299900000000</v>
      </c>
      <c r="I36" s="6">
        <v>26430700000000</v>
      </c>
      <c r="J36" s="6">
        <v>26533400000000</v>
      </c>
      <c r="K36" s="6">
        <v>25011100000000</v>
      </c>
      <c r="L36" s="6">
        <v>23641600000000</v>
      </c>
    </row>
    <row r="37" customHeight="1" spans="1:12">
      <c r="A37" s="6">
        <v>0.0359889</v>
      </c>
      <c r="B37" s="6">
        <v>0.0367123</v>
      </c>
      <c r="C37" s="6">
        <v>128586000000000</v>
      </c>
      <c r="D37" s="6">
        <v>26882800000</v>
      </c>
      <c r="E37" s="6">
        <v>0</v>
      </c>
      <c r="F37" s="6">
        <v>0</v>
      </c>
      <c r="G37" s="6">
        <v>2</v>
      </c>
      <c r="H37" s="6">
        <v>26368900000000</v>
      </c>
      <c r="I37" s="6">
        <v>26112300000000</v>
      </c>
      <c r="J37" s="6">
        <v>25778600000000</v>
      </c>
      <c r="K37" s="6">
        <v>25548000000000</v>
      </c>
      <c r="L37" s="6">
        <v>24777100000000</v>
      </c>
    </row>
    <row r="38" customHeight="1" spans="1:12">
      <c r="A38" s="6">
        <v>0.0370473</v>
      </c>
      <c r="B38" s="6">
        <v>0.0378113</v>
      </c>
      <c r="C38" s="6">
        <v>129572000000000</v>
      </c>
      <c r="D38" s="6">
        <v>11049500000</v>
      </c>
      <c r="E38" s="6">
        <v>0</v>
      </c>
      <c r="F38" s="6">
        <v>0</v>
      </c>
      <c r="G38" s="6">
        <v>2</v>
      </c>
      <c r="H38" s="6">
        <v>26194800000000</v>
      </c>
      <c r="I38" s="6">
        <v>26061200000000</v>
      </c>
      <c r="J38" s="6">
        <v>24908500000000</v>
      </c>
      <c r="K38" s="6">
        <v>24929600000000</v>
      </c>
      <c r="L38" s="6">
        <v>27476300000000</v>
      </c>
    </row>
    <row r="39" customHeight="1" spans="1:12">
      <c r="A39" s="6">
        <v>0.0379742</v>
      </c>
      <c r="B39" s="6">
        <v>0.0387615</v>
      </c>
      <c r="C39" s="6">
        <v>131824000000000</v>
      </c>
      <c r="D39" s="6">
        <v>4860400000</v>
      </c>
      <c r="E39" s="6">
        <v>0</v>
      </c>
      <c r="F39" s="6">
        <v>0</v>
      </c>
      <c r="G39" s="6">
        <v>2</v>
      </c>
      <c r="H39" s="6">
        <v>26371500000000</v>
      </c>
      <c r="I39" s="6">
        <v>27176500000000</v>
      </c>
      <c r="J39" s="6">
        <v>24524300000000</v>
      </c>
      <c r="K39" s="6">
        <v>24727700000000</v>
      </c>
      <c r="L39" s="6">
        <v>29023500000000</v>
      </c>
    </row>
    <row r="40" customHeight="1" spans="1:12">
      <c r="A40" s="6">
        <v>0.0389928</v>
      </c>
      <c r="B40" s="6">
        <v>0.0397904</v>
      </c>
      <c r="C40" s="6">
        <v>135696000000000</v>
      </c>
      <c r="D40" s="6">
        <v>3822300000</v>
      </c>
      <c r="E40" s="6">
        <v>0</v>
      </c>
      <c r="F40" s="6">
        <v>0</v>
      </c>
      <c r="G40" s="6">
        <v>2</v>
      </c>
      <c r="H40" s="6">
        <v>26327100000000</v>
      </c>
      <c r="I40" s="6">
        <v>27359500000000</v>
      </c>
      <c r="J40" s="6">
        <v>24462800000000</v>
      </c>
      <c r="K40" s="6">
        <v>23504700000000</v>
      </c>
      <c r="L40" s="6">
        <v>34040100000000</v>
      </c>
    </row>
    <row r="41" customHeight="1" spans="1:12">
      <c r="A41" s="6">
        <v>0.0400154</v>
      </c>
      <c r="B41" s="6">
        <v>0.0407269</v>
      </c>
      <c r="C41" s="6">
        <v>141561000000000</v>
      </c>
      <c r="D41" s="6">
        <v>10731700000</v>
      </c>
      <c r="E41" s="6">
        <v>0</v>
      </c>
      <c r="F41" s="6">
        <v>0</v>
      </c>
      <c r="G41" s="6">
        <v>2</v>
      </c>
      <c r="H41" s="6">
        <v>27101100000000</v>
      </c>
      <c r="I41" s="6">
        <v>29122800000000</v>
      </c>
      <c r="J41" s="6">
        <v>26428700000000</v>
      </c>
      <c r="K41" s="6">
        <v>24425700000000</v>
      </c>
      <c r="L41" s="6">
        <v>34480700000000</v>
      </c>
    </row>
    <row r="42" customHeight="1" spans="1:12">
      <c r="A42" s="6">
        <v>0.0410017</v>
      </c>
      <c r="B42" s="6">
        <v>0.0416445</v>
      </c>
      <c r="C42" s="6">
        <v>146761000000000</v>
      </c>
      <c r="D42" s="6">
        <v>3361840000</v>
      </c>
      <c r="E42" s="6">
        <v>0</v>
      </c>
      <c r="F42" s="6">
        <v>0</v>
      </c>
      <c r="G42" s="6">
        <v>2</v>
      </c>
      <c r="H42" s="6">
        <v>27955200000000</v>
      </c>
      <c r="I42" s="6">
        <v>29786800000000</v>
      </c>
      <c r="J42" s="6">
        <v>28618600000000</v>
      </c>
      <c r="K42" s="6">
        <v>24615200000000</v>
      </c>
      <c r="L42" s="6">
        <v>35784800000000</v>
      </c>
    </row>
    <row r="43" customHeight="1" spans="1:12">
      <c r="A43" s="6">
        <v>0.0420089</v>
      </c>
      <c r="B43" s="6">
        <v>0.0426223</v>
      </c>
      <c r="C43" s="6">
        <v>149939000000000</v>
      </c>
      <c r="D43" s="6">
        <v>7064000000</v>
      </c>
      <c r="E43" s="6">
        <v>0</v>
      </c>
      <c r="F43" s="6">
        <v>0</v>
      </c>
      <c r="G43" s="6">
        <v>2</v>
      </c>
      <c r="H43" s="6">
        <v>28327000000000</v>
      </c>
      <c r="I43" s="6">
        <v>29261100000000</v>
      </c>
      <c r="J43" s="6">
        <v>28994000000000</v>
      </c>
      <c r="K43" s="6">
        <v>24896700000000</v>
      </c>
      <c r="L43" s="6">
        <v>38459200000000</v>
      </c>
    </row>
    <row r="44" customHeight="1" spans="1:12">
      <c r="A44" s="6">
        <v>0.0430132</v>
      </c>
      <c r="B44" s="6">
        <v>0.0436238</v>
      </c>
      <c r="C44" s="6">
        <v>148445000000000</v>
      </c>
      <c r="D44" s="6">
        <v>4096530000</v>
      </c>
      <c r="E44" s="6">
        <v>0</v>
      </c>
      <c r="F44" s="6">
        <v>0</v>
      </c>
      <c r="G44" s="6">
        <v>2</v>
      </c>
      <c r="H44" s="6">
        <v>29328700000000</v>
      </c>
      <c r="I44" s="6">
        <v>27740900000000</v>
      </c>
      <c r="J44" s="6">
        <v>27592800000000</v>
      </c>
      <c r="K44" s="6">
        <v>22768600000000</v>
      </c>
      <c r="L44" s="6">
        <v>41013300000000</v>
      </c>
    </row>
    <row r="45" customHeight="1" spans="1:12">
      <c r="A45" s="6">
        <v>0.0440045</v>
      </c>
      <c r="B45" s="6">
        <v>0.0446454</v>
      </c>
      <c r="C45" s="6">
        <v>145527000000000</v>
      </c>
      <c r="D45" s="6">
        <v>7109020000</v>
      </c>
      <c r="E45" s="6">
        <v>0</v>
      </c>
      <c r="F45" s="6">
        <v>0</v>
      </c>
      <c r="G45" s="6">
        <v>2</v>
      </c>
      <c r="H45" s="6">
        <v>27721100000000</v>
      </c>
      <c r="I45" s="6">
        <v>25640200000000</v>
      </c>
      <c r="J45" s="6">
        <v>26770100000000</v>
      </c>
      <c r="K45" s="6">
        <v>20646000000000</v>
      </c>
      <c r="L45" s="6">
        <v>44746500000000</v>
      </c>
    </row>
    <row r="46" customHeight="1" spans="1:12">
      <c r="A46" s="6">
        <v>0.0449796</v>
      </c>
      <c r="B46" s="6">
        <v>0.045639</v>
      </c>
      <c r="C46" s="6">
        <v>144380000000000</v>
      </c>
      <c r="D46" s="6">
        <v>4893220000</v>
      </c>
      <c r="E46" s="6">
        <v>0</v>
      </c>
      <c r="F46" s="6">
        <v>0</v>
      </c>
      <c r="G46" s="6">
        <v>2</v>
      </c>
      <c r="H46" s="6">
        <v>26942200000000</v>
      </c>
      <c r="I46" s="6">
        <v>26378300000000</v>
      </c>
      <c r="J46" s="6">
        <v>26893000000000</v>
      </c>
      <c r="K46" s="6">
        <v>21623700000000</v>
      </c>
      <c r="L46" s="6">
        <v>42533100000000</v>
      </c>
    </row>
    <row r="47" customHeight="1" spans="1:12">
      <c r="A47" s="6">
        <v>0.0460598</v>
      </c>
      <c r="B47" s="6">
        <v>0.0466753</v>
      </c>
      <c r="C47" s="6">
        <v>145042000000000</v>
      </c>
      <c r="D47" s="6">
        <v>9854600000</v>
      </c>
      <c r="E47" s="6">
        <v>0</v>
      </c>
      <c r="F47" s="6">
        <v>0</v>
      </c>
      <c r="G47" s="6">
        <v>2</v>
      </c>
      <c r="H47" s="6">
        <v>27925200000000</v>
      </c>
      <c r="I47" s="6">
        <v>25985700000000</v>
      </c>
      <c r="J47" s="6">
        <v>27837600000000</v>
      </c>
      <c r="K47" s="6">
        <v>22014500000000</v>
      </c>
      <c r="L47" s="6">
        <v>41265100000000</v>
      </c>
    </row>
    <row r="48" customHeight="1" spans="1:12">
      <c r="A48" s="6">
        <v>0.0469462</v>
      </c>
      <c r="B48" s="6">
        <v>0.0475681</v>
      </c>
      <c r="C48" s="6">
        <v>144494000000000</v>
      </c>
      <c r="D48" s="6">
        <v>6202620000</v>
      </c>
      <c r="E48" s="6">
        <v>0</v>
      </c>
      <c r="F48" s="6">
        <v>0</v>
      </c>
      <c r="G48" s="6">
        <v>2</v>
      </c>
      <c r="H48" s="6">
        <v>28406400000000</v>
      </c>
      <c r="I48" s="6">
        <v>25359200000000</v>
      </c>
      <c r="J48" s="6">
        <v>27595000000000</v>
      </c>
      <c r="K48" s="6">
        <v>21792100000000</v>
      </c>
      <c r="L48" s="6">
        <v>41340600000000</v>
      </c>
    </row>
    <row r="49" customHeight="1" spans="1:12">
      <c r="A49" s="6">
        <v>0.0480627</v>
      </c>
      <c r="B49" s="6">
        <v>0.0486794</v>
      </c>
      <c r="C49" s="6">
        <v>142330000000000</v>
      </c>
      <c r="D49" s="6">
        <v>6875520000</v>
      </c>
      <c r="E49" s="6">
        <v>0</v>
      </c>
      <c r="F49" s="6">
        <v>0</v>
      </c>
      <c r="G49" s="6">
        <v>2</v>
      </c>
      <c r="H49" s="6">
        <v>26482300000000</v>
      </c>
      <c r="I49" s="6">
        <v>26081900000000</v>
      </c>
      <c r="J49" s="6">
        <v>25424300000000</v>
      </c>
      <c r="K49" s="6">
        <v>22475900000000</v>
      </c>
      <c r="L49" s="6">
        <v>41864900000000</v>
      </c>
    </row>
    <row r="50" customHeight="1" spans="1:12">
      <c r="A50" s="6">
        <v>0.0490239</v>
      </c>
      <c r="B50" s="6">
        <v>0.0496965</v>
      </c>
      <c r="C50" s="6">
        <v>138437000000000</v>
      </c>
      <c r="D50" s="6">
        <v>6074140000</v>
      </c>
      <c r="E50" s="6">
        <v>0</v>
      </c>
      <c r="F50" s="6">
        <v>0</v>
      </c>
      <c r="G50" s="6">
        <v>2</v>
      </c>
      <c r="H50" s="6">
        <v>24722300000000</v>
      </c>
      <c r="I50" s="6">
        <v>23762200000000</v>
      </c>
      <c r="J50" s="6">
        <v>23387700000000</v>
      </c>
      <c r="K50" s="6">
        <v>19473500000000</v>
      </c>
      <c r="L50" s="6">
        <v>47088800000000</v>
      </c>
    </row>
    <row r="51" customHeight="1" spans="1:12">
      <c r="A51" s="6">
        <v>0.0499903</v>
      </c>
      <c r="B51" s="6">
        <v>0.0507174</v>
      </c>
      <c r="C51" s="6">
        <v>137648000000000</v>
      </c>
      <c r="D51" s="6">
        <v>5613490000</v>
      </c>
      <c r="E51" s="6">
        <v>0</v>
      </c>
      <c r="F51" s="6">
        <v>0</v>
      </c>
      <c r="G51" s="6">
        <v>2</v>
      </c>
      <c r="H51" s="6">
        <v>24455200000000</v>
      </c>
      <c r="I51" s="6">
        <v>23447800000000</v>
      </c>
      <c r="J51" s="6">
        <v>21768800000000</v>
      </c>
      <c r="K51" s="6">
        <v>19930500000000</v>
      </c>
      <c r="L51" s="6">
        <v>48032000000000</v>
      </c>
    </row>
    <row r="52" customHeight="1" spans="1:12">
      <c r="A52" s="6">
        <v>0.0510194</v>
      </c>
      <c r="B52" s="6">
        <v>0.0517235</v>
      </c>
      <c r="C52" s="6">
        <v>134383000000000</v>
      </c>
      <c r="D52" s="6">
        <v>13232700000</v>
      </c>
      <c r="E52" s="6">
        <v>0</v>
      </c>
      <c r="F52" s="6">
        <v>0</v>
      </c>
      <c r="G52" s="6">
        <v>2</v>
      </c>
      <c r="H52" s="6">
        <v>21713100000000</v>
      </c>
      <c r="I52" s="6">
        <v>21644800000000</v>
      </c>
      <c r="J52" s="6">
        <v>19777700000000</v>
      </c>
      <c r="K52" s="6">
        <v>18887500000000</v>
      </c>
      <c r="L52" s="6">
        <v>52340200000000</v>
      </c>
    </row>
    <row r="53" customHeight="1" spans="1:12">
      <c r="A53" s="6">
        <v>0.0519163</v>
      </c>
      <c r="B53" s="6">
        <v>0.0526682</v>
      </c>
      <c r="C53" s="6">
        <v>126337000000000</v>
      </c>
      <c r="D53" s="6">
        <v>41405200000</v>
      </c>
      <c r="E53" s="6">
        <v>0</v>
      </c>
      <c r="F53" s="6">
        <v>0</v>
      </c>
      <c r="G53" s="6">
        <v>2</v>
      </c>
      <c r="H53" s="6">
        <v>17917200000000</v>
      </c>
      <c r="I53" s="6">
        <v>16235400000000</v>
      </c>
      <c r="J53" s="6">
        <v>16573500000000</v>
      </c>
      <c r="K53" s="6">
        <v>15765700000000</v>
      </c>
      <c r="L53" s="6">
        <v>59834300000000</v>
      </c>
    </row>
    <row r="54" customHeight="1" spans="1:12">
      <c r="A54" s="6">
        <v>0.0530257</v>
      </c>
      <c r="B54" s="6">
        <v>0.0537135</v>
      </c>
      <c r="C54" s="6">
        <v>125515000000000</v>
      </c>
      <c r="D54" s="6">
        <v>178465000000</v>
      </c>
      <c r="E54" s="6">
        <v>0</v>
      </c>
      <c r="F54" s="6">
        <v>0</v>
      </c>
      <c r="G54" s="6">
        <v>2</v>
      </c>
      <c r="H54" s="6">
        <v>17093000000000</v>
      </c>
      <c r="I54" s="6">
        <v>15726200000000</v>
      </c>
      <c r="J54" s="6">
        <v>15544000000000</v>
      </c>
      <c r="K54" s="6">
        <v>15230200000000</v>
      </c>
      <c r="L54" s="6">
        <v>61900500000000</v>
      </c>
    </row>
    <row r="55" customHeight="1" spans="1:12">
      <c r="A55" s="6">
        <v>0.0539459</v>
      </c>
      <c r="B55" s="6">
        <v>0.0547145</v>
      </c>
      <c r="C55" s="6">
        <v>123804000000000</v>
      </c>
      <c r="D55" s="6">
        <v>17070800000</v>
      </c>
      <c r="E55" s="6">
        <v>0</v>
      </c>
      <c r="F55" s="6">
        <v>0</v>
      </c>
      <c r="G55" s="6">
        <v>2</v>
      </c>
      <c r="H55" s="6">
        <v>15913800000000</v>
      </c>
      <c r="I55" s="6">
        <v>14398500000000</v>
      </c>
      <c r="J55" s="6">
        <v>14911100000000</v>
      </c>
      <c r="K55" s="6">
        <v>14408400000000</v>
      </c>
      <c r="L55" s="6">
        <v>64169900000000</v>
      </c>
    </row>
    <row r="56" customHeight="1" spans="1:12">
      <c r="A56" s="6">
        <v>0.0550501</v>
      </c>
      <c r="B56" s="6">
        <v>0.0559371</v>
      </c>
      <c r="C56" s="6">
        <v>122880000000000</v>
      </c>
      <c r="D56" s="6">
        <v>14215000000</v>
      </c>
      <c r="E56" s="6">
        <v>0</v>
      </c>
      <c r="F56" s="6">
        <v>0</v>
      </c>
      <c r="G56" s="6">
        <v>2</v>
      </c>
      <c r="H56" s="6">
        <v>14436400000000</v>
      </c>
      <c r="I56" s="6">
        <v>13877800000000</v>
      </c>
      <c r="J56" s="6">
        <v>14422100000000</v>
      </c>
      <c r="K56" s="6">
        <v>14170700000000</v>
      </c>
      <c r="L56" s="6">
        <v>65969800000000</v>
      </c>
    </row>
    <row r="57" customHeight="1" spans="1:12">
      <c r="A57" s="6">
        <v>0.0559441</v>
      </c>
      <c r="B57" s="6">
        <v>0.0568682</v>
      </c>
      <c r="C57" s="6">
        <v>124244000000000</v>
      </c>
      <c r="D57" s="6">
        <v>95150900000</v>
      </c>
      <c r="E57" s="6">
        <v>0</v>
      </c>
      <c r="F57" s="6">
        <v>0</v>
      </c>
      <c r="G57" s="6">
        <v>2</v>
      </c>
      <c r="H57" s="6">
        <v>15085400000000</v>
      </c>
      <c r="I57" s="6">
        <v>14815400000000</v>
      </c>
      <c r="J57" s="6">
        <v>14986000000000</v>
      </c>
      <c r="K57" s="6">
        <v>14856600000000</v>
      </c>
      <c r="L57" s="6">
        <v>64461100000000</v>
      </c>
    </row>
    <row r="58" customHeight="1" spans="1:12">
      <c r="A58" s="6">
        <v>0.0570082</v>
      </c>
      <c r="B58" s="6">
        <v>0.0577641</v>
      </c>
      <c r="C58" s="6">
        <v>123449000000000</v>
      </c>
      <c r="D58" s="6">
        <v>138322000000</v>
      </c>
      <c r="E58" s="6">
        <v>0</v>
      </c>
      <c r="F58" s="6">
        <v>0</v>
      </c>
      <c r="G58" s="6">
        <v>2</v>
      </c>
      <c r="H58" s="6">
        <v>15536400000000</v>
      </c>
      <c r="I58" s="6">
        <v>14396400000000</v>
      </c>
      <c r="J58" s="6">
        <v>15060800000000</v>
      </c>
      <c r="K58" s="6">
        <v>14413900000000</v>
      </c>
      <c r="L58" s="6">
        <v>63993300000000</v>
      </c>
    </row>
    <row r="59" customHeight="1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workbookViewId="0">
      <selection activeCell="G23" sqref="G23:H30"/>
    </sheetView>
  </sheetViews>
  <sheetFormatPr defaultColWidth="9.00666666666667" defaultRowHeight="15" customHeight="1"/>
  <cols>
    <col min="1" max="1" width="12.86" style="7" customWidth="1"/>
    <col min="4" max="4" width="14.56" style="7" customWidth="1"/>
    <col min="7" max="7" width="13.56" style="7" customWidth="1"/>
    <col min="11" max="11" width="17.28" style="7" customWidth="1"/>
    <col min="16" max="16" width="12.44" style="7" customWidth="1"/>
    <col min="18" max="18" width="12.44" style="7" customWidth="1"/>
    <col min="20" max="20" width="22.28" style="7" customWidth="1"/>
  </cols>
  <sheetData>
    <row r="1" customHeight="1" spans="1:19">
      <c r="A1" s="17" t="s">
        <v>25</v>
      </c>
      <c r="B1" s="17">
        <v>1</v>
      </c>
      <c r="D1" s="17" t="s">
        <v>12</v>
      </c>
      <c r="E1" s="17"/>
      <c r="G1" s="17" t="s">
        <v>24</v>
      </c>
      <c r="H1" s="17"/>
      <c r="J1" s="17" t="s">
        <v>13</v>
      </c>
      <c r="K1" s="17"/>
      <c r="N1" s="3"/>
      <c r="O1" s="3"/>
      <c r="S1" s="3"/>
    </row>
    <row r="2" customHeight="1" spans="1:19">
      <c r="A2" s="19">
        <v>0.00100817</v>
      </c>
      <c r="B2" s="19">
        <v>109111000</v>
      </c>
      <c r="C2" s="19"/>
      <c r="D2" s="19">
        <v>0.000946734</v>
      </c>
      <c r="E2" s="19">
        <v>116864000</v>
      </c>
      <c r="F2" s="19"/>
      <c r="G2" s="19">
        <v>0.000986807</v>
      </c>
      <c r="H2" s="19">
        <v>111912000</v>
      </c>
      <c r="I2" s="19"/>
      <c r="J2" s="19"/>
      <c r="K2" s="1" t="s">
        <v>14</v>
      </c>
      <c r="L2" s="1" t="s">
        <v>15</v>
      </c>
      <c r="M2" s="1" t="s">
        <v>16</v>
      </c>
      <c r="N2" s="3" t="s">
        <v>17</v>
      </c>
      <c r="O2" s="3" t="s">
        <v>18</v>
      </c>
      <c r="P2" s="1" t="s">
        <v>19</v>
      </c>
      <c r="Q2" s="1" t="s">
        <v>20</v>
      </c>
      <c r="R2" s="1" t="s">
        <v>21</v>
      </c>
      <c r="S2" s="3" t="s">
        <v>22</v>
      </c>
    </row>
    <row r="3" customHeight="1" spans="1:19">
      <c r="A3" s="19">
        <v>0.00196264</v>
      </c>
      <c r="B3" s="19">
        <v>117841000</v>
      </c>
      <c r="C3" s="19"/>
      <c r="D3" s="19">
        <v>0.0020171</v>
      </c>
      <c r="E3" s="19">
        <v>134300000</v>
      </c>
      <c r="F3" s="19"/>
      <c r="G3" s="19">
        <v>0.00202279</v>
      </c>
      <c r="H3" s="19">
        <v>130706000</v>
      </c>
      <c r="I3" s="19"/>
      <c r="J3" s="19" t="s">
        <v>26</v>
      </c>
      <c r="K3" s="1">
        <f>AVERAGE(B26:B31)/1000000</f>
        <v>130.623666666667</v>
      </c>
      <c r="L3" s="19">
        <f>AVERAGE('400K_SR40'!L28:L32)</f>
        <v>18026600000000</v>
      </c>
      <c r="M3" s="19">
        <f>AVERAGE('400K_SR40'!C28:C32)</f>
        <v>127740000000000</v>
      </c>
      <c r="N3" s="2">
        <f>Graphs!$B$1*80.9*0.248*SQRT(L3)/1000000</f>
        <v>31.9439326267283</v>
      </c>
      <c r="O3" s="2">
        <f>Graphs!$B$2*80.9*0.248*SQRT(M3)/1000000</f>
        <v>11.3379271633109</v>
      </c>
      <c r="P3" s="1">
        <f>SQRT(N3^2+O3^2)</f>
        <v>33.896362991057</v>
      </c>
      <c r="Q3" s="1">
        <f>K3*0.4707</f>
        <v>61.4845599</v>
      </c>
      <c r="R3" s="1">
        <f>Q3/P3</f>
        <v>1.81389843849093</v>
      </c>
      <c r="S3" s="2">
        <f>L3/M3</f>
        <v>0.141119461405981</v>
      </c>
    </row>
    <row r="4" customHeight="1" spans="1:19">
      <c r="A4" s="19">
        <v>0.00303062</v>
      </c>
      <c r="B4" s="19">
        <v>125455000</v>
      </c>
      <c r="C4" s="19"/>
      <c r="D4" s="19">
        <v>0.00295437</v>
      </c>
      <c r="E4" s="19">
        <v>146376000</v>
      </c>
      <c r="F4" s="19"/>
      <c r="G4" s="19">
        <v>0.00301632</v>
      </c>
      <c r="H4" s="19">
        <v>144881000</v>
      </c>
      <c r="I4" s="19"/>
      <c r="J4" s="19" t="s">
        <v>27</v>
      </c>
      <c r="K4" s="1">
        <f>AVERAGE(E26:E31)/1000000</f>
        <v>172.868666666667</v>
      </c>
      <c r="L4" s="19">
        <f>AVERAGE('400K_SR40'!Y28:Y32)</f>
        <v>67081180000000</v>
      </c>
      <c r="M4" s="19">
        <f>AVERAGE('400K_SR40'!P28:P32)</f>
        <v>123640200000000</v>
      </c>
      <c r="N4" s="2">
        <f>Graphs!$B$1*80.9*0.248*SQRT(L4)/1000000</f>
        <v>61.6214363133317</v>
      </c>
      <c r="O4" s="2">
        <f>Graphs!$B$2*80.9*0.248*SQRT(M4)/1000000</f>
        <v>11.1544986747761</v>
      </c>
      <c r="P4" s="1">
        <f>SQRT(N4^2+O4^2)</f>
        <v>62.6228732493454</v>
      </c>
      <c r="Q4" s="1">
        <f>K4*0.4707</f>
        <v>81.3692814</v>
      </c>
      <c r="R4" s="1">
        <f>Q4/P4</f>
        <v>1.29935400881419</v>
      </c>
      <c r="S4" s="2">
        <f>L4/M4</f>
        <v>0.54255153259215</v>
      </c>
    </row>
    <row r="5" customHeight="1" spans="1:19">
      <c r="A5" s="19">
        <v>0.00402491</v>
      </c>
      <c r="B5" s="19">
        <v>129670000</v>
      </c>
      <c r="C5" s="19"/>
      <c r="D5" s="19">
        <v>0.0040034</v>
      </c>
      <c r="E5" s="19">
        <v>138309000</v>
      </c>
      <c r="F5" s="19"/>
      <c r="G5" s="19">
        <v>0.00400083</v>
      </c>
      <c r="H5" s="19">
        <v>137333000</v>
      </c>
      <c r="I5" s="19"/>
      <c r="J5" s="19" t="s">
        <v>28</v>
      </c>
      <c r="K5" s="1" t="e">
        <f>AVERAGE(H26:H29)/1000000</f>
        <v>#DIV/0!</v>
      </c>
      <c r="L5" s="19" t="e">
        <f>AVERAGE('400K_SR40'!AL28:AL32)</f>
        <v>#DIV/0!</v>
      </c>
      <c r="M5" s="19" t="e">
        <f>AVERAGE('400K_SR40'!AC28:AC32)</f>
        <v>#DIV/0!</v>
      </c>
      <c r="N5" s="2" t="e">
        <f>Graphs!$B$1*80.9*0.248*SQRT(L5)/1000000</f>
        <v>#DIV/0!</v>
      </c>
      <c r="O5" s="2" t="e">
        <f>Graphs!$B$2*80.9*0.248*SQRT(M5)/1000000</f>
        <v>#DIV/0!</v>
      </c>
      <c r="P5" s="1" t="e">
        <f>SQRT(N5^2+O5^2)</f>
        <v>#DIV/0!</v>
      </c>
      <c r="Q5" s="1" t="e">
        <f>K5*0.4707</f>
        <v>#DIV/0!</v>
      </c>
      <c r="R5" s="1" t="e">
        <f>Q5/P5</f>
        <v>#DIV/0!</v>
      </c>
      <c r="S5" s="2" t="e">
        <f>L5/M5</f>
        <v>#DIV/0!</v>
      </c>
    </row>
    <row r="6" customHeight="1" spans="1:11">
      <c r="A6" s="19">
        <v>0.00501723</v>
      </c>
      <c r="B6" s="19">
        <v>127665000</v>
      </c>
      <c r="C6" s="19"/>
      <c r="D6" s="19">
        <v>0.00501629</v>
      </c>
      <c r="E6" s="19">
        <v>146577000</v>
      </c>
      <c r="F6" s="19"/>
      <c r="G6" s="19">
        <v>0.00501192</v>
      </c>
      <c r="H6" s="19">
        <v>118814000</v>
      </c>
      <c r="I6" s="19"/>
      <c r="J6" s="19"/>
      <c r="K6" s="19"/>
    </row>
    <row r="7" customHeight="1" spans="1:11">
      <c r="A7" s="19">
        <v>0.00599375</v>
      </c>
      <c r="B7" s="19">
        <v>122493000</v>
      </c>
      <c r="C7" s="19"/>
      <c r="D7" s="19">
        <v>0.00602332</v>
      </c>
      <c r="E7" s="19">
        <v>144908000</v>
      </c>
      <c r="F7" s="19"/>
      <c r="G7" s="19">
        <v>0.00601177</v>
      </c>
      <c r="H7" s="19">
        <v>122819000</v>
      </c>
      <c r="I7" s="19"/>
      <c r="J7" s="19"/>
      <c r="K7" s="19"/>
    </row>
    <row r="8" customHeight="1" spans="1:11">
      <c r="A8" s="19">
        <v>0.00698656</v>
      </c>
      <c r="B8" s="19">
        <v>116393000</v>
      </c>
      <c r="C8" s="19"/>
      <c r="D8" s="19">
        <v>0.00701347</v>
      </c>
      <c r="E8" s="19">
        <v>149588000</v>
      </c>
      <c r="F8" s="19"/>
      <c r="G8" s="19">
        <v>0.00706293</v>
      </c>
      <c r="H8" s="19">
        <v>128246000</v>
      </c>
      <c r="I8" s="19"/>
      <c r="J8" s="19"/>
      <c r="K8" s="19"/>
    </row>
    <row r="9" customHeight="1" spans="1:11">
      <c r="A9" s="19">
        <v>0.00792094</v>
      </c>
      <c r="B9" s="19">
        <v>123024000</v>
      </c>
      <c r="C9" s="19"/>
      <c r="D9" s="19">
        <v>0.00799778</v>
      </c>
      <c r="E9" s="19">
        <v>152759000</v>
      </c>
      <c r="F9" s="19"/>
      <c r="G9" s="19">
        <v>0.00802035</v>
      </c>
      <c r="H9" s="19">
        <v>133168000</v>
      </c>
      <c r="I9" s="19"/>
      <c r="J9" s="19"/>
      <c r="K9" s="19"/>
    </row>
    <row r="10" customHeight="1" spans="1:11">
      <c r="A10" s="19">
        <v>0.00898586</v>
      </c>
      <c r="B10" s="19">
        <v>121166000</v>
      </c>
      <c r="C10" s="19"/>
      <c r="D10" s="19">
        <v>0.0089879</v>
      </c>
      <c r="E10" s="19">
        <v>160442000</v>
      </c>
      <c r="F10" s="19"/>
      <c r="G10" s="19">
        <v>0.00906845</v>
      </c>
      <c r="H10" s="19">
        <v>134897000</v>
      </c>
      <c r="I10" s="19"/>
      <c r="J10" s="19"/>
      <c r="K10" s="19"/>
    </row>
    <row r="11" customHeight="1" spans="1:19">
      <c r="A11" s="19">
        <v>0.0100146</v>
      </c>
      <c r="B11" s="19">
        <v>118338000</v>
      </c>
      <c r="C11" s="19"/>
      <c r="D11" s="19">
        <v>0.00995588</v>
      </c>
      <c r="E11" s="19">
        <v>163294000</v>
      </c>
      <c r="F11" s="19"/>
      <c r="G11" s="19">
        <v>0.00996406</v>
      </c>
      <c r="H11" s="19">
        <v>139520000</v>
      </c>
      <c r="I11" s="19"/>
      <c r="J11" s="20" t="s">
        <v>23</v>
      </c>
      <c r="K11" s="20"/>
      <c r="L11" s="20"/>
      <c r="M11" s="20"/>
      <c r="N11" s="20"/>
      <c r="O11" s="20"/>
      <c r="P11" s="20"/>
      <c r="Q11" s="20"/>
      <c r="R11" s="20"/>
      <c r="S11" s="20"/>
    </row>
    <row r="12" customHeight="1" spans="1:19">
      <c r="A12" s="19">
        <v>0.0110441</v>
      </c>
      <c r="B12" s="19">
        <v>111389000</v>
      </c>
      <c r="C12" s="19"/>
      <c r="D12" s="19">
        <v>0.0110491</v>
      </c>
      <c r="E12" s="19">
        <v>159479000</v>
      </c>
      <c r="F12" s="19"/>
      <c r="G12" s="19">
        <v>0.0110879</v>
      </c>
      <c r="H12" s="19">
        <v>144749000</v>
      </c>
      <c r="I12" s="19"/>
      <c r="J12" s="19" t="s">
        <v>26</v>
      </c>
      <c r="K12" s="1">
        <f>AVERAGE(B12:B16)/1000000</f>
        <v>113.2214</v>
      </c>
      <c r="L12" s="19">
        <f>AVERAGE('400K_SR40'!L12:L16)</f>
        <v>15276820000000</v>
      </c>
      <c r="M12" s="19">
        <f>AVERAGE('400K_SR40'!C12:C16)</f>
        <v>127231200000000</v>
      </c>
      <c r="N12" s="2">
        <f>Graphs!$B$1*80.9*0.248*SQRT(L12)/1000000</f>
        <v>29.4068123969094</v>
      </c>
      <c r="O12" s="2">
        <f>Graphs!$B$2*80.9*0.248*SQRT(M12)/1000000</f>
        <v>11.3153246380239</v>
      </c>
      <c r="P12" s="1">
        <f>SQRT(N12^2+O12^2)</f>
        <v>31.5086843110101</v>
      </c>
      <c r="Q12" s="1">
        <f>K12*0.4707</f>
        <v>53.29331298</v>
      </c>
      <c r="R12" s="1">
        <f>Q12/P12</f>
        <v>1.69138490372883</v>
      </c>
      <c r="S12" s="2">
        <f>L12/M12</f>
        <v>0.120071334704066</v>
      </c>
    </row>
    <row r="13" customHeight="1" spans="1:19">
      <c r="A13" s="19">
        <v>0.011965</v>
      </c>
      <c r="B13" s="19">
        <v>117733000</v>
      </c>
      <c r="C13" s="19"/>
      <c r="D13" s="19">
        <v>0.0119874</v>
      </c>
      <c r="E13" s="19">
        <v>162696000</v>
      </c>
      <c r="F13" s="19"/>
      <c r="G13" s="19">
        <v>0.0119925</v>
      </c>
      <c r="H13" s="19">
        <v>148235000</v>
      </c>
      <c r="I13" s="19"/>
      <c r="J13" s="19" t="s">
        <v>27</v>
      </c>
      <c r="K13" s="1">
        <f>AVERAGE(E12:E16)/1000000</f>
        <v>157.3334</v>
      </c>
      <c r="L13" s="19">
        <f>AVERAGE('400K_SR40'!Y12:Y16)</f>
        <v>39520920000000</v>
      </c>
      <c r="M13" s="19">
        <f>AVERAGE('400K_SR40'!P12:P16)</f>
        <v>134257600000000</v>
      </c>
      <c r="N13" s="2">
        <f>Graphs!$B$1*80.9*0.248*SQRT(L13)/1000000</f>
        <v>47.2982413580627</v>
      </c>
      <c r="O13" s="2">
        <f>Graphs!$B$2*80.9*0.248*SQRT(M13)/1000000</f>
        <v>11.6235729736897</v>
      </c>
      <c r="P13" s="1">
        <f>SQRT(N13^2+O13^2)</f>
        <v>48.7055549628607</v>
      </c>
      <c r="Q13" s="1">
        <f>K13*0.4707</f>
        <v>74.05683138</v>
      </c>
      <c r="R13" s="1">
        <f>Q13/P13</f>
        <v>1.52050071981461</v>
      </c>
      <c r="S13" s="2">
        <f>L13/M13</f>
        <v>0.294366352444852</v>
      </c>
    </row>
    <row r="14" customHeight="1" spans="1:19">
      <c r="A14" s="19">
        <v>0.0129662</v>
      </c>
      <c r="B14" s="19">
        <v>111811000</v>
      </c>
      <c r="C14" s="19"/>
      <c r="D14" s="19">
        <v>0.0130225</v>
      </c>
      <c r="E14" s="19">
        <v>160067000</v>
      </c>
      <c r="F14" s="19"/>
      <c r="G14" s="19">
        <v>0.0130106</v>
      </c>
      <c r="H14" s="19">
        <v>148815000</v>
      </c>
      <c r="I14" s="19"/>
      <c r="J14" s="19" t="s">
        <v>28</v>
      </c>
      <c r="K14" s="1">
        <f>AVERAGE(H12:H16)/1000000</f>
        <v>151.2274</v>
      </c>
      <c r="L14" s="19">
        <f>AVERAGE('400K_SR40'!AL12:AL16)</f>
        <v>27470800000000</v>
      </c>
      <c r="M14" s="19">
        <f>AVERAGE('400K_SR40'!AC12:AC16)</f>
        <v>130266800000000</v>
      </c>
      <c r="N14" s="2">
        <f>Graphs!$B$1*80.9*0.248*SQRT(L14)/1000000</f>
        <v>39.4336632773783</v>
      </c>
      <c r="O14" s="2">
        <f>Graphs!$B$2*80.9*0.248*SQRT(M14)/1000000</f>
        <v>11.4495147044824</v>
      </c>
      <c r="P14" s="1">
        <f>SQRT(N14^2+O14^2)</f>
        <v>41.0622111733137</v>
      </c>
      <c r="Q14" s="1">
        <f>K14*0.4707</f>
        <v>71.18273718</v>
      </c>
      <c r="R14" s="1">
        <f>Q14/P14</f>
        <v>1.7335339511931</v>
      </c>
      <c r="S14" s="2">
        <f>L14/M14</f>
        <v>0.210881053345902</v>
      </c>
    </row>
    <row r="15" customHeight="1" spans="1:11">
      <c r="A15" s="19">
        <v>0.0140695</v>
      </c>
      <c r="B15" s="19">
        <v>109270000</v>
      </c>
      <c r="C15" s="19"/>
      <c r="D15" s="19">
        <v>0.0140142</v>
      </c>
      <c r="E15" s="19">
        <v>150277000</v>
      </c>
      <c r="F15" s="19"/>
      <c r="G15" s="19">
        <v>0.0139884</v>
      </c>
      <c r="H15" s="19">
        <v>151277000</v>
      </c>
      <c r="I15" s="19"/>
      <c r="J15" s="19"/>
      <c r="K15" s="19"/>
    </row>
    <row r="16" customHeight="1" spans="1:11">
      <c r="A16" s="19">
        <v>0.0149936</v>
      </c>
      <c r="B16" s="19">
        <v>115904000</v>
      </c>
      <c r="C16" s="19"/>
      <c r="D16" s="19">
        <v>0.0150242</v>
      </c>
      <c r="E16" s="19">
        <v>154148000</v>
      </c>
      <c r="F16" s="19"/>
      <c r="G16" s="19">
        <v>0.0150131</v>
      </c>
      <c r="H16" s="19">
        <v>163061000</v>
      </c>
      <c r="I16" s="19"/>
      <c r="J16" s="19"/>
      <c r="K16" s="19"/>
    </row>
    <row r="17" customHeight="1" spans="1:11">
      <c r="A17" s="19">
        <v>0.016024</v>
      </c>
      <c r="B17" s="19">
        <v>121997000</v>
      </c>
      <c r="C17" s="19"/>
      <c r="D17" s="19">
        <v>0.0159901</v>
      </c>
      <c r="E17" s="19">
        <v>162581000</v>
      </c>
      <c r="F17" s="19"/>
      <c r="G17" s="19">
        <v>0.0160184</v>
      </c>
      <c r="H17" s="19">
        <v>156100000</v>
      </c>
      <c r="I17" s="19"/>
      <c r="J17" s="19"/>
      <c r="K17" s="19"/>
    </row>
    <row r="18" customHeight="1" spans="1:11">
      <c r="A18" s="19">
        <v>0.0169842</v>
      </c>
      <c r="B18" s="19">
        <v>132577000</v>
      </c>
      <c r="C18" s="19"/>
      <c r="D18" s="19">
        <v>0.0170032</v>
      </c>
      <c r="E18" s="19">
        <v>163499000</v>
      </c>
      <c r="F18" s="19"/>
      <c r="G18" s="19">
        <v>0.0169489</v>
      </c>
      <c r="H18" s="19">
        <v>156567000</v>
      </c>
      <c r="I18" s="19"/>
      <c r="J18" s="19"/>
      <c r="K18" s="19"/>
    </row>
    <row r="19" customHeight="1" spans="1:11">
      <c r="A19" s="19">
        <v>0.0180334</v>
      </c>
      <c r="B19" s="19">
        <v>132284000</v>
      </c>
      <c r="C19" s="19"/>
      <c r="D19" s="19">
        <v>0.018095</v>
      </c>
      <c r="E19" s="19">
        <v>155863000</v>
      </c>
      <c r="F19" s="19"/>
      <c r="G19" s="19">
        <v>0.0178765</v>
      </c>
      <c r="H19" s="19">
        <v>161906000</v>
      </c>
      <c r="I19" s="19"/>
      <c r="J19" s="19"/>
      <c r="K19" s="19"/>
    </row>
    <row r="20" customHeight="1" spans="1:11">
      <c r="A20" s="19">
        <v>0.0189489</v>
      </c>
      <c r="B20" s="19">
        <v>131191000</v>
      </c>
      <c r="C20" s="19"/>
      <c r="D20" s="19">
        <v>0.0189245</v>
      </c>
      <c r="E20" s="19">
        <v>183422000</v>
      </c>
      <c r="F20" s="19"/>
      <c r="G20" s="19">
        <v>0.0189507</v>
      </c>
      <c r="H20" s="19">
        <v>142878000</v>
      </c>
      <c r="I20" s="19"/>
      <c r="J20" s="19"/>
      <c r="K20" s="19"/>
    </row>
    <row r="21" customHeight="1" spans="1:11">
      <c r="A21" s="19">
        <v>0.0200162</v>
      </c>
      <c r="B21" s="19">
        <v>115842000</v>
      </c>
      <c r="C21" s="19"/>
      <c r="D21" s="19">
        <v>0.0199117</v>
      </c>
      <c r="E21" s="19">
        <v>153696000</v>
      </c>
      <c r="F21" s="19"/>
      <c r="G21" s="19">
        <v>0.0199658</v>
      </c>
      <c r="H21" s="19">
        <v>149268000</v>
      </c>
      <c r="I21" s="19"/>
      <c r="J21" s="19"/>
      <c r="K21" s="19"/>
    </row>
    <row r="22" customHeight="1" spans="1:11">
      <c r="A22" s="19">
        <v>0.0210149</v>
      </c>
      <c r="B22" s="19">
        <v>109494000</v>
      </c>
      <c r="C22" s="19"/>
      <c r="D22" s="19">
        <v>0.0210188</v>
      </c>
      <c r="E22" s="19">
        <v>162774000</v>
      </c>
      <c r="F22" s="19"/>
      <c r="G22" s="19">
        <v>0.0209858</v>
      </c>
      <c r="H22" s="19">
        <v>155621000</v>
      </c>
      <c r="I22" s="19"/>
      <c r="J22" s="19"/>
      <c r="K22" s="19"/>
    </row>
    <row r="23" customHeight="1" spans="1:11">
      <c r="A23" s="19">
        <v>0.0219729</v>
      </c>
      <c r="B23" s="19">
        <v>114760000</v>
      </c>
      <c r="C23" s="19"/>
      <c r="D23" s="19">
        <v>0.0219816</v>
      </c>
      <c r="E23" s="19">
        <v>168143000</v>
      </c>
      <c r="F23" s="19"/>
      <c r="G23" s="19"/>
      <c r="H23" s="19"/>
      <c r="I23" s="19"/>
      <c r="J23" s="19"/>
      <c r="K23" s="19"/>
    </row>
    <row r="24" customHeight="1" spans="1:11">
      <c r="A24" s="19">
        <v>0.0229663</v>
      </c>
      <c r="B24" s="19">
        <v>112907000</v>
      </c>
      <c r="C24" s="19"/>
      <c r="D24" s="19">
        <v>0.0229487</v>
      </c>
      <c r="E24" s="19">
        <v>186968000</v>
      </c>
      <c r="F24" s="19"/>
      <c r="G24" s="19"/>
      <c r="H24" s="19"/>
      <c r="I24" s="19"/>
      <c r="J24" s="19"/>
      <c r="K24" s="19"/>
    </row>
    <row r="25" customHeight="1" spans="1:11">
      <c r="A25" s="19">
        <v>0.0240019</v>
      </c>
      <c r="B25" s="19">
        <v>118564000</v>
      </c>
      <c r="C25" s="19"/>
      <c r="D25" s="19">
        <v>0.0240161</v>
      </c>
      <c r="E25" s="19">
        <v>166789000</v>
      </c>
      <c r="F25" s="19"/>
      <c r="G25" s="19"/>
      <c r="H25" s="19"/>
      <c r="I25" s="19"/>
      <c r="J25" s="19"/>
      <c r="K25" s="19"/>
    </row>
    <row r="26" customHeight="1" spans="1:11">
      <c r="A26" s="19">
        <v>0.0250139</v>
      </c>
      <c r="B26" s="19">
        <v>130314000</v>
      </c>
      <c r="C26" s="19"/>
      <c r="D26" s="19">
        <v>0.0249183</v>
      </c>
      <c r="E26" s="19">
        <v>174276000</v>
      </c>
      <c r="F26" s="19"/>
      <c r="G26" s="19"/>
      <c r="H26" s="19"/>
      <c r="I26" s="19"/>
      <c r="J26" s="19"/>
      <c r="K26" s="19"/>
    </row>
    <row r="27" customHeight="1" spans="1:11">
      <c r="A27" s="19">
        <v>0.0259837</v>
      </c>
      <c r="B27" s="19">
        <v>128257000</v>
      </c>
      <c r="C27" s="19"/>
      <c r="D27" s="19">
        <v>0.0260007</v>
      </c>
      <c r="E27" s="19">
        <v>169098000</v>
      </c>
      <c r="F27" s="19"/>
      <c r="G27" s="19"/>
      <c r="H27" s="19"/>
      <c r="I27" s="19"/>
      <c r="J27" s="19"/>
      <c r="K27" s="19"/>
    </row>
    <row r="28" customHeight="1" spans="1:11">
      <c r="A28" s="19">
        <v>0.0269575</v>
      </c>
      <c r="B28" s="19">
        <v>131334000</v>
      </c>
      <c r="C28" s="19"/>
      <c r="D28" s="19">
        <v>0.0271111</v>
      </c>
      <c r="E28" s="19">
        <v>167883000</v>
      </c>
      <c r="F28" s="19"/>
      <c r="G28" s="19"/>
      <c r="H28" s="19"/>
      <c r="I28" s="19"/>
      <c r="J28" s="19"/>
      <c r="K28" s="19"/>
    </row>
    <row r="29" customHeight="1" spans="1:11">
      <c r="A29" s="19">
        <v>0.0279955</v>
      </c>
      <c r="B29" s="19">
        <v>128617000</v>
      </c>
      <c r="C29" s="19"/>
      <c r="D29" s="19">
        <v>0.0281873</v>
      </c>
      <c r="E29" s="19">
        <v>176573000</v>
      </c>
      <c r="F29" s="19"/>
      <c r="G29" s="19"/>
      <c r="H29" s="19"/>
      <c r="I29" s="19"/>
      <c r="J29" s="19"/>
      <c r="K29" s="19"/>
    </row>
    <row r="30" customHeight="1" spans="1:11">
      <c r="A30" s="19">
        <v>0.0289777</v>
      </c>
      <c r="B30" s="19">
        <v>136725000</v>
      </c>
      <c r="C30" s="19"/>
      <c r="D30" s="19">
        <v>0.0290632</v>
      </c>
      <c r="E30" s="19">
        <v>176899000</v>
      </c>
      <c r="F30" s="19"/>
      <c r="G30" s="19"/>
      <c r="H30" s="19"/>
      <c r="I30" s="19"/>
      <c r="J30" s="19"/>
      <c r="K30" s="19"/>
    </row>
    <row r="31" customHeight="1" spans="1:11">
      <c r="A31" s="19">
        <v>0.0299604</v>
      </c>
      <c r="B31" s="19">
        <v>128495000</v>
      </c>
      <c r="C31" s="19"/>
      <c r="D31" s="19">
        <v>0.0300038</v>
      </c>
      <c r="E31" s="19">
        <v>172483000</v>
      </c>
      <c r="F31" s="19"/>
      <c r="G31" s="19"/>
      <c r="H31" s="19"/>
      <c r="I31" s="19"/>
      <c r="J31" s="19"/>
      <c r="K31" s="19"/>
    </row>
    <row r="32" customHeight="1" spans="1:1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customHeight="1" spans="1:1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customHeight="1" spans="1:1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customHeight="1" spans="1:1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customHeight="1" spans="1:1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customHeight="1" spans="1:1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customHeight="1" spans="1:1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customHeight="1" spans="1:1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customHeight="1" spans="1:1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customHeight="1" spans="1:1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customHeight="1" spans="1:1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customHeight="1" spans="1:1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customHeight="1" spans="1:1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customHeight="1" spans="1:1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customHeight="1" spans="1:1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customHeight="1" spans="1:1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customHeight="1" spans="1:1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customHeight="1" spans="1:1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customHeight="1" spans="1:1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customHeight="1" spans="1:1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Height="1" spans="1:1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customHeight="1" spans="1:1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customHeight="1" spans="1:1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customHeight="1" spans="1:1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customHeight="1" spans="1:1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customHeight="1" spans="1:1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customHeight="1" spans="1:1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customHeight="1" spans="1:1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customHeight="1" spans="1:1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customHeight="1" spans="1:1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</sheetData>
  <mergeCells count="5">
    <mergeCell ref="A1:B1"/>
    <mergeCell ref="D1:E1"/>
    <mergeCell ref="G1:H1"/>
    <mergeCell ref="J1:K1"/>
    <mergeCell ref="J11:S1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zoomScale="145" zoomScaleNormal="145" topLeftCell="A8" workbookViewId="0">
      <selection activeCell="G22" sqref="G22:H56"/>
    </sheetView>
  </sheetViews>
  <sheetFormatPr defaultColWidth="9.00666666666667" defaultRowHeight="15" customHeight="1"/>
  <cols>
    <col min="11" max="11" width="12.44" style="7" customWidth="1"/>
    <col min="12" max="12" width="22.28" style="7" customWidth="1"/>
    <col min="16" max="16" width="12.44" style="7" customWidth="1"/>
    <col min="18" max="18" width="12.44" style="7" customWidth="1"/>
  </cols>
  <sheetData>
    <row r="1" customHeight="1" spans="1:19">
      <c r="A1" s="17" t="s">
        <v>25</v>
      </c>
      <c r="B1" s="17">
        <v>1</v>
      </c>
      <c r="D1" s="17" t="s">
        <v>12</v>
      </c>
      <c r="E1" s="17"/>
      <c r="G1" s="17" t="s">
        <v>24</v>
      </c>
      <c r="H1" s="17"/>
      <c r="J1" s="17" t="s">
        <v>13</v>
      </c>
      <c r="K1" s="17"/>
      <c r="N1" s="3"/>
      <c r="O1" s="3"/>
      <c r="S1" s="3"/>
    </row>
    <row r="2" customHeight="1" spans="1:19">
      <c r="A2" s="6">
        <v>0.00100305</v>
      </c>
      <c r="B2" s="6">
        <v>133135000</v>
      </c>
      <c r="D2" s="6">
        <v>0.00096455</v>
      </c>
      <c r="E2" s="6">
        <v>141072000</v>
      </c>
      <c r="G2" s="6">
        <v>0.00100922</v>
      </c>
      <c r="H2" s="6">
        <v>145095000</v>
      </c>
      <c r="K2" s="1" t="s">
        <v>14</v>
      </c>
      <c r="L2" s="1" t="s">
        <v>15</v>
      </c>
      <c r="M2" s="1" t="s">
        <v>16</v>
      </c>
      <c r="N2" s="3" t="s">
        <v>17</v>
      </c>
      <c r="O2" s="3" t="s">
        <v>18</v>
      </c>
      <c r="P2" s="1" t="s">
        <v>19</v>
      </c>
      <c r="Q2" s="1" t="s">
        <v>20</v>
      </c>
      <c r="R2" s="1" t="s">
        <v>21</v>
      </c>
      <c r="S2" s="3" t="s">
        <v>22</v>
      </c>
    </row>
    <row r="3" customHeight="1" spans="1:19">
      <c r="A3" s="6">
        <v>0.00195105</v>
      </c>
      <c r="B3" s="6">
        <v>151436000</v>
      </c>
      <c r="D3" s="6">
        <v>0.00198499</v>
      </c>
      <c r="E3" s="6">
        <v>159861000</v>
      </c>
      <c r="G3" s="6">
        <v>0.00200223</v>
      </c>
      <c r="H3" s="6">
        <v>157343000</v>
      </c>
      <c r="J3" s="1" t="s">
        <v>26</v>
      </c>
      <c r="K3" s="1">
        <f>AVERAGE(B27:B31)/1000000</f>
        <v>134.5096</v>
      </c>
      <c r="L3" s="19">
        <f>AVERAGE('400K_SR100'!L28:L32)</f>
        <v>20713220000000</v>
      </c>
      <c r="M3" s="19">
        <f>AVERAGE('400K_SR100'!C28:C32)</f>
        <v>128675600000000</v>
      </c>
      <c r="N3" s="2">
        <f>Graphs!$B$1*80.9*0.248*SQRT(L3)/1000000</f>
        <v>34.2416969369005</v>
      </c>
      <c r="O3" s="2">
        <f>Graphs!$B$2*80.9*0.248*SQRT(M3)/1000000</f>
        <v>11.379372333089</v>
      </c>
      <c r="P3" s="1">
        <f>SQRT(N3^2+O3^2)</f>
        <v>36.0830143393483</v>
      </c>
      <c r="Q3" s="1">
        <f>K3*0.4707</f>
        <v>63.31366872</v>
      </c>
      <c r="R3" s="1">
        <f>Q3/P3</f>
        <v>1.75466683921018</v>
      </c>
      <c r="S3" s="2">
        <f>L3/M3</f>
        <v>0.160972398807544</v>
      </c>
    </row>
    <row r="4" customHeight="1" spans="1:19">
      <c r="A4" s="6">
        <v>0.00300435</v>
      </c>
      <c r="B4" s="6">
        <v>147107000</v>
      </c>
      <c r="D4" s="6">
        <v>0.00298361</v>
      </c>
      <c r="E4" s="6">
        <v>177334000</v>
      </c>
      <c r="G4" s="6">
        <v>0.00299889</v>
      </c>
      <c r="H4" s="6">
        <v>179079000</v>
      </c>
      <c r="J4" s="1" t="s">
        <v>27</v>
      </c>
      <c r="K4" s="1">
        <f>AVERAGE(E26:E31)/1000000</f>
        <v>111.4318</v>
      </c>
      <c r="L4" s="19">
        <f>AVERAGE('400K_SR100'!Y26:Y31)</f>
        <v>61122033333333.3</v>
      </c>
      <c r="M4" s="19">
        <f>AVERAGE('400K_SR100'!P21:P26)</f>
        <v>158345500000000</v>
      </c>
      <c r="N4" s="2">
        <f>Graphs!$B$1*80.9*0.248*SQRT(L4)/1000000</f>
        <v>58.8207241496133</v>
      </c>
      <c r="O4" s="2">
        <f>Graphs!$B$2*80.9*0.248*SQRT(M4)/1000000</f>
        <v>12.6233048261866</v>
      </c>
      <c r="P4" s="1">
        <f>SQRT(N4^2+O4^2)</f>
        <v>60.1599984559485</v>
      </c>
      <c r="Q4" s="1">
        <f>K4*0.4707</f>
        <v>52.45094826</v>
      </c>
      <c r="R4" s="1">
        <f>Q4/P4</f>
        <v>0.871857539996558</v>
      </c>
      <c r="S4" s="2">
        <f>L4/M4</f>
        <v>0.38600423335891</v>
      </c>
    </row>
    <row r="5" customHeight="1" spans="1:19">
      <c r="A5" s="6">
        <v>0.00406285</v>
      </c>
      <c r="B5" s="6">
        <v>152224000</v>
      </c>
      <c r="D5" s="6">
        <v>0.00405299</v>
      </c>
      <c r="E5" s="6">
        <v>189427000</v>
      </c>
      <c r="G5" s="6">
        <v>0.00401574</v>
      </c>
      <c r="H5" s="6">
        <v>173672000</v>
      </c>
      <c r="J5" s="1" t="s">
        <v>28</v>
      </c>
      <c r="K5" s="1" t="e">
        <f>AVERAGE(H27:H31)/1000000</f>
        <v>#DIV/0!</v>
      </c>
      <c r="L5" s="19" t="e">
        <f>AVERAGE('400K_SR100'!AL28:AL32)</f>
        <v>#DIV/0!</v>
      </c>
      <c r="M5" s="19" t="e">
        <f>AVERAGE('400K_SR100'!AC28:AC32)</f>
        <v>#DIV/0!</v>
      </c>
      <c r="N5" s="2" t="e">
        <f>Graphs!$B$1*80.9*0.248*SQRT(L5)/1000000</f>
        <v>#DIV/0!</v>
      </c>
      <c r="O5" s="2" t="e">
        <f>Graphs!$B$2*80.9*0.248*SQRT(M5)/1000000</f>
        <v>#DIV/0!</v>
      </c>
      <c r="P5" s="1" t="e">
        <f>SQRT(N5^2+O5^2)</f>
        <v>#DIV/0!</v>
      </c>
      <c r="Q5" s="1" t="e">
        <f>K5*0.4707</f>
        <v>#DIV/0!</v>
      </c>
      <c r="R5" s="1" t="e">
        <f>Q5/P5</f>
        <v>#DIV/0!</v>
      </c>
      <c r="S5" s="2" t="e">
        <f>L5/M5</f>
        <v>#DIV/0!</v>
      </c>
    </row>
    <row r="6" customHeight="1" spans="1:8">
      <c r="A6" s="6">
        <v>0.00491866</v>
      </c>
      <c r="B6" s="6">
        <v>150657000</v>
      </c>
      <c r="D6" s="6">
        <v>0.00499286</v>
      </c>
      <c r="E6" s="6">
        <v>191513000</v>
      </c>
      <c r="G6" s="6">
        <v>0.00498702</v>
      </c>
      <c r="H6" s="6">
        <v>179048000</v>
      </c>
    </row>
    <row r="7" customHeight="1" spans="1:8">
      <c r="A7" s="6">
        <v>0.00588823</v>
      </c>
      <c r="B7" s="6">
        <v>152861000</v>
      </c>
      <c r="D7" s="6">
        <v>0.00596458</v>
      </c>
      <c r="E7" s="6">
        <v>188496000</v>
      </c>
      <c r="G7" s="6">
        <v>0.00606104</v>
      </c>
      <c r="H7" s="6">
        <v>166694000</v>
      </c>
    </row>
    <row r="8" customHeight="1" spans="1:8">
      <c r="A8" s="6">
        <v>0.00700253</v>
      </c>
      <c r="B8" s="6">
        <v>148531000</v>
      </c>
      <c r="D8" s="6">
        <v>0.00703084</v>
      </c>
      <c r="E8" s="6">
        <v>182395000</v>
      </c>
      <c r="G8" s="6">
        <v>0.00705237</v>
      </c>
      <c r="H8" s="6">
        <v>171296000</v>
      </c>
    </row>
    <row r="9" customHeight="1" spans="1:8">
      <c r="A9" s="6">
        <v>0.00808125</v>
      </c>
      <c r="B9" s="6">
        <v>157635000</v>
      </c>
      <c r="D9" s="6">
        <v>0.00797811</v>
      </c>
      <c r="E9" s="6">
        <v>177427000</v>
      </c>
      <c r="G9" s="6">
        <v>0.00808073</v>
      </c>
      <c r="H9" s="6">
        <v>171607000</v>
      </c>
    </row>
    <row r="10" customHeight="1" spans="1:8">
      <c r="A10" s="6">
        <v>0.00900344</v>
      </c>
      <c r="B10" s="6">
        <v>157475000</v>
      </c>
      <c r="D10" s="6">
        <v>0.00899288</v>
      </c>
      <c r="E10" s="6">
        <v>184501000</v>
      </c>
      <c r="G10" s="6">
        <v>0.00908066</v>
      </c>
      <c r="H10" s="6">
        <v>163539000</v>
      </c>
    </row>
    <row r="11" customHeight="1" spans="1:8">
      <c r="A11" s="6">
        <v>0.00983994</v>
      </c>
      <c r="B11" s="6">
        <v>159633000</v>
      </c>
      <c r="D11" s="6">
        <v>0.0099876</v>
      </c>
      <c r="E11" s="6">
        <v>183676000</v>
      </c>
      <c r="G11" s="6">
        <v>0.0100073</v>
      </c>
      <c r="H11" s="6">
        <v>165636000</v>
      </c>
    </row>
    <row r="12" customHeight="1" spans="1:8">
      <c r="A12" s="6">
        <v>0.0109546</v>
      </c>
      <c r="B12" s="6">
        <v>158334000</v>
      </c>
      <c r="D12" s="6">
        <v>0.0109844</v>
      </c>
      <c r="E12" s="6">
        <v>183431000</v>
      </c>
      <c r="G12" s="6">
        <v>0.0110286</v>
      </c>
      <c r="H12" s="6">
        <v>164523000</v>
      </c>
    </row>
    <row r="13" customHeight="1" spans="1:8">
      <c r="A13" s="6">
        <v>0.0120175</v>
      </c>
      <c r="B13" s="6">
        <v>148019000</v>
      </c>
      <c r="D13" s="6">
        <v>0.0119833</v>
      </c>
      <c r="E13" s="6">
        <v>177833000</v>
      </c>
      <c r="G13" s="6">
        <v>0.0120155</v>
      </c>
      <c r="H13" s="6">
        <v>163538000</v>
      </c>
    </row>
    <row r="14" customHeight="1" spans="1:8">
      <c r="A14" s="6">
        <v>0.0130162</v>
      </c>
      <c r="B14" s="6">
        <v>138985000</v>
      </c>
      <c r="D14" s="6">
        <v>0.0130141</v>
      </c>
      <c r="E14" s="6">
        <v>175879000</v>
      </c>
      <c r="G14" s="6">
        <v>0.0129099</v>
      </c>
      <c r="H14" s="6">
        <v>170562000</v>
      </c>
    </row>
    <row r="15" customHeight="1" spans="1:19">
      <c r="A15" s="6">
        <v>0.014014</v>
      </c>
      <c r="B15" s="6">
        <v>143794000</v>
      </c>
      <c r="D15" s="6">
        <v>0.0139991</v>
      </c>
      <c r="E15" s="6">
        <v>172847000</v>
      </c>
      <c r="G15" s="6">
        <v>0.0139741</v>
      </c>
      <c r="H15" s="6">
        <v>168225000</v>
      </c>
      <c r="J15" s="17" t="s">
        <v>23</v>
      </c>
      <c r="K15" s="17"/>
      <c r="L15" s="17"/>
      <c r="M15" s="17"/>
      <c r="N15" s="17"/>
      <c r="O15" s="17"/>
      <c r="P15" s="17"/>
      <c r="Q15" s="17"/>
      <c r="R15" s="17"/>
      <c r="S15" s="17"/>
    </row>
    <row r="16" customHeight="1" spans="1:19">
      <c r="A16" s="6">
        <v>0.015016</v>
      </c>
      <c r="B16" s="6">
        <v>150247000</v>
      </c>
      <c r="D16" s="6">
        <v>0.0149295</v>
      </c>
      <c r="E16" s="6">
        <v>193458000</v>
      </c>
      <c r="G16" s="6">
        <v>0.0150037</v>
      </c>
      <c r="H16" s="6">
        <v>152920000</v>
      </c>
      <c r="J16" s="1" t="s">
        <v>26</v>
      </c>
      <c r="K16" s="1">
        <f>AVERAGE(B12:B16)/1000000</f>
        <v>147.8758</v>
      </c>
      <c r="L16" s="19">
        <f>AVERAGE('400K_SR100'!L12:L16)</f>
        <v>18017560000000</v>
      </c>
      <c r="M16" s="19">
        <f>AVERAGE('400K_SR100'!C12:C16)</f>
        <v>128001000000000</v>
      </c>
      <c r="N16" s="2">
        <f>Graphs!$B$1*80.9*0.248*SQRT(L16)/1000000</f>
        <v>31.9359219823583</v>
      </c>
      <c r="O16" s="2">
        <f>Graphs!$B$2*80.9*0.248*SQRT(M16)/1000000</f>
        <v>11.3495041515824</v>
      </c>
      <c r="P16" s="1">
        <f>SQRT(N16^2+O16^2)</f>
        <v>33.8926888480401</v>
      </c>
      <c r="Q16" s="1">
        <f>K16*0.4707</f>
        <v>69.60513906</v>
      </c>
      <c r="R16" s="1">
        <f>Q16/P16</f>
        <v>2.0536918558477</v>
      </c>
      <c r="S16" s="2">
        <f>L16/M16</f>
        <v>0.140761087804002</v>
      </c>
    </row>
    <row r="17" customHeight="1" spans="1:19">
      <c r="A17" s="6">
        <v>0.0160033</v>
      </c>
      <c r="B17" s="6">
        <v>146068000</v>
      </c>
      <c r="D17" s="6">
        <v>0.0160176</v>
      </c>
      <c r="E17" s="6">
        <v>183819000</v>
      </c>
      <c r="G17" s="6">
        <v>0.0160084</v>
      </c>
      <c r="H17" s="6">
        <v>168054000</v>
      </c>
      <c r="J17" s="1" t="s">
        <v>27</v>
      </c>
      <c r="K17" s="1">
        <f>AVERAGE(E12:E16)/1000000</f>
        <v>180.6896</v>
      </c>
      <c r="L17" s="19">
        <f>AVERAGE('400K_SR100'!Y12:Y16)</f>
        <v>27495040000000</v>
      </c>
      <c r="M17" s="19">
        <f>AVERAGE('400K_SR100'!P12:P16)</f>
        <v>134356400000000</v>
      </c>
      <c r="N17" s="2">
        <f>Graphs!$B$1*80.9*0.248*SQRT(L17)/1000000</f>
        <v>39.4510574054615</v>
      </c>
      <c r="O17" s="2">
        <f>Graphs!$B$2*80.9*0.248*SQRT(M17)/1000000</f>
        <v>11.6278490735504</v>
      </c>
      <c r="P17" s="1">
        <f>SQRT(N17^2+O17^2)</f>
        <v>41.1289776737313</v>
      </c>
      <c r="Q17" s="1">
        <f>K17*0.4707</f>
        <v>85.05059472</v>
      </c>
      <c r="R17" s="1">
        <f>Q17/P17</f>
        <v>2.06789955720978</v>
      </c>
      <c r="S17" s="2">
        <f>L17/M17</f>
        <v>0.204642577502821</v>
      </c>
    </row>
    <row r="18" customHeight="1" spans="1:19">
      <c r="A18" s="6">
        <v>0.0169705</v>
      </c>
      <c r="B18" s="6">
        <v>141798000</v>
      </c>
      <c r="D18" s="6">
        <v>0.0169467</v>
      </c>
      <c r="E18" s="6">
        <v>206434000</v>
      </c>
      <c r="G18" s="6">
        <v>0.0169991</v>
      </c>
      <c r="H18" s="6">
        <v>165813000</v>
      </c>
      <c r="J18" s="1" t="s">
        <v>28</v>
      </c>
      <c r="K18" s="1">
        <f>AVERAGE(H12:H16)/1000000</f>
        <v>163.9536</v>
      </c>
      <c r="L18" s="19">
        <f>AVERAGE('400K_SR100'!AL12:AL16)</f>
        <v>18663160000000</v>
      </c>
      <c r="M18" s="19">
        <f>AVERAGE('400K_SR100'!AC12:AC16)</f>
        <v>130183200000000</v>
      </c>
      <c r="N18" s="2">
        <f>Graphs!$B$1*80.9*0.248*SQRT(L18)/1000000</f>
        <v>32.5030458002068</v>
      </c>
      <c r="O18" s="2">
        <f>Graphs!$B$2*80.9*0.248*SQRT(M18)/1000000</f>
        <v>11.4458401955192</v>
      </c>
      <c r="P18" s="1">
        <f>SQRT(N18^2+O18^2)</f>
        <v>34.4594724868461</v>
      </c>
      <c r="Q18" s="1">
        <f>K18*0.4707</f>
        <v>77.17295952</v>
      </c>
      <c r="R18" s="1">
        <f>Q18/P18</f>
        <v>2.23952817471186</v>
      </c>
      <c r="S18" s="2">
        <f>L18/M18</f>
        <v>0.143360740863644</v>
      </c>
    </row>
    <row r="19" customHeight="1" spans="1:19">
      <c r="A19" s="6">
        <v>0.017963</v>
      </c>
      <c r="B19" s="6">
        <v>140701000</v>
      </c>
      <c r="D19" s="6">
        <v>0.0179997</v>
      </c>
      <c r="E19" s="6">
        <v>201263000</v>
      </c>
      <c r="G19" s="6">
        <v>0.017996</v>
      </c>
      <c r="H19" s="6">
        <v>177351000</v>
      </c>
      <c r="K19" s="1"/>
      <c r="L19" s="19"/>
      <c r="M19" s="19"/>
      <c r="N19" s="2"/>
      <c r="O19" s="2"/>
      <c r="P19" s="1"/>
      <c r="Q19" s="1"/>
      <c r="R19" s="1"/>
      <c r="S19" s="2"/>
    </row>
    <row r="20" customHeight="1" spans="1:8">
      <c r="A20" s="6">
        <v>0.0190256</v>
      </c>
      <c r="B20" s="6">
        <v>139286000</v>
      </c>
      <c r="D20" s="6">
        <v>0.0190322</v>
      </c>
      <c r="E20" s="6">
        <v>178870000</v>
      </c>
      <c r="G20" s="6">
        <v>0.0189916</v>
      </c>
      <c r="H20" s="6">
        <v>173024000</v>
      </c>
    </row>
    <row r="21" customHeight="1" spans="1:8">
      <c r="A21" s="6">
        <v>0.0199899</v>
      </c>
      <c r="B21" s="6">
        <v>144587000</v>
      </c>
      <c r="D21" s="6">
        <v>0.0199931</v>
      </c>
      <c r="E21" s="6">
        <v>178253000</v>
      </c>
      <c r="G21" s="6">
        <v>0.0199893</v>
      </c>
      <c r="H21" s="6">
        <v>177340000</v>
      </c>
    </row>
    <row r="22" customHeight="1" spans="1:19">
      <c r="A22" s="6">
        <v>0.0210189</v>
      </c>
      <c r="B22" s="6">
        <v>136511000</v>
      </c>
      <c r="D22" s="6">
        <v>0.0209919</v>
      </c>
      <c r="E22" s="6">
        <v>179369000</v>
      </c>
      <c r="G22" s="6"/>
      <c r="H22" s="6"/>
      <c r="J22" s="17" t="s">
        <v>29</v>
      </c>
      <c r="K22" s="17"/>
      <c r="L22" s="17"/>
      <c r="M22" s="17"/>
      <c r="N22" s="17"/>
      <c r="O22" s="17"/>
      <c r="P22" s="17"/>
      <c r="Q22" s="17"/>
      <c r="R22" s="17"/>
      <c r="S22" s="17"/>
    </row>
    <row r="23" customHeight="1" spans="1:19">
      <c r="A23" s="6">
        <v>0.0220262</v>
      </c>
      <c r="B23" s="6">
        <v>141857000</v>
      </c>
      <c r="D23" s="6">
        <v>0.0220331</v>
      </c>
      <c r="E23" s="6">
        <v>168658000</v>
      </c>
      <c r="G23" s="6"/>
      <c r="H23" s="6"/>
      <c r="J23" s="1" t="s">
        <v>26</v>
      </c>
      <c r="K23" s="1">
        <f>AVERAGE(B32:B36)/1000000</f>
        <v>126.9044</v>
      </c>
      <c r="L23" s="19">
        <f>AVERAGE('400K_SR100'!L32:L36)</f>
        <v>21105500000000</v>
      </c>
      <c r="M23" s="19">
        <f>AVERAGE('400K_SR100'!C32:C36)</f>
        <v>126830800000000</v>
      </c>
      <c r="N23" s="2">
        <f>Graphs!$B$1*80.9*0.248*SQRT(L23)/1000000</f>
        <v>34.5644215197983</v>
      </c>
      <c r="O23" s="2">
        <f>Graphs!$B$2*80.9*0.248*SQRT(M23)/1000000</f>
        <v>11.2975057927684</v>
      </c>
      <c r="P23" s="1">
        <f t="shared" ref="P23:P25" si="0">SQRT(N23^2+O23^2)</f>
        <v>36.3638951727662</v>
      </c>
      <c r="Q23" s="1">
        <f t="shared" ref="Q23:Q25" si="1">K23*0.4707</f>
        <v>59.73390108</v>
      </c>
      <c r="R23" s="1">
        <f t="shared" ref="R23:R25" si="2">Q23/P23</f>
        <v>1.64267058840099</v>
      </c>
      <c r="S23" s="2">
        <f t="shared" ref="S23:S25" si="3">L23/M23</f>
        <v>0.166406740318598</v>
      </c>
    </row>
    <row r="24" customHeight="1" spans="1:19">
      <c r="A24" s="6">
        <v>0.0230102</v>
      </c>
      <c r="B24" s="6">
        <v>141320000</v>
      </c>
      <c r="D24" s="6">
        <v>0.0229667</v>
      </c>
      <c r="E24" s="6">
        <v>159993000</v>
      </c>
      <c r="G24" s="6"/>
      <c r="H24" s="6"/>
      <c r="J24" s="1" t="s">
        <v>27</v>
      </c>
      <c r="K24" s="1">
        <f>AVERAGE(E32:E36)/1000000</f>
        <v>76.1168</v>
      </c>
      <c r="L24" s="19">
        <f>AVERAGE('400K_SR100'!Y32:Y36)</f>
        <v>95539380000000</v>
      </c>
      <c r="M24" s="19">
        <f>AVERAGE('400K_SR100'!P32:P36)</f>
        <v>223243000000000</v>
      </c>
      <c r="N24" s="2">
        <f>Graphs!$B$1*80.9*0.248*SQRT(L24)/1000000</f>
        <v>73.5398398020036</v>
      </c>
      <c r="O24" s="2">
        <f>Graphs!$B$2*80.9*0.248*SQRT(M24)/1000000</f>
        <v>14.9885331161959</v>
      </c>
      <c r="P24" s="1">
        <f t="shared" si="0"/>
        <v>75.0517432381131</v>
      </c>
      <c r="Q24" s="1">
        <f t="shared" si="1"/>
        <v>35.82817776</v>
      </c>
      <c r="R24" s="1">
        <f t="shared" si="2"/>
        <v>0.477379687855213</v>
      </c>
      <c r="S24" s="2">
        <f t="shared" si="3"/>
        <v>0.427961369449434</v>
      </c>
    </row>
    <row r="25" customHeight="1" spans="1:19">
      <c r="A25" s="6">
        <v>0.0239974</v>
      </c>
      <c r="B25" s="6">
        <v>145505000</v>
      </c>
      <c r="D25" s="6">
        <v>0.0239774</v>
      </c>
      <c r="E25" s="6">
        <v>155129000</v>
      </c>
      <c r="G25" s="6"/>
      <c r="H25" s="6"/>
      <c r="J25" s="1" t="s">
        <v>28</v>
      </c>
      <c r="K25" s="1" t="e">
        <f>AVERAGE(H32:H36)/1000000</f>
        <v>#DIV/0!</v>
      </c>
      <c r="L25" s="19" t="e">
        <f>AVERAGE('400K_SR100'!AL32:AL36)</f>
        <v>#DIV/0!</v>
      </c>
      <c r="M25" s="19" t="e">
        <f>AVERAGE('400K_SR100'!AC32:AC36)</f>
        <v>#DIV/0!</v>
      </c>
      <c r="N25" s="2" t="e">
        <f>Graphs!$B$1*80.9*0.248*SQRT(L25)/1000000</f>
        <v>#DIV/0!</v>
      </c>
      <c r="O25" s="2" t="e">
        <f>Graphs!$B$2*80.9*0.248*SQRT(M25)/1000000</f>
        <v>#DIV/0!</v>
      </c>
      <c r="P25" s="1" t="e">
        <f t="shared" si="0"/>
        <v>#DIV/0!</v>
      </c>
      <c r="Q25" s="1" t="e">
        <f t="shared" si="1"/>
        <v>#DIV/0!</v>
      </c>
      <c r="R25" s="1" t="e">
        <f t="shared" si="2"/>
        <v>#DIV/0!</v>
      </c>
      <c r="S25" s="2" t="e">
        <f t="shared" si="3"/>
        <v>#DIV/0!</v>
      </c>
    </row>
    <row r="26" customHeight="1" spans="1:8">
      <c r="A26" s="6">
        <v>0.0248874</v>
      </c>
      <c r="B26" s="6">
        <v>143613000</v>
      </c>
      <c r="D26" s="6">
        <v>0.0250117</v>
      </c>
      <c r="E26" s="6">
        <v>138106000</v>
      </c>
      <c r="G26" s="6"/>
      <c r="H26" s="6"/>
    </row>
    <row r="27" customHeight="1" spans="1:8">
      <c r="A27" s="6">
        <v>0.0259781</v>
      </c>
      <c r="B27" s="6">
        <v>139523000</v>
      </c>
      <c r="D27" s="6">
        <v>0.0259907</v>
      </c>
      <c r="E27" s="6">
        <v>125283000</v>
      </c>
      <c r="G27" s="6"/>
      <c r="H27" s="6"/>
    </row>
    <row r="28" customHeight="1" spans="1:8">
      <c r="A28" s="6">
        <v>0.0270155</v>
      </c>
      <c r="B28" s="6">
        <v>131931000</v>
      </c>
      <c r="D28" s="6">
        <v>0.0269809</v>
      </c>
      <c r="E28" s="6">
        <v>115659000</v>
      </c>
      <c r="G28" s="6"/>
      <c r="H28" s="6"/>
    </row>
    <row r="29" customHeight="1" spans="1:8">
      <c r="A29" s="6">
        <v>0.0279952</v>
      </c>
      <c r="B29" s="6">
        <v>133028000</v>
      </c>
      <c r="D29" s="6">
        <v>0.0281636</v>
      </c>
      <c r="E29" s="6">
        <v>103274000</v>
      </c>
      <c r="G29" s="6"/>
      <c r="H29" s="6"/>
    </row>
    <row r="30" customHeight="1" spans="1:8">
      <c r="A30" s="6">
        <v>0.0290926</v>
      </c>
      <c r="B30" s="6">
        <v>135754000</v>
      </c>
      <c r="D30" s="6">
        <v>0.0289706</v>
      </c>
      <c r="E30" s="6">
        <v>96426500</v>
      </c>
      <c r="G30" s="6"/>
      <c r="H30" s="6"/>
    </row>
    <row r="31" customHeight="1" spans="1:8">
      <c r="A31" s="6">
        <v>0.0299866</v>
      </c>
      <c r="B31" s="6">
        <v>132312000</v>
      </c>
      <c r="D31" s="6">
        <v>0.0299872</v>
      </c>
      <c r="E31" s="6">
        <v>89842300</v>
      </c>
      <c r="G31" s="6"/>
      <c r="H31" s="6"/>
    </row>
    <row r="32" customHeight="1" spans="1:8">
      <c r="A32" s="6">
        <v>0.0310285</v>
      </c>
      <c r="B32" s="6">
        <v>132349000</v>
      </c>
      <c r="D32" s="6">
        <v>0.0310075</v>
      </c>
      <c r="E32" s="6">
        <v>84823400</v>
      </c>
      <c r="G32" s="6"/>
      <c r="H32" s="6"/>
    </row>
    <row r="33" customHeight="1" spans="1:8">
      <c r="A33" s="6">
        <v>0.0318894</v>
      </c>
      <c r="B33" s="6">
        <v>132765000</v>
      </c>
      <c r="D33" s="6">
        <v>0.0320211</v>
      </c>
      <c r="E33" s="6">
        <v>80287700</v>
      </c>
      <c r="G33" s="6"/>
      <c r="H33" s="6"/>
    </row>
    <row r="34" customHeight="1" spans="1:8">
      <c r="A34" s="6">
        <v>0.0329781</v>
      </c>
      <c r="B34" s="6">
        <v>126901000</v>
      </c>
      <c r="D34" s="6">
        <v>0.0330056</v>
      </c>
      <c r="E34" s="6">
        <v>75223100</v>
      </c>
      <c r="G34" s="6"/>
      <c r="H34" s="6"/>
    </row>
    <row r="35" customHeight="1" spans="1:8">
      <c r="A35" s="6">
        <v>0.0340371</v>
      </c>
      <c r="B35" s="6">
        <v>122021000</v>
      </c>
      <c r="D35" s="6">
        <v>0.0339336</v>
      </c>
      <c r="E35" s="6">
        <v>72612900</v>
      </c>
      <c r="G35" s="6"/>
      <c r="H35" s="6"/>
    </row>
    <row r="36" customHeight="1" spans="1:8">
      <c r="A36" s="6">
        <v>0.0349071</v>
      </c>
      <c r="B36" s="6">
        <v>120486000</v>
      </c>
      <c r="D36" s="6">
        <v>0.0349799</v>
      </c>
      <c r="E36" s="6">
        <v>67636900</v>
      </c>
      <c r="G36" s="6"/>
      <c r="H36" s="6"/>
    </row>
    <row r="37" customHeight="1" spans="1:8">
      <c r="A37" s="6">
        <v>0.0359954</v>
      </c>
      <c r="B37" s="6">
        <v>123107000</v>
      </c>
      <c r="D37" s="6">
        <v>0.0359858</v>
      </c>
      <c r="E37" s="6">
        <v>64497600</v>
      </c>
      <c r="G37" s="6"/>
      <c r="H37" s="6"/>
    </row>
    <row r="38" customHeight="1" spans="1:8">
      <c r="A38" s="6">
        <v>0.0370021</v>
      </c>
      <c r="B38" s="6">
        <v>118842000</v>
      </c>
      <c r="D38" s="6">
        <v>0.0370156</v>
      </c>
      <c r="E38" s="6">
        <v>63104800</v>
      </c>
      <c r="G38" s="6"/>
      <c r="H38" s="6"/>
    </row>
    <row r="39" customHeight="1" spans="1:8">
      <c r="A39" s="6">
        <v>0.0379667</v>
      </c>
      <c r="B39" s="6">
        <v>120527000</v>
      </c>
      <c r="D39" s="6">
        <v>0.0379832</v>
      </c>
      <c r="E39" s="6">
        <v>61166700</v>
      </c>
      <c r="G39" s="6"/>
      <c r="H39" s="6"/>
    </row>
    <row r="40" customHeight="1" spans="1:8">
      <c r="A40" s="6">
        <v>0.0390098</v>
      </c>
      <c r="B40" s="6">
        <v>110621000</v>
      </c>
      <c r="D40" s="6">
        <v>0.0389982</v>
      </c>
      <c r="E40" s="6">
        <v>59172300</v>
      </c>
      <c r="G40" s="6"/>
      <c r="H40" s="6"/>
    </row>
    <row r="41" customHeight="1" spans="1:8">
      <c r="A41" s="6">
        <v>0.040006</v>
      </c>
      <c r="B41" s="6">
        <v>102154000</v>
      </c>
      <c r="D41" s="6">
        <v>0.0400317</v>
      </c>
      <c r="E41" s="6">
        <v>56925300</v>
      </c>
      <c r="G41" s="6"/>
      <c r="H41" s="6"/>
    </row>
    <row r="42" customHeight="1" spans="1:8">
      <c r="A42" s="6">
        <v>0.0409747</v>
      </c>
      <c r="B42" s="6">
        <v>97724800</v>
      </c>
      <c r="D42" s="6">
        <v>0.0410036</v>
      </c>
      <c r="E42" s="6">
        <v>55122200</v>
      </c>
      <c r="G42" s="6"/>
      <c r="H42" s="6"/>
    </row>
    <row r="43" customHeight="1" spans="1:8">
      <c r="A43" s="6">
        <v>0.0420212</v>
      </c>
      <c r="B43" s="6">
        <v>97546100</v>
      </c>
      <c r="D43" s="6">
        <v>0.0419811</v>
      </c>
      <c r="E43" s="6">
        <v>52726300</v>
      </c>
      <c r="G43" s="6"/>
      <c r="H43" s="6"/>
    </row>
    <row r="44" customHeight="1" spans="1:8">
      <c r="A44" s="6">
        <v>0.0429143</v>
      </c>
      <c r="B44" s="6">
        <v>91560200</v>
      </c>
      <c r="D44" s="6">
        <v>0.0429805</v>
      </c>
      <c r="E44" s="6">
        <v>51406600</v>
      </c>
      <c r="G44" s="6"/>
      <c r="H44" s="6"/>
    </row>
    <row r="45" customHeight="1" spans="1:8">
      <c r="A45" s="6">
        <v>0.0440009</v>
      </c>
      <c r="B45" s="6">
        <v>88212600</v>
      </c>
      <c r="D45" s="6">
        <v>0.0440313</v>
      </c>
      <c r="E45" s="6">
        <v>49362000</v>
      </c>
      <c r="G45" s="6"/>
      <c r="H45" s="6"/>
    </row>
    <row r="46" customHeight="1" spans="1:8">
      <c r="A46" s="6">
        <v>0.0450019</v>
      </c>
      <c r="B46" s="6">
        <v>91367900</v>
      </c>
      <c r="D46" s="6">
        <v>0.0450174</v>
      </c>
      <c r="E46" s="6">
        <v>47961100</v>
      </c>
      <c r="G46" s="6"/>
      <c r="H46" s="6"/>
    </row>
    <row r="47" customHeight="1" spans="1:8">
      <c r="A47" s="6">
        <v>0.0460726</v>
      </c>
      <c r="B47" s="6">
        <v>87985000</v>
      </c>
      <c r="D47" s="6">
        <v>0.0458763</v>
      </c>
      <c r="E47" s="6">
        <v>46581200</v>
      </c>
      <c r="G47" s="6"/>
      <c r="H47" s="6"/>
    </row>
    <row r="48" customHeight="1" spans="1:8">
      <c r="A48" s="6">
        <v>0.0469727</v>
      </c>
      <c r="B48" s="6">
        <v>82759600</v>
      </c>
      <c r="G48" s="6"/>
      <c r="H48" s="6"/>
    </row>
    <row r="49" customHeight="1" spans="1:8">
      <c r="A49" s="6">
        <v>0.0479596</v>
      </c>
      <c r="B49" s="6">
        <v>81393400</v>
      </c>
      <c r="G49" s="6"/>
      <c r="H49" s="6"/>
    </row>
    <row r="50" customHeight="1" spans="1:8">
      <c r="A50" s="6">
        <v>0.0489212</v>
      </c>
      <c r="B50" s="6">
        <v>82852400</v>
      </c>
      <c r="G50" s="6"/>
      <c r="H50" s="6"/>
    </row>
    <row r="51" customHeight="1" spans="1:8">
      <c r="A51" s="6">
        <v>0.0499793</v>
      </c>
      <c r="B51" s="6">
        <v>82325900</v>
      </c>
      <c r="G51" s="6"/>
      <c r="H51" s="6"/>
    </row>
    <row r="52" customHeight="1" spans="1:2">
      <c r="A52" s="6">
        <v>0.0510426</v>
      </c>
      <c r="B52" s="6">
        <v>84656400</v>
      </c>
    </row>
    <row r="53" customHeight="1" spans="1:2">
      <c r="A53" s="6">
        <v>0.0520212</v>
      </c>
      <c r="B53" s="6">
        <v>86988100</v>
      </c>
    </row>
    <row r="54" customHeight="1" spans="1:2">
      <c r="A54" s="6">
        <v>0.0529936</v>
      </c>
      <c r="B54" s="6">
        <v>87179600</v>
      </c>
    </row>
    <row r="55" customHeight="1" spans="1:2">
      <c r="A55" s="6">
        <v>0.0540112</v>
      </c>
      <c r="B55" s="6">
        <v>85878100</v>
      </c>
    </row>
    <row r="56" customHeight="1" spans="1:2">
      <c r="A56" s="6">
        <v>0.0549946</v>
      </c>
      <c r="B56" s="6">
        <v>85071300</v>
      </c>
    </row>
    <row r="57" customHeight="1" spans="1:2">
      <c r="A57" s="6"/>
      <c r="B57" s="6"/>
    </row>
  </sheetData>
  <mergeCells count="6">
    <mergeCell ref="A1:B1"/>
    <mergeCell ref="D1:E1"/>
    <mergeCell ref="G1:H1"/>
    <mergeCell ref="J1:K1"/>
    <mergeCell ref="J15:S15"/>
    <mergeCell ref="J22:S2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"/>
  <sheetViews>
    <sheetView tabSelected="1" topLeftCell="AB11" workbookViewId="0">
      <selection activeCell="AB23" sqref="AB23:AL51"/>
    </sheetView>
  </sheetViews>
  <sheetFormatPr defaultColWidth="9.00666666666667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24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6">
        <v>0.00100305</v>
      </c>
      <c r="B2" s="6">
        <v>0.00163748</v>
      </c>
      <c r="C2" s="6">
        <v>127629000000000</v>
      </c>
      <c r="D2" s="6">
        <v>8499870000</v>
      </c>
      <c r="E2" s="6">
        <v>0</v>
      </c>
      <c r="F2" s="6">
        <v>0</v>
      </c>
      <c r="G2" s="6">
        <v>2</v>
      </c>
      <c r="H2" s="6">
        <v>30492100000000</v>
      </c>
      <c r="I2" s="6">
        <v>30102000000000</v>
      </c>
      <c r="J2" s="6">
        <v>29643300000000</v>
      </c>
      <c r="K2" s="6">
        <v>29842100000000</v>
      </c>
      <c r="L2" s="6">
        <v>7549640000000</v>
      </c>
      <c r="N2" s="6">
        <v>0.00096455</v>
      </c>
      <c r="O2" s="6">
        <v>0.0016368</v>
      </c>
      <c r="P2" s="6">
        <v>127824000000000</v>
      </c>
      <c r="Q2" s="6">
        <v>22194400000</v>
      </c>
      <c r="R2" s="6">
        <v>0</v>
      </c>
      <c r="S2" s="6">
        <v>0</v>
      </c>
      <c r="T2" s="6">
        <v>2</v>
      </c>
      <c r="U2" s="6">
        <v>29941100000000</v>
      </c>
      <c r="V2" s="6">
        <v>29694800000000</v>
      </c>
      <c r="W2" s="6">
        <v>29994600000000</v>
      </c>
      <c r="X2" s="6">
        <v>29531300000000</v>
      </c>
      <c r="Y2" s="6">
        <v>8662350000000</v>
      </c>
      <c r="AA2" s="6">
        <v>0.00100922</v>
      </c>
      <c r="AB2" s="6">
        <v>0.00170064</v>
      </c>
      <c r="AC2" s="6">
        <v>128466000000000</v>
      </c>
      <c r="AD2" s="6">
        <v>8021510000</v>
      </c>
      <c r="AE2" s="6">
        <v>0</v>
      </c>
      <c r="AF2" s="6">
        <v>0</v>
      </c>
      <c r="AG2" s="6">
        <v>2</v>
      </c>
      <c r="AH2" s="6">
        <v>30153800000000</v>
      </c>
      <c r="AI2" s="6">
        <v>30085700000000</v>
      </c>
      <c r="AJ2" s="6">
        <v>30148700000000</v>
      </c>
      <c r="AK2" s="6">
        <v>29875900000000</v>
      </c>
      <c r="AL2" s="6">
        <v>8201610000000</v>
      </c>
      <c r="AN2" s="6">
        <f t="shared" ref="AN2:AN31" si="0">A2</f>
        <v>0.00100305</v>
      </c>
      <c r="AO2" s="6">
        <f t="shared" ref="AO2:AO31" si="1">(C2+P2+AC2)/3</f>
        <v>127973000000000</v>
      </c>
      <c r="AP2" s="6">
        <f t="shared" ref="AP2:AP31" si="2">MIN(C2,P2,AC2)</f>
        <v>127629000000000</v>
      </c>
      <c r="AQ2" s="6">
        <f t="shared" ref="AQ2:AQ31" si="3">MAX(C2,P2,AC2)</f>
        <v>128466000000000</v>
      </c>
      <c r="AR2" s="6">
        <f t="shared" ref="AR2:AR31" si="4">(L2+Y2+AL2)/3</f>
        <v>8137866666666.67</v>
      </c>
      <c r="AS2" s="6">
        <f t="shared" ref="AS2:AS31" si="5">MIN(L2,Y2,AL2)</f>
        <v>7549640000000</v>
      </c>
      <c r="AT2" s="6">
        <f t="shared" ref="AT2:AT31" si="6">MAX(L2,Y2,AL2)</f>
        <v>8662350000000</v>
      </c>
    </row>
    <row r="3" customHeight="1" spans="1:46">
      <c r="A3" s="6">
        <v>0.00195105</v>
      </c>
      <c r="B3" s="6">
        <v>0.00267269</v>
      </c>
      <c r="C3" s="6">
        <v>128639000000000</v>
      </c>
      <c r="D3" s="6">
        <v>44111500000</v>
      </c>
      <c r="E3" s="6">
        <v>0</v>
      </c>
      <c r="F3" s="6">
        <v>0</v>
      </c>
      <c r="G3" s="6">
        <v>2</v>
      </c>
      <c r="H3" s="6">
        <v>29661300000000</v>
      </c>
      <c r="I3" s="6">
        <v>29281200000000</v>
      </c>
      <c r="J3" s="6">
        <v>29318300000000</v>
      </c>
      <c r="K3" s="6">
        <v>28976300000000</v>
      </c>
      <c r="L3" s="6">
        <v>11402100000000</v>
      </c>
      <c r="N3" s="6">
        <v>0.00198499</v>
      </c>
      <c r="O3" s="6">
        <v>0.00274677</v>
      </c>
      <c r="P3" s="6">
        <v>129130000000000</v>
      </c>
      <c r="Q3" s="6">
        <v>17786500000</v>
      </c>
      <c r="R3" s="6">
        <v>0</v>
      </c>
      <c r="S3" s="6">
        <v>0</v>
      </c>
      <c r="T3" s="6">
        <v>2</v>
      </c>
      <c r="U3" s="6">
        <v>27945600000000</v>
      </c>
      <c r="V3" s="6">
        <v>28637500000000</v>
      </c>
      <c r="W3" s="6">
        <v>27757000000000</v>
      </c>
      <c r="X3" s="6">
        <v>28040000000000</v>
      </c>
      <c r="Y3" s="6">
        <v>16749800000000</v>
      </c>
      <c r="AA3" s="6">
        <v>0.00200223</v>
      </c>
      <c r="AB3" s="6">
        <v>0.00275202</v>
      </c>
      <c r="AC3" s="6">
        <v>128441000000000</v>
      </c>
      <c r="AD3" s="6">
        <v>23279500000</v>
      </c>
      <c r="AE3" s="6">
        <v>0</v>
      </c>
      <c r="AF3" s="6">
        <v>0</v>
      </c>
      <c r="AG3" s="6">
        <v>2</v>
      </c>
      <c r="AH3" s="6">
        <v>28142900000000</v>
      </c>
      <c r="AI3" s="6">
        <v>28072200000000</v>
      </c>
      <c r="AJ3" s="6">
        <v>28585900000000</v>
      </c>
      <c r="AK3" s="6">
        <v>28289600000000</v>
      </c>
      <c r="AL3" s="6">
        <v>15350800000000</v>
      </c>
      <c r="AN3" s="6">
        <f t="shared" si="0"/>
        <v>0.00195105</v>
      </c>
      <c r="AO3" s="6">
        <f t="shared" si="1"/>
        <v>128736666666667</v>
      </c>
      <c r="AP3" s="6">
        <f t="shared" si="2"/>
        <v>128441000000000</v>
      </c>
      <c r="AQ3" s="6">
        <f t="shared" si="3"/>
        <v>129130000000000</v>
      </c>
      <c r="AR3" s="6">
        <f t="shared" si="4"/>
        <v>14500900000000</v>
      </c>
      <c r="AS3" s="6">
        <f t="shared" si="5"/>
        <v>11402100000000</v>
      </c>
      <c r="AT3" s="6">
        <f t="shared" si="6"/>
        <v>16749800000000</v>
      </c>
    </row>
    <row r="4" customHeight="1" spans="1:46">
      <c r="A4" s="6">
        <v>0.00300435</v>
      </c>
      <c r="B4" s="6">
        <v>0.00370536</v>
      </c>
      <c r="C4" s="6">
        <v>128629000000000</v>
      </c>
      <c r="D4" s="6">
        <v>7714150000</v>
      </c>
      <c r="E4" s="6">
        <v>0</v>
      </c>
      <c r="F4" s="6">
        <v>0</v>
      </c>
      <c r="G4" s="6">
        <v>2</v>
      </c>
      <c r="H4" s="6">
        <v>29047700000000</v>
      </c>
      <c r="I4" s="6">
        <v>28483900000000</v>
      </c>
      <c r="J4" s="6">
        <v>29001800000000</v>
      </c>
      <c r="K4" s="6">
        <v>28465900000000</v>
      </c>
      <c r="L4" s="6">
        <v>13627600000000</v>
      </c>
      <c r="N4" s="6">
        <v>0.00298361</v>
      </c>
      <c r="O4" s="6">
        <v>0.00382865</v>
      </c>
      <c r="P4" s="6">
        <v>129674000000000</v>
      </c>
      <c r="Q4" s="6">
        <v>12891600000</v>
      </c>
      <c r="R4" s="6">
        <v>0</v>
      </c>
      <c r="S4" s="6">
        <v>0</v>
      </c>
      <c r="T4" s="6">
        <v>2</v>
      </c>
      <c r="U4" s="6">
        <v>26564200000000</v>
      </c>
      <c r="V4" s="6">
        <v>27431800000000</v>
      </c>
      <c r="W4" s="6">
        <v>27337400000000</v>
      </c>
      <c r="X4" s="6">
        <v>26905400000000</v>
      </c>
      <c r="Y4" s="6">
        <v>21418300000000</v>
      </c>
      <c r="AA4" s="6">
        <v>0.00299889</v>
      </c>
      <c r="AB4" s="6">
        <v>0.00385225</v>
      </c>
      <c r="AC4" s="6">
        <v>129393000000000</v>
      </c>
      <c r="AD4" s="6">
        <v>63186600000</v>
      </c>
      <c r="AE4" s="6">
        <v>0</v>
      </c>
      <c r="AF4" s="6">
        <v>0</v>
      </c>
      <c r="AG4" s="6">
        <v>2</v>
      </c>
      <c r="AH4" s="6">
        <v>27686900000000</v>
      </c>
      <c r="AI4" s="6">
        <v>27293800000000</v>
      </c>
      <c r="AJ4" s="6">
        <v>27483300000000</v>
      </c>
      <c r="AK4" s="6">
        <v>27910400000000</v>
      </c>
      <c r="AL4" s="6">
        <v>18986000000000</v>
      </c>
      <c r="AN4" s="6">
        <f t="shared" si="0"/>
        <v>0.00300435</v>
      </c>
      <c r="AO4" s="6">
        <f t="shared" si="1"/>
        <v>129232000000000</v>
      </c>
      <c r="AP4" s="6">
        <f t="shared" si="2"/>
        <v>128629000000000</v>
      </c>
      <c r="AQ4" s="6">
        <f t="shared" si="3"/>
        <v>129674000000000</v>
      </c>
      <c r="AR4" s="6">
        <f t="shared" si="4"/>
        <v>18010633333333.3</v>
      </c>
      <c r="AS4" s="6">
        <f t="shared" si="5"/>
        <v>13627600000000</v>
      </c>
      <c r="AT4" s="6">
        <f t="shared" si="6"/>
        <v>21418300000000</v>
      </c>
    </row>
    <row r="5" customHeight="1" spans="1:46">
      <c r="A5" s="6">
        <v>0.00406285</v>
      </c>
      <c r="B5" s="6">
        <v>0.00478823</v>
      </c>
      <c r="C5" s="6">
        <v>128166000000000</v>
      </c>
      <c r="D5" s="6">
        <v>8892800000</v>
      </c>
      <c r="E5" s="6">
        <v>0</v>
      </c>
      <c r="F5" s="6">
        <v>0</v>
      </c>
      <c r="G5" s="6">
        <v>2</v>
      </c>
      <c r="H5" s="6">
        <v>28634400000000</v>
      </c>
      <c r="I5" s="6">
        <v>27704600000000</v>
      </c>
      <c r="J5" s="6">
        <v>28504900000000</v>
      </c>
      <c r="K5" s="6">
        <v>27771900000000</v>
      </c>
      <c r="L5" s="6">
        <v>15549400000000</v>
      </c>
      <c r="N5" s="6">
        <v>0.00405299</v>
      </c>
      <c r="O5" s="6">
        <v>0.00495565</v>
      </c>
      <c r="P5" s="6">
        <v>129396000000000</v>
      </c>
      <c r="Q5" s="6">
        <v>6767290000</v>
      </c>
      <c r="R5" s="6">
        <v>0</v>
      </c>
      <c r="S5" s="6">
        <v>0</v>
      </c>
      <c r="T5" s="6">
        <v>2</v>
      </c>
      <c r="U5" s="6">
        <v>25569800000000</v>
      </c>
      <c r="V5" s="6">
        <v>25660400000000</v>
      </c>
      <c r="W5" s="6">
        <v>26315900000000</v>
      </c>
      <c r="X5" s="6">
        <v>26651200000000</v>
      </c>
      <c r="Y5" s="6">
        <v>25195200000000</v>
      </c>
      <c r="AA5" s="6">
        <v>0.00401574</v>
      </c>
      <c r="AB5" s="6">
        <v>0.00484333</v>
      </c>
      <c r="AC5" s="6">
        <v>129350000000000</v>
      </c>
      <c r="AD5" s="6">
        <v>28444600000</v>
      </c>
      <c r="AE5" s="6">
        <v>0</v>
      </c>
      <c r="AF5" s="6">
        <v>0</v>
      </c>
      <c r="AG5" s="6">
        <v>2</v>
      </c>
      <c r="AH5" s="6">
        <v>27113400000000</v>
      </c>
      <c r="AI5" s="6">
        <v>26680100000000</v>
      </c>
      <c r="AJ5" s="6">
        <v>26700800000000</v>
      </c>
      <c r="AK5" s="6">
        <v>28131300000000</v>
      </c>
      <c r="AL5" s="6">
        <v>20724900000000</v>
      </c>
      <c r="AN5" s="6">
        <f t="shared" si="0"/>
        <v>0.00406285</v>
      </c>
      <c r="AO5" s="6">
        <f t="shared" si="1"/>
        <v>128970666666667</v>
      </c>
      <c r="AP5" s="6">
        <f t="shared" si="2"/>
        <v>128166000000000</v>
      </c>
      <c r="AQ5" s="6">
        <f t="shared" si="3"/>
        <v>129396000000000</v>
      </c>
      <c r="AR5" s="6">
        <f t="shared" si="4"/>
        <v>20489833333333.3</v>
      </c>
      <c r="AS5" s="6">
        <f t="shared" si="5"/>
        <v>15549400000000</v>
      </c>
      <c r="AT5" s="6">
        <f t="shared" si="6"/>
        <v>25195200000000</v>
      </c>
    </row>
    <row r="6" customHeight="1" spans="1:46">
      <c r="A6" s="6">
        <v>0.00491866</v>
      </c>
      <c r="B6" s="6">
        <v>0.00563657</v>
      </c>
      <c r="C6" s="6">
        <v>128204000000000</v>
      </c>
      <c r="D6" s="6">
        <v>32050000000</v>
      </c>
      <c r="E6" s="6">
        <v>0</v>
      </c>
      <c r="F6" s="6">
        <v>0</v>
      </c>
      <c r="G6" s="6">
        <v>2</v>
      </c>
      <c r="H6" s="6">
        <v>28456700000000</v>
      </c>
      <c r="I6" s="6">
        <v>27165200000000</v>
      </c>
      <c r="J6" s="6">
        <v>28315400000000</v>
      </c>
      <c r="K6" s="6">
        <v>27082100000000</v>
      </c>
      <c r="L6" s="6">
        <v>17184900000000</v>
      </c>
      <c r="N6" s="6">
        <v>0.00499286</v>
      </c>
      <c r="O6" s="6">
        <v>0.00590546</v>
      </c>
      <c r="P6" s="6">
        <v>131741000000000</v>
      </c>
      <c r="Q6" s="6">
        <v>13853100000</v>
      </c>
      <c r="R6" s="6">
        <v>0</v>
      </c>
      <c r="S6" s="6">
        <v>0</v>
      </c>
      <c r="T6" s="6">
        <v>2</v>
      </c>
      <c r="U6" s="6">
        <v>26305100000000</v>
      </c>
      <c r="V6" s="6">
        <v>25824200000000</v>
      </c>
      <c r="W6" s="6">
        <v>27228700000000</v>
      </c>
      <c r="X6" s="6">
        <v>26680000000000</v>
      </c>
      <c r="Y6" s="6">
        <v>25701700000000</v>
      </c>
      <c r="AA6" s="6">
        <v>0.00498702</v>
      </c>
      <c r="AB6" s="6">
        <v>0.00584023</v>
      </c>
      <c r="AC6" s="6">
        <v>129659000000000</v>
      </c>
      <c r="AD6" s="6">
        <v>9406510000</v>
      </c>
      <c r="AE6" s="6">
        <v>0</v>
      </c>
      <c r="AF6" s="6">
        <v>0</v>
      </c>
      <c r="AG6" s="6">
        <v>2</v>
      </c>
      <c r="AH6" s="6">
        <v>27893100000000</v>
      </c>
      <c r="AI6" s="6">
        <v>26846300000000</v>
      </c>
      <c r="AJ6" s="6">
        <v>26763100000000</v>
      </c>
      <c r="AK6" s="6">
        <v>27875100000000</v>
      </c>
      <c r="AL6" s="6">
        <v>20278600000000</v>
      </c>
      <c r="AN6" s="6">
        <f t="shared" si="0"/>
        <v>0.00491866</v>
      </c>
      <c r="AO6" s="6">
        <f t="shared" si="1"/>
        <v>129868000000000</v>
      </c>
      <c r="AP6" s="6">
        <f t="shared" si="2"/>
        <v>128204000000000</v>
      </c>
      <c r="AQ6" s="6">
        <f t="shared" si="3"/>
        <v>131741000000000</v>
      </c>
      <c r="AR6" s="6">
        <f t="shared" si="4"/>
        <v>21055066666666.7</v>
      </c>
      <c r="AS6" s="6">
        <f t="shared" si="5"/>
        <v>17184900000000</v>
      </c>
      <c r="AT6" s="6">
        <f t="shared" si="6"/>
        <v>25701700000000</v>
      </c>
    </row>
    <row r="7" customHeight="1" spans="1:46">
      <c r="A7" s="6">
        <v>0.00588823</v>
      </c>
      <c r="B7" s="6">
        <v>0.00661664</v>
      </c>
      <c r="C7" s="6">
        <v>128443000000000</v>
      </c>
      <c r="D7" s="6">
        <v>13647700000</v>
      </c>
      <c r="E7" s="6">
        <v>0</v>
      </c>
      <c r="F7" s="6">
        <v>0</v>
      </c>
      <c r="G7" s="6">
        <v>2</v>
      </c>
      <c r="H7" s="6">
        <v>28131300000000</v>
      </c>
      <c r="I7" s="6">
        <v>27272400000000</v>
      </c>
      <c r="J7" s="6">
        <v>27409500000000</v>
      </c>
      <c r="K7" s="6">
        <v>26986200000000</v>
      </c>
      <c r="L7" s="6">
        <v>18643400000000</v>
      </c>
      <c r="N7" s="6">
        <v>0.00596458</v>
      </c>
      <c r="O7" s="6">
        <v>0.00686281</v>
      </c>
      <c r="P7" s="6">
        <v>132850000000000</v>
      </c>
      <c r="Q7" s="6">
        <v>8569800000</v>
      </c>
      <c r="R7" s="6">
        <v>0</v>
      </c>
      <c r="S7" s="6">
        <v>0</v>
      </c>
      <c r="T7" s="6">
        <v>2</v>
      </c>
      <c r="U7" s="6">
        <v>26566000000000</v>
      </c>
      <c r="V7" s="6">
        <v>25774000000000</v>
      </c>
      <c r="W7" s="6">
        <v>26656300000000</v>
      </c>
      <c r="X7" s="6">
        <v>27550600000000</v>
      </c>
      <c r="Y7" s="6">
        <v>26302500000000</v>
      </c>
      <c r="AA7" s="6">
        <v>0.00606104</v>
      </c>
      <c r="AB7" s="6">
        <v>0.00685537</v>
      </c>
      <c r="AC7" s="6">
        <v>130213000000000</v>
      </c>
      <c r="AD7" s="6">
        <v>14406400000</v>
      </c>
      <c r="AE7" s="6">
        <v>0</v>
      </c>
      <c r="AF7" s="6">
        <v>0</v>
      </c>
      <c r="AG7" s="6">
        <v>2</v>
      </c>
      <c r="AH7" s="6">
        <v>27883100000000</v>
      </c>
      <c r="AI7" s="6">
        <v>27641000000000</v>
      </c>
      <c r="AJ7" s="6">
        <v>26810000000000</v>
      </c>
      <c r="AK7" s="6">
        <v>27761100000000</v>
      </c>
      <c r="AL7" s="6">
        <v>20115700000000</v>
      </c>
      <c r="AN7" s="6">
        <f t="shared" si="0"/>
        <v>0.00588823</v>
      </c>
      <c r="AO7" s="6">
        <f t="shared" si="1"/>
        <v>130502000000000</v>
      </c>
      <c r="AP7" s="6">
        <f t="shared" si="2"/>
        <v>128443000000000</v>
      </c>
      <c r="AQ7" s="6">
        <f t="shared" si="3"/>
        <v>132850000000000</v>
      </c>
      <c r="AR7" s="6">
        <f t="shared" si="4"/>
        <v>21687200000000</v>
      </c>
      <c r="AS7" s="6">
        <f t="shared" si="5"/>
        <v>18643400000000</v>
      </c>
      <c r="AT7" s="6">
        <f t="shared" si="6"/>
        <v>26302500000000</v>
      </c>
    </row>
    <row r="8" customHeight="1" spans="1:46">
      <c r="A8" s="6">
        <v>0.00700253</v>
      </c>
      <c r="B8" s="6">
        <v>0.00771032</v>
      </c>
      <c r="C8" s="6">
        <v>128655000000000</v>
      </c>
      <c r="D8" s="6">
        <v>37009300000</v>
      </c>
      <c r="E8" s="6">
        <v>0</v>
      </c>
      <c r="F8" s="6">
        <v>0</v>
      </c>
      <c r="G8" s="6">
        <v>2</v>
      </c>
      <c r="H8" s="6">
        <v>28075100000000</v>
      </c>
      <c r="I8" s="6">
        <v>26810900000000</v>
      </c>
      <c r="J8" s="6">
        <v>28166900000000</v>
      </c>
      <c r="K8" s="6">
        <v>27034800000000</v>
      </c>
      <c r="L8" s="6">
        <v>18567100000000</v>
      </c>
      <c r="N8" s="6">
        <v>0.00703084</v>
      </c>
      <c r="O8" s="6">
        <v>0.00789999</v>
      </c>
      <c r="P8" s="6">
        <v>131671000000000</v>
      </c>
      <c r="Q8" s="6">
        <v>199981000000</v>
      </c>
      <c r="R8" s="6">
        <v>0</v>
      </c>
      <c r="S8" s="6">
        <v>0</v>
      </c>
      <c r="T8" s="6">
        <v>2</v>
      </c>
      <c r="U8" s="6">
        <v>26467300000000</v>
      </c>
      <c r="V8" s="6">
        <v>24994900000000</v>
      </c>
      <c r="W8" s="6">
        <v>26125000000000</v>
      </c>
      <c r="X8" s="6">
        <v>26526300000000</v>
      </c>
      <c r="Y8" s="6">
        <v>27520500000000</v>
      </c>
      <c r="AA8" s="6">
        <v>0.00705237</v>
      </c>
      <c r="AB8" s="6">
        <v>0.00786864</v>
      </c>
      <c r="AC8" s="6">
        <v>130737000000000</v>
      </c>
      <c r="AD8" s="6">
        <v>9163660000</v>
      </c>
      <c r="AE8" s="6">
        <v>0</v>
      </c>
      <c r="AF8" s="6">
        <v>0</v>
      </c>
      <c r="AG8" s="6">
        <v>2</v>
      </c>
      <c r="AH8" s="6">
        <v>28016400000000</v>
      </c>
      <c r="AI8" s="6">
        <v>27814700000000</v>
      </c>
      <c r="AJ8" s="6">
        <v>27365200000000</v>
      </c>
      <c r="AK8" s="6">
        <v>27728100000000</v>
      </c>
      <c r="AL8" s="6">
        <v>19812200000000</v>
      </c>
      <c r="AN8" s="6">
        <f t="shared" si="0"/>
        <v>0.00700253</v>
      </c>
      <c r="AO8" s="6">
        <f t="shared" si="1"/>
        <v>130354333333333</v>
      </c>
      <c r="AP8" s="6">
        <f t="shared" si="2"/>
        <v>128655000000000</v>
      </c>
      <c r="AQ8" s="6">
        <f t="shared" si="3"/>
        <v>131671000000000</v>
      </c>
      <c r="AR8" s="6">
        <f t="shared" si="4"/>
        <v>21966600000000</v>
      </c>
      <c r="AS8" s="6">
        <f t="shared" si="5"/>
        <v>18567100000000</v>
      </c>
      <c r="AT8" s="6">
        <f t="shared" si="6"/>
        <v>27520500000000</v>
      </c>
    </row>
    <row r="9" customHeight="1" spans="1:46">
      <c r="A9" s="6">
        <v>0.00808125</v>
      </c>
      <c r="B9" s="6">
        <v>0.00883247</v>
      </c>
      <c r="C9" s="6">
        <v>128312000000000</v>
      </c>
      <c r="D9" s="6">
        <v>10869300000</v>
      </c>
      <c r="E9" s="6">
        <v>0</v>
      </c>
      <c r="F9" s="6">
        <v>0</v>
      </c>
      <c r="G9" s="6">
        <v>2</v>
      </c>
      <c r="H9" s="6">
        <v>28512500000000</v>
      </c>
      <c r="I9" s="6">
        <v>27226600000000</v>
      </c>
      <c r="J9" s="6">
        <v>28201100000000</v>
      </c>
      <c r="K9" s="6">
        <v>27486900000000</v>
      </c>
      <c r="L9" s="6">
        <v>16884800000000</v>
      </c>
      <c r="N9" s="6">
        <v>0.00797811</v>
      </c>
      <c r="O9" s="6">
        <v>0.00882359</v>
      </c>
      <c r="P9" s="6">
        <v>130929000000000</v>
      </c>
      <c r="Q9" s="6">
        <v>20329300000</v>
      </c>
      <c r="R9" s="6">
        <v>0</v>
      </c>
      <c r="S9" s="6">
        <v>0</v>
      </c>
      <c r="T9" s="6">
        <v>2</v>
      </c>
      <c r="U9" s="6">
        <v>26462100000000</v>
      </c>
      <c r="V9" s="6">
        <v>25520700000000</v>
      </c>
      <c r="W9" s="6">
        <v>26889800000000</v>
      </c>
      <c r="X9" s="6">
        <v>26876800000000</v>
      </c>
      <c r="Y9" s="6">
        <v>25164300000000</v>
      </c>
      <c r="AA9" s="6">
        <v>0.00808073</v>
      </c>
      <c r="AB9" s="6">
        <v>0.00889849</v>
      </c>
      <c r="AC9" s="6">
        <v>130386000000000</v>
      </c>
      <c r="AD9" s="6">
        <v>13772400000</v>
      </c>
      <c r="AE9" s="6">
        <v>0</v>
      </c>
      <c r="AF9" s="6">
        <v>0</v>
      </c>
      <c r="AG9" s="6">
        <v>2</v>
      </c>
      <c r="AH9" s="6">
        <v>28244800000000</v>
      </c>
      <c r="AI9" s="6">
        <v>27676000000000</v>
      </c>
      <c r="AJ9" s="6">
        <v>27600000000000</v>
      </c>
      <c r="AK9" s="6">
        <v>28314700000000</v>
      </c>
      <c r="AL9" s="6">
        <v>18549100000000</v>
      </c>
      <c r="AN9" s="6">
        <f t="shared" si="0"/>
        <v>0.00808125</v>
      </c>
      <c r="AO9" s="6">
        <f t="shared" si="1"/>
        <v>129875666666667</v>
      </c>
      <c r="AP9" s="6">
        <f t="shared" si="2"/>
        <v>128312000000000</v>
      </c>
      <c r="AQ9" s="6">
        <f t="shared" si="3"/>
        <v>130929000000000</v>
      </c>
      <c r="AR9" s="6">
        <f t="shared" si="4"/>
        <v>20199400000000</v>
      </c>
      <c r="AS9" s="6">
        <f t="shared" si="5"/>
        <v>16884800000000</v>
      </c>
      <c r="AT9" s="6">
        <f t="shared" si="6"/>
        <v>25164300000000</v>
      </c>
    </row>
    <row r="10" customHeight="1" spans="1:46">
      <c r="A10" s="6">
        <v>0.00900344</v>
      </c>
      <c r="B10" s="6">
        <v>0.00975394</v>
      </c>
      <c r="C10" s="6">
        <v>127876000000000</v>
      </c>
      <c r="D10" s="6">
        <v>15473000000</v>
      </c>
      <c r="E10" s="6">
        <v>0</v>
      </c>
      <c r="F10" s="6">
        <v>0</v>
      </c>
      <c r="G10" s="6">
        <v>2</v>
      </c>
      <c r="H10" s="6">
        <v>28569100000000</v>
      </c>
      <c r="I10" s="6">
        <v>27555100000000</v>
      </c>
      <c r="J10" s="6">
        <v>28091500000000</v>
      </c>
      <c r="K10" s="6">
        <v>26807900000000</v>
      </c>
      <c r="L10" s="6">
        <v>16852400000000</v>
      </c>
      <c r="N10" s="6">
        <v>0.00899288</v>
      </c>
      <c r="O10" s="6">
        <v>0.00987207</v>
      </c>
      <c r="P10" s="6">
        <v>130240000000000</v>
      </c>
      <c r="Q10" s="6">
        <v>10189600000</v>
      </c>
      <c r="R10" s="6">
        <v>0</v>
      </c>
      <c r="S10" s="6">
        <v>0</v>
      </c>
      <c r="T10" s="6">
        <v>2</v>
      </c>
      <c r="U10" s="6">
        <v>25245300000000</v>
      </c>
      <c r="V10" s="6">
        <v>25034200000000</v>
      </c>
      <c r="W10" s="6">
        <v>26509100000000</v>
      </c>
      <c r="X10" s="6">
        <v>27130100000000</v>
      </c>
      <c r="Y10" s="6">
        <v>26321500000000</v>
      </c>
      <c r="AA10" s="6">
        <v>0.00908066</v>
      </c>
      <c r="AB10" s="6">
        <v>0.00985999</v>
      </c>
      <c r="AC10" s="6">
        <v>130294000000000</v>
      </c>
      <c r="AD10" s="6">
        <v>52548600000</v>
      </c>
      <c r="AE10" s="6">
        <v>0</v>
      </c>
      <c r="AF10" s="6">
        <v>0</v>
      </c>
      <c r="AG10" s="6">
        <v>2</v>
      </c>
      <c r="AH10" s="6">
        <v>28597600000000</v>
      </c>
      <c r="AI10" s="6">
        <v>27353200000000</v>
      </c>
      <c r="AJ10" s="6">
        <v>27579100000000</v>
      </c>
      <c r="AK10" s="6">
        <v>27934500000000</v>
      </c>
      <c r="AL10" s="6">
        <v>18828400000000</v>
      </c>
      <c r="AN10" s="6">
        <f t="shared" si="0"/>
        <v>0.00900344</v>
      </c>
      <c r="AO10" s="6">
        <f t="shared" si="1"/>
        <v>129470000000000</v>
      </c>
      <c r="AP10" s="6">
        <f t="shared" si="2"/>
        <v>127876000000000</v>
      </c>
      <c r="AQ10" s="6">
        <f t="shared" si="3"/>
        <v>130294000000000</v>
      </c>
      <c r="AR10" s="6">
        <f t="shared" si="4"/>
        <v>20667433333333.3</v>
      </c>
      <c r="AS10" s="6">
        <f t="shared" si="5"/>
        <v>16852400000000</v>
      </c>
      <c r="AT10" s="6">
        <f t="shared" si="6"/>
        <v>26321500000000</v>
      </c>
    </row>
    <row r="11" customHeight="1" spans="1:46">
      <c r="A11" s="6">
        <v>0.00983994</v>
      </c>
      <c r="B11" s="6">
        <v>0.0106007</v>
      </c>
      <c r="C11" s="6">
        <v>127798000000000</v>
      </c>
      <c r="D11" s="6">
        <v>20887900000</v>
      </c>
      <c r="E11" s="6">
        <v>0</v>
      </c>
      <c r="F11" s="6">
        <v>0</v>
      </c>
      <c r="G11" s="6">
        <v>2</v>
      </c>
      <c r="H11" s="6">
        <v>28182300000000</v>
      </c>
      <c r="I11" s="6">
        <v>27005400000000</v>
      </c>
      <c r="J11" s="6">
        <v>27648200000000</v>
      </c>
      <c r="K11" s="6">
        <v>26171300000000</v>
      </c>
      <c r="L11" s="6">
        <v>18790200000000</v>
      </c>
      <c r="N11" s="6">
        <v>0.0099876</v>
      </c>
      <c r="O11" s="6">
        <v>0.0108629</v>
      </c>
      <c r="P11" s="6">
        <v>131620000000000</v>
      </c>
      <c r="Q11" s="6">
        <v>12422100000</v>
      </c>
      <c r="R11" s="6">
        <v>0</v>
      </c>
      <c r="S11" s="6">
        <v>0</v>
      </c>
      <c r="T11" s="6">
        <v>2</v>
      </c>
      <c r="U11" s="6">
        <v>25548800000000</v>
      </c>
      <c r="V11" s="6">
        <v>26161700000000</v>
      </c>
      <c r="W11" s="6">
        <v>26832700000000</v>
      </c>
      <c r="X11" s="6">
        <v>27507400000000</v>
      </c>
      <c r="Y11" s="6">
        <v>25566000000000</v>
      </c>
      <c r="AA11" s="6">
        <v>0.0100073</v>
      </c>
      <c r="AB11" s="6">
        <v>0.0107966</v>
      </c>
      <c r="AC11" s="6">
        <v>130647000000000</v>
      </c>
      <c r="AD11" s="6">
        <v>8177290000</v>
      </c>
      <c r="AE11" s="6">
        <v>0</v>
      </c>
      <c r="AF11" s="6">
        <v>0</v>
      </c>
      <c r="AG11" s="6">
        <v>2</v>
      </c>
      <c r="AH11" s="6">
        <v>28612300000000</v>
      </c>
      <c r="AI11" s="6">
        <v>28061200000000</v>
      </c>
      <c r="AJ11" s="6">
        <v>27725400000000</v>
      </c>
      <c r="AK11" s="6">
        <v>28548600000000</v>
      </c>
      <c r="AL11" s="6">
        <v>17689500000000</v>
      </c>
      <c r="AN11" s="6">
        <f t="shared" si="0"/>
        <v>0.00983994</v>
      </c>
      <c r="AO11" s="6">
        <f t="shared" si="1"/>
        <v>130021666666667</v>
      </c>
      <c r="AP11" s="6">
        <f t="shared" si="2"/>
        <v>127798000000000</v>
      </c>
      <c r="AQ11" s="6">
        <f t="shared" si="3"/>
        <v>131620000000000</v>
      </c>
      <c r="AR11" s="6">
        <f t="shared" si="4"/>
        <v>20681900000000</v>
      </c>
      <c r="AS11" s="6">
        <f t="shared" si="5"/>
        <v>17689500000000</v>
      </c>
      <c r="AT11" s="6">
        <f t="shared" si="6"/>
        <v>25566000000000</v>
      </c>
    </row>
    <row r="12" customHeight="1" spans="1:46">
      <c r="A12" s="6">
        <v>0.0109546</v>
      </c>
      <c r="B12" s="6">
        <v>0.0117092</v>
      </c>
      <c r="C12" s="6">
        <v>128406000000000</v>
      </c>
      <c r="D12" s="6">
        <v>14925200000</v>
      </c>
      <c r="E12" s="6">
        <v>0</v>
      </c>
      <c r="F12" s="6">
        <v>0</v>
      </c>
      <c r="G12" s="6">
        <v>2</v>
      </c>
      <c r="H12" s="6">
        <v>28958300000000</v>
      </c>
      <c r="I12" s="6">
        <v>27138600000000</v>
      </c>
      <c r="J12" s="6">
        <v>27857300000000</v>
      </c>
      <c r="K12" s="6">
        <v>26885000000000</v>
      </c>
      <c r="L12" s="6">
        <v>17566800000000</v>
      </c>
      <c r="N12" s="6">
        <v>0.0109844</v>
      </c>
      <c r="O12" s="6">
        <v>0.0118584</v>
      </c>
      <c r="P12" s="6">
        <v>133996000000000</v>
      </c>
      <c r="Q12" s="6">
        <v>15732300000</v>
      </c>
      <c r="R12" s="6">
        <v>0</v>
      </c>
      <c r="S12" s="6">
        <v>0</v>
      </c>
      <c r="T12" s="6">
        <v>2</v>
      </c>
      <c r="U12" s="6">
        <v>26013800000000</v>
      </c>
      <c r="V12" s="6">
        <v>28426200000000</v>
      </c>
      <c r="W12" s="6">
        <v>27617900000000</v>
      </c>
      <c r="X12" s="6">
        <v>28835200000000</v>
      </c>
      <c r="Y12" s="6">
        <v>23100800000000</v>
      </c>
      <c r="AA12" s="6">
        <v>0.0110286</v>
      </c>
      <c r="AB12" s="6">
        <v>0.0118127</v>
      </c>
      <c r="AC12" s="6">
        <v>130392000000000</v>
      </c>
      <c r="AD12" s="6">
        <v>10851000000</v>
      </c>
      <c r="AE12" s="6">
        <v>0</v>
      </c>
      <c r="AF12" s="6">
        <v>0</v>
      </c>
      <c r="AG12" s="6">
        <v>2</v>
      </c>
      <c r="AH12" s="6">
        <v>28177100000000</v>
      </c>
      <c r="AI12" s="6">
        <v>28240600000000</v>
      </c>
      <c r="AJ12" s="6">
        <v>27534300000000</v>
      </c>
      <c r="AK12" s="6">
        <v>28972200000000</v>
      </c>
      <c r="AL12" s="6">
        <v>17465600000000</v>
      </c>
      <c r="AN12" s="6">
        <f t="shared" si="0"/>
        <v>0.0109546</v>
      </c>
      <c r="AO12" s="6">
        <f t="shared" si="1"/>
        <v>130931333333333</v>
      </c>
      <c r="AP12" s="6">
        <f t="shared" si="2"/>
        <v>128406000000000</v>
      </c>
      <c r="AQ12" s="6">
        <f t="shared" si="3"/>
        <v>133996000000000</v>
      </c>
      <c r="AR12" s="6">
        <f t="shared" si="4"/>
        <v>19377733333333.3</v>
      </c>
      <c r="AS12" s="6">
        <f t="shared" si="5"/>
        <v>17465600000000</v>
      </c>
      <c r="AT12" s="6">
        <f t="shared" si="6"/>
        <v>23100800000000</v>
      </c>
    </row>
    <row r="13" customHeight="1" spans="1:46">
      <c r="A13" s="6">
        <v>0.0120175</v>
      </c>
      <c r="B13" s="6">
        <v>0.0127229</v>
      </c>
      <c r="C13" s="6">
        <v>128001000000000</v>
      </c>
      <c r="D13" s="6">
        <v>18592800000</v>
      </c>
      <c r="E13" s="6">
        <v>0</v>
      </c>
      <c r="F13" s="6">
        <v>0</v>
      </c>
      <c r="G13" s="6">
        <v>2</v>
      </c>
      <c r="H13" s="6">
        <v>28655200000000</v>
      </c>
      <c r="I13" s="6">
        <v>27224100000000</v>
      </c>
      <c r="J13" s="6">
        <v>27798700000000</v>
      </c>
      <c r="K13" s="6">
        <v>27387000000000</v>
      </c>
      <c r="L13" s="6">
        <v>16934600000000</v>
      </c>
      <c r="N13" s="6">
        <v>0.0119833</v>
      </c>
      <c r="O13" s="6">
        <v>0.0128307</v>
      </c>
      <c r="P13" s="6">
        <v>135111000000000</v>
      </c>
      <c r="Q13" s="6">
        <v>13181200000</v>
      </c>
      <c r="R13" s="6">
        <v>0</v>
      </c>
      <c r="S13" s="6">
        <v>0</v>
      </c>
      <c r="T13" s="6">
        <v>2</v>
      </c>
      <c r="U13" s="6">
        <v>26784800000000</v>
      </c>
      <c r="V13" s="6">
        <v>26818000000000</v>
      </c>
      <c r="W13" s="6">
        <v>27824800000000</v>
      </c>
      <c r="X13" s="6">
        <v>27954300000000</v>
      </c>
      <c r="Y13" s="6">
        <v>25728400000000</v>
      </c>
      <c r="AA13" s="6">
        <v>0.0120155</v>
      </c>
      <c r="AB13" s="6">
        <v>0.0127948</v>
      </c>
      <c r="AC13" s="6">
        <v>130519000000000</v>
      </c>
      <c r="AD13" s="6">
        <v>3482290000</v>
      </c>
      <c r="AE13" s="6">
        <v>0</v>
      </c>
      <c r="AF13" s="6">
        <v>0</v>
      </c>
      <c r="AG13" s="6">
        <v>2</v>
      </c>
      <c r="AH13" s="6">
        <v>28566600000000</v>
      </c>
      <c r="AI13" s="6">
        <v>27712300000000</v>
      </c>
      <c r="AJ13" s="6">
        <v>27841700000000</v>
      </c>
      <c r="AK13" s="6">
        <v>28372900000000</v>
      </c>
      <c r="AL13" s="6">
        <v>18019200000000</v>
      </c>
      <c r="AN13" s="6">
        <f t="shared" si="0"/>
        <v>0.0120175</v>
      </c>
      <c r="AO13" s="6">
        <f t="shared" si="1"/>
        <v>131210333333333</v>
      </c>
      <c r="AP13" s="6">
        <f t="shared" si="2"/>
        <v>128001000000000</v>
      </c>
      <c r="AQ13" s="6">
        <f t="shared" si="3"/>
        <v>135111000000000</v>
      </c>
      <c r="AR13" s="6">
        <f t="shared" si="4"/>
        <v>20227400000000</v>
      </c>
      <c r="AS13" s="6">
        <f t="shared" si="5"/>
        <v>16934600000000</v>
      </c>
      <c r="AT13" s="6">
        <f t="shared" si="6"/>
        <v>25728400000000</v>
      </c>
    </row>
    <row r="14" customHeight="1" spans="1:46">
      <c r="A14" s="6">
        <v>0.0130162</v>
      </c>
      <c r="B14" s="6">
        <v>0.0136786</v>
      </c>
      <c r="C14" s="6">
        <v>127573000000000</v>
      </c>
      <c r="D14" s="6">
        <v>51601000000</v>
      </c>
      <c r="E14" s="6">
        <v>0</v>
      </c>
      <c r="F14" s="6">
        <v>0</v>
      </c>
      <c r="G14" s="6">
        <v>2</v>
      </c>
      <c r="H14" s="6">
        <v>27938500000000</v>
      </c>
      <c r="I14" s="6">
        <v>27113900000000</v>
      </c>
      <c r="J14" s="6">
        <v>27657300000000</v>
      </c>
      <c r="K14" s="6">
        <v>26849800000000</v>
      </c>
      <c r="L14" s="6">
        <v>18010700000000</v>
      </c>
      <c r="N14" s="6">
        <v>0.0130141</v>
      </c>
      <c r="O14" s="6">
        <v>0.0138522</v>
      </c>
      <c r="P14" s="6">
        <v>135744000000000</v>
      </c>
      <c r="Q14" s="6">
        <v>16454700000</v>
      </c>
      <c r="R14" s="6">
        <v>0</v>
      </c>
      <c r="S14" s="6">
        <v>0</v>
      </c>
      <c r="T14" s="6">
        <v>2</v>
      </c>
      <c r="U14" s="6">
        <v>26125500000000</v>
      </c>
      <c r="V14" s="6">
        <v>25986300000000</v>
      </c>
      <c r="W14" s="6">
        <v>26950300000000</v>
      </c>
      <c r="X14" s="6">
        <v>28365300000000</v>
      </c>
      <c r="Y14" s="6">
        <v>28312300000000</v>
      </c>
      <c r="AA14" s="6">
        <v>0.0129099</v>
      </c>
      <c r="AB14" s="6">
        <v>0.0137227</v>
      </c>
      <c r="AC14" s="6">
        <v>130435000000000</v>
      </c>
      <c r="AD14" s="6">
        <v>20171900000</v>
      </c>
      <c r="AE14" s="6">
        <v>0</v>
      </c>
      <c r="AF14" s="6">
        <v>0</v>
      </c>
      <c r="AG14" s="6">
        <v>2</v>
      </c>
      <c r="AH14" s="6">
        <v>28264300000000</v>
      </c>
      <c r="AI14" s="6">
        <v>27359700000000</v>
      </c>
      <c r="AJ14" s="6">
        <v>27891500000000</v>
      </c>
      <c r="AK14" s="6">
        <v>27516300000000</v>
      </c>
      <c r="AL14" s="6">
        <v>19401000000000</v>
      </c>
      <c r="AN14" s="6">
        <f t="shared" si="0"/>
        <v>0.0130162</v>
      </c>
      <c r="AO14" s="6">
        <f t="shared" si="1"/>
        <v>131250666666667</v>
      </c>
      <c r="AP14" s="6">
        <f t="shared" si="2"/>
        <v>127573000000000</v>
      </c>
      <c r="AQ14" s="6">
        <f t="shared" si="3"/>
        <v>135744000000000</v>
      </c>
      <c r="AR14" s="6">
        <f t="shared" si="4"/>
        <v>21908000000000</v>
      </c>
      <c r="AS14" s="6">
        <f t="shared" si="5"/>
        <v>18010700000000</v>
      </c>
      <c r="AT14" s="6">
        <f t="shared" si="6"/>
        <v>28312300000000</v>
      </c>
    </row>
    <row r="15" customHeight="1" spans="1:46">
      <c r="A15" s="6">
        <v>0.014014</v>
      </c>
      <c r="B15" s="6">
        <v>0.0146993</v>
      </c>
      <c r="C15" s="6">
        <v>127810000000000</v>
      </c>
      <c r="D15" s="6">
        <v>16193500000</v>
      </c>
      <c r="E15" s="6">
        <v>0</v>
      </c>
      <c r="F15" s="6">
        <v>0</v>
      </c>
      <c r="G15" s="6">
        <v>2</v>
      </c>
      <c r="H15" s="6">
        <v>27498400000000</v>
      </c>
      <c r="I15" s="6">
        <v>26694100000000</v>
      </c>
      <c r="J15" s="6">
        <v>28090800000000</v>
      </c>
      <c r="K15" s="6">
        <v>26727200000000</v>
      </c>
      <c r="L15" s="6">
        <v>18799400000000</v>
      </c>
      <c r="N15" s="6">
        <v>0.0139991</v>
      </c>
      <c r="O15" s="6">
        <v>0.0148228</v>
      </c>
      <c r="P15" s="6">
        <v>132913000000000</v>
      </c>
      <c r="Q15" s="6">
        <v>14179500000</v>
      </c>
      <c r="R15" s="6">
        <v>0</v>
      </c>
      <c r="S15" s="6">
        <v>0</v>
      </c>
      <c r="T15" s="6">
        <v>2</v>
      </c>
      <c r="U15" s="6">
        <v>24521700000000</v>
      </c>
      <c r="V15" s="6">
        <v>24389500000000</v>
      </c>
      <c r="W15" s="6">
        <v>26958500000000</v>
      </c>
      <c r="X15" s="6">
        <v>27198300000000</v>
      </c>
      <c r="Y15" s="6">
        <v>29842700000000</v>
      </c>
      <c r="AA15" s="6">
        <v>0.0139741</v>
      </c>
      <c r="AB15" s="6">
        <v>0.0147758</v>
      </c>
      <c r="AC15" s="6">
        <v>130206000000000</v>
      </c>
      <c r="AD15" s="6">
        <v>38324800000</v>
      </c>
      <c r="AE15" s="6">
        <v>0</v>
      </c>
      <c r="AF15" s="6">
        <v>0</v>
      </c>
      <c r="AG15" s="6">
        <v>2</v>
      </c>
      <c r="AH15" s="6">
        <v>27964900000000</v>
      </c>
      <c r="AI15" s="6">
        <v>26779900000000</v>
      </c>
      <c r="AJ15" s="6">
        <v>27732500000000</v>
      </c>
      <c r="AK15" s="6">
        <v>27706300000000</v>
      </c>
      <c r="AL15" s="6">
        <v>20020900000000</v>
      </c>
      <c r="AN15" s="6">
        <f t="shared" si="0"/>
        <v>0.014014</v>
      </c>
      <c r="AO15" s="6">
        <f t="shared" si="1"/>
        <v>130309666666667</v>
      </c>
      <c r="AP15" s="6">
        <f t="shared" si="2"/>
        <v>127810000000000</v>
      </c>
      <c r="AQ15" s="6">
        <f t="shared" si="3"/>
        <v>132913000000000</v>
      </c>
      <c r="AR15" s="6">
        <f t="shared" si="4"/>
        <v>22887666666666.7</v>
      </c>
      <c r="AS15" s="6">
        <f t="shared" si="5"/>
        <v>18799400000000</v>
      </c>
      <c r="AT15" s="6">
        <f t="shared" si="6"/>
        <v>29842700000000</v>
      </c>
    </row>
    <row r="16" customHeight="1" spans="1:46">
      <c r="A16" s="6">
        <v>0.015016</v>
      </c>
      <c r="B16" s="6">
        <v>0.0157321</v>
      </c>
      <c r="C16" s="6">
        <v>128215000000000</v>
      </c>
      <c r="D16" s="6">
        <v>16114600000</v>
      </c>
      <c r="E16" s="6">
        <v>0</v>
      </c>
      <c r="F16" s="6">
        <v>0</v>
      </c>
      <c r="G16" s="6">
        <v>2</v>
      </c>
      <c r="H16" s="6">
        <v>27631700000000</v>
      </c>
      <c r="I16" s="6">
        <v>27069000000000</v>
      </c>
      <c r="J16" s="6">
        <v>28023400000000</v>
      </c>
      <c r="K16" s="6">
        <v>26714400000000</v>
      </c>
      <c r="L16" s="6">
        <v>18776300000000</v>
      </c>
      <c r="N16" s="6">
        <v>0.0149295</v>
      </c>
      <c r="O16" s="6">
        <v>0.0158514</v>
      </c>
      <c r="P16" s="6">
        <v>134018000000000</v>
      </c>
      <c r="Q16" s="6">
        <v>58911200000</v>
      </c>
      <c r="R16" s="6">
        <v>0</v>
      </c>
      <c r="S16" s="6">
        <v>0</v>
      </c>
      <c r="T16" s="6">
        <v>2</v>
      </c>
      <c r="U16" s="6">
        <v>23548700000000</v>
      </c>
      <c r="V16" s="6">
        <v>25022500000000</v>
      </c>
      <c r="W16" s="6">
        <v>26851500000000</v>
      </c>
      <c r="X16" s="6">
        <v>28102200000000</v>
      </c>
      <c r="Y16" s="6">
        <v>30491000000000</v>
      </c>
      <c r="AA16" s="6">
        <v>0.0150037</v>
      </c>
      <c r="AB16" s="6">
        <v>0.0157324</v>
      </c>
      <c r="AC16" s="6">
        <v>129364000000000</v>
      </c>
      <c r="AD16" s="6">
        <v>12905100000</v>
      </c>
      <c r="AE16" s="6">
        <v>0</v>
      </c>
      <c r="AF16" s="6">
        <v>0</v>
      </c>
      <c r="AG16" s="6">
        <v>2</v>
      </c>
      <c r="AH16" s="6">
        <v>28021700000000</v>
      </c>
      <c r="AI16" s="6">
        <v>27613700000000</v>
      </c>
      <c r="AJ16" s="6">
        <v>27935000000000</v>
      </c>
      <c r="AK16" s="6">
        <v>27383400000000</v>
      </c>
      <c r="AL16" s="6">
        <v>18409100000000</v>
      </c>
      <c r="AN16" s="6">
        <f t="shared" si="0"/>
        <v>0.015016</v>
      </c>
      <c r="AO16" s="6">
        <f t="shared" si="1"/>
        <v>130532333333333</v>
      </c>
      <c r="AP16" s="6">
        <f t="shared" si="2"/>
        <v>128215000000000</v>
      </c>
      <c r="AQ16" s="6">
        <f t="shared" si="3"/>
        <v>134018000000000</v>
      </c>
      <c r="AR16" s="6">
        <f t="shared" si="4"/>
        <v>22558800000000</v>
      </c>
      <c r="AS16" s="6">
        <f t="shared" si="5"/>
        <v>18409100000000</v>
      </c>
      <c r="AT16" s="6">
        <f t="shared" si="6"/>
        <v>30491000000000</v>
      </c>
    </row>
    <row r="17" customHeight="1" spans="1:46">
      <c r="A17" s="6">
        <v>0.0160033</v>
      </c>
      <c r="B17" s="6">
        <v>0.0166995</v>
      </c>
      <c r="C17" s="6">
        <v>128202000000000</v>
      </c>
      <c r="D17" s="6">
        <v>12341800000</v>
      </c>
      <c r="E17" s="6">
        <v>0</v>
      </c>
      <c r="F17" s="6">
        <v>0</v>
      </c>
      <c r="G17" s="6">
        <v>2</v>
      </c>
      <c r="H17" s="6">
        <v>27988200000000</v>
      </c>
      <c r="I17" s="6">
        <v>26451400000000</v>
      </c>
      <c r="J17" s="6">
        <v>27688000000000</v>
      </c>
      <c r="K17" s="6">
        <v>26856600000000</v>
      </c>
      <c r="L17" s="6">
        <v>19217300000000</v>
      </c>
      <c r="N17" s="6">
        <v>0.0160176</v>
      </c>
      <c r="O17" s="6">
        <v>0.0168936</v>
      </c>
      <c r="P17" s="6">
        <v>135917000000000</v>
      </c>
      <c r="Q17" s="6">
        <v>48449700000</v>
      </c>
      <c r="R17" s="6">
        <v>0</v>
      </c>
      <c r="S17" s="6">
        <v>0</v>
      </c>
      <c r="T17" s="6">
        <v>2</v>
      </c>
      <c r="U17" s="6">
        <v>23705200000000</v>
      </c>
      <c r="V17" s="6">
        <v>24492400000000</v>
      </c>
      <c r="W17" s="6">
        <v>27581700000000</v>
      </c>
      <c r="X17" s="6">
        <v>27599900000000</v>
      </c>
      <c r="Y17" s="6">
        <v>32535900000000</v>
      </c>
      <c r="AA17" s="6">
        <v>0.0160084</v>
      </c>
      <c r="AB17" s="6">
        <v>0.0168093</v>
      </c>
      <c r="AC17" s="6">
        <v>130111000000000</v>
      </c>
      <c r="AD17" s="6">
        <v>20967300000</v>
      </c>
      <c r="AE17" s="6">
        <v>0</v>
      </c>
      <c r="AF17" s="6">
        <v>0</v>
      </c>
      <c r="AG17" s="6">
        <v>2</v>
      </c>
      <c r="AH17" s="6">
        <v>29172200000000</v>
      </c>
      <c r="AI17" s="6">
        <v>28042100000000</v>
      </c>
      <c r="AJ17" s="6">
        <v>28231700000000</v>
      </c>
      <c r="AK17" s="6">
        <v>28253000000000</v>
      </c>
      <c r="AL17" s="6">
        <v>16411500000000</v>
      </c>
      <c r="AN17" s="6">
        <f t="shared" si="0"/>
        <v>0.0160033</v>
      </c>
      <c r="AO17" s="6">
        <f t="shared" si="1"/>
        <v>131410000000000</v>
      </c>
      <c r="AP17" s="6">
        <f t="shared" si="2"/>
        <v>128202000000000</v>
      </c>
      <c r="AQ17" s="6">
        <f t="shared" si="3"/>
        <v>135917000000000</v>
      </c>
      <c r="AR17" s="6">
        <f t="shared" si="4"/>
        <v>22721566666666.7</v>
      </c>
      <c r="AS17" s="6">
        <f t="shared" si="5"/>
        <v>16411500000000</v>
      </c>
      <c r="AT17" s="6">
        <f t="shared" si="6"/>
        <v>32535900000000</v>
      </c>
    </row>
    <row r="18" customHeight="1" spans="1:46">
      <c r="A18" s="6">
        <v>0.0169705</v>
      </c>
      <c r="B18" s="6">
        <v>0.0176463</v>
      </c>
      <c r="C18" s="6">
        <v>128385000000000</v>
      </c>
      <c r="D18" s="6">
        <v>5184610000</v>
      </c>
      <c r="E18" s="6">
        <v>0</v>
      </c>
      <c r="F18" s="6">
        <v>0</v>
      </c>
      <c r="G18" s="6">
        <v>2</v>
      </c>
      <c r="H18" s="6">
        <v>27817700000000</v>
      </c>
      <c r="I18" s="6">
        <v>26342500000000</v>
      </c>
      <c r="J18" s="6">
        <v>27369100000000</v>
      </c>
      <c r="K18" s="6">
        <v>26760000000000</v>
      </c>
      <c r="L18" s="6">
        <v>20095400000000</v>
      </c>
      <c r="N18" s="6">
        <v>0.0169467</v>
      </c>
      <c r="O18" s="6">
        <v>0.0179304</v>
      </c>
      <c r="P18" s="6">
        <v>138548000000000</v>
      </c>
      <c r="Q18" s="6">
        <v>18718100000</v>
      </c>
      <c r="R18" s="6">
        <v>0</v>
      </c>
      <c r="S18" s="6">
        <v>0</v>
      </c>
      <c r="T18" s="6">
        <v>2</v>
      </c>
      <c r="U18" s="6">
        <v>22591900000000</v>
      </c>
      <c r="V18" s="6">
        <v>24233700000000</v>
      </c>
      <c r="W18" s="6">
        <v>28310400000000</v>
      </c>
      <c r="X18" s="6">
        <v>28233000000000</v>
      </c>
      <c r="Y18" s="6">
        <v>35175000000000</v>
      </c>
      <c r="AA18" s="6">
        <v>0.0169991</v>
      </c>
      <c r="AB18" s="6">
        <v>0.0177893</v>
      </c>
      <c r="AC18" s="6">
        <v>130767000000000</v>
      </c>
      <c r="AD18" s="6">
        <v>45466500000</v>
      </c>
      <c r="AE18" s="6">
        <v>0</v>
      </c>
      <c r="AF18" s="6">
        <v>0</v>
      </c>
      <c r="AG18" s="6">
        <v>2</v>
      </c>
      <c r="AH18" s="6">
        <v>29699300000000</v>
      </c>
      <c r="AI18" s="6">
        <v>27682000000000</v>
      </c>
      <c r="AJ18" s="6">
        <v>27767100000000</v>
      </c>
      <c r="AK18" s="6">
        <v>28297400000000</v>
      </c>
      <c r="AL18" s="6">
        <v>17320400000000</v>
      </c>
      <c r="AN18" s="6">
        <f t="shared" si="0"/>
        <v>0.0169705</v>
      </c>
      <c r="AO18" s="6">
        <f t="shared" si="1"/>
        <v>132566666666667</v>
      </c>
      <c r="AP18" s="6">
        <f t="shared" si="2"/>
        <v>128385000000000</v>
      </c>
      <c r="AQ18" s="6">
        <f t="shared" si="3"/>
        <v>138548000000000</v>
      </c>
      <c r="AR18" s="6">
        <f t="shared" si="4"/>
        <v>24196933333333.3</v>
      </c>
      <c r="AS18" s="6">
        <f t="shared" si="5"/>
        <v>17320400000000</v>
      </c>
      <c r="AT18" s="6">
        <f t="shared" si="6"/>
        <v>35175000000000</v>
      </c>
    </row>
    <row r="19" customHeight="1" spans="1:46">
      <c r="A19" s="6">
        <v>0.017963</v>
      </c>
      <c r="B19" s="6">
        <v>0.0186336</v>
      </c>
      <c r="C19" s="6">
        <v>127624000000000</v>
      </c>
      <c r="D19" s="6">
        <v>24354900000</v>
      </c>
      <c r="E19" s="6">
        <v>0</v>
      </c>
      <c r="F19" s="6">
        <v>0</v>
      </c>
      <c r="G19" s="6">
        <v>2</v>
      </c>
      <c r="H19" s="6">
        <v>27454700000000</v>
      </c>
      <c r="I19" s="6">
        <v>26658400000000</v>
      </c>
      <c r="J19" s="6">
        <v>27507500000000</v>
      </c>
      <c r="K19" s="6">
        <v>26013500000000</v>
      </c>
      <c r="L19" s="6">
        <v>19989500000000</v>
      </c>
      <c r="N19" s="6">
        <v>0.0179997</v>
      </c>
      <c r="O19" s="6">
        <v>0.0189587</v>
      </c>
      <c r="P19" s="6">
        <v>141679000000000</v>
      </c>
      <c r="Q19" s="6">
        <v>13484900000</v>
      </c>
      <c r="R19" s="6">
        <v>0</v>
      </c>
      <c r="S19" s="6">
        <v>0</v>
      </c>
      <c r="T19" s="6">
        <v>2</v>
      </c>
      <c r="U19" s="6">
        <v>22216300000000</v>
      </c>
      <c r="V19" s="6">
        <v>22771900000000</v>
      </c>
      <c r="W19" s="6">
        <v>28431400000000</v>
      </c>
      <c r="X19" s="6">
        <v>28746800000000</v>
      </c>
      <c r="Y19" s="6">
        <v>39506000000000</v>
      </c>
      <c r="AA19" s="6">
        <v>0.017996</v>
      </c>
      <c r="AB19" s="6">
        <v>0.0188412</v>
      </c>
      <c r="AC19" s="6">
        <v>130526000000000</v>
      </c>
      <c r="AD19" s="6">
        <v>5309710000</v>
      </c>
      <c r="AE19" s="6">
        <v>0</v>
      </c>
      <c r="AF19" s="6">
        <v>0</v>
      </c>
      <c r="AG19" s="6">
        <v>2</v>
      </c>
      <c r="AH19" s="6">
        <v>28968300000000</v>
      </c>
      <c r="AI19" s="6">
        <v>26784600000000</v>
      </c>
      <c r="AJ19" s="6">
        <v>27181900000000</v>
      </c>
      <c r="AK19" s="6">
        <v>28213600000000</v>
      </c>
      <c r="AL19" s="6">
        <v>19377800000000</v>
      </c>
      <c r="AN19" s="6">
        <f t="shared" si="0"/>
        <v>0.017963</v>
      </c>
      <c r="AO19" s="6">
        <f t="shared" si="1"/>
        <v>133276333333333</v>
      </c>
      <c r="AP19" s="6">
        <f t="shared" si="2"/>
        <v>127624000000000</v>
      </c>
      <c r="AQ19" s="6">
        <f t="shared" si="3"/>
        <v>141679000000000</v>
      </c>
      <c r="AR19" s="6">
        <f t="shared" si="4"/>
        <v>26291100000000</v>
      </c>
      <c r="AS19" s="6">
        <f t="shared" si="5"/>
        <v>19377800000000</v>
      </c>
      <c r="AT19" s="6">
        <f t="shared" si="6"/>
        <v>39506000000000</v>
      </c>
    </row>
    <row r="20" customHeight="1" spans="1:46">
      <c r="A20" s="6">
        <v>0.0190256</v>
      </c>
      <c r="B20" s="6">
        <v>0.0196894</v>
      </c>
      <c r="C20" s="6">
        <v>127607000000000</v>
      </c>
      <c r="D20" s="6">
        <v>13665200000</v>
      </c>
      <c r="E20" s="6">
        <v>0</v>
      </c>
      <c r="F20" s="6">
        <v>0</v>
      </c>
      <c r="G20" s="6">
        <v>2</v>
      </c>
      <c r="H20" s="6">
        <v>27089400000000</v>
      </c>
      <c r="I20" s="6">
        <v>27037400000000</v>
      </c>
      <c r="J20" s="6">
        <v>27366600000000</v>
      </c>
      <c r="K20" s="6">
        <v>26014500000000</v>
      </c>
      <c r="L20" s="6">
        <v>20098900000000</v>
      </c>
      <c r="N20" s="6">
        <v>0.0190322</v>
      </c>
      <c r="O20" s="6">
        <v>0.0198845</v>
      </c>
      <c r="P20" s="6">
        <v>144993000000000</v>
      </c>
      <c r="Q20" s="6">
        <v>8893240000</v>
      </c>
      <c r="R20" s="6">
        <v>0</v>
      </c>
      <c r="S20" s="6">
        <v>0</v>
      </c>
      <c r="T20" s="6">
        <v>2</v>
      </c>
      <c r="U20" s="6">
        <v>22059500000000</v>
      </c>
      <c r="V20" s="6">
        <v>24498700000000</v>
      </c>
      <c r="W20" s="6">
        <v>31266400000000</v>
      </c>
      <c r="X20" s="6">
        <v>29763600000000</v>
      </c>
      <c r="Y20" s="6">
        <v>37404000000000</v>
      </c>
      <c r="AA20" s="6">
        <v>0.0189916</v>
      </c>
      <c r="AB20" s="6">
        <v>0.0198161</v>
      </c>
      <c r="AC20" s="6">
        <v>132511000000000</v>
      </c>
      <c r="AD20" s="6">
        <v>6215720000</v>
      </c>
      <c r="AE20" s="6">
        <v>0</v>
      </c>
      <c r="AF20" s="6">
        <v>0</v>
      </c>
      <c r="AG20" s="6">
        <v>2</v>
      </c>
      <c r="AH20" s="6">
        <v>28290000000000</v>
      </c>
      <c r="AI20" s="6">
        <v>27623400000000</v>
      </c>
      <c r="AJ20" s="6">
        <v>28170700000000</v>
      </c>
      <c r="AK20" s="6">
        <v>28297900000000</v>
      </c>
      <c r="AL20" s="6">
        <v>20127100000000</v>
      </c>
      <c r="AN20" s="6">
        <f t="shared" si="0"/>
        <v>0.0190256</v>
      </c>
      <c r="AO20" s="6">
        <f t="shared" si="1"/>
        <v>135037000000000</v>
      </c>
      <c r="AP20" s="6">
        <f t="shared" si="2"/>
        <v>127607000000000</v>
      </c>
      <c r="AQ20" s="6">
        <f t="shared" si="3"/>
        <v>144993000000000</v>
      </c>
      <c r="AR20" s="6">
        <f t="shared" si="4"/>
        <v>25876666666666.7</v>
      </c>
      <c r="AS20" s="6">
        <f t="shared" si="5"/>
        <v>20098900000000</v>
      </c>
      <c r="AT20" s="6">
        <f t="shared" si="6"/>
        <v>37404000000000</v>
      </c>
    </row>
    <row r="21" customHeight="1" spans="1:46">
      <c r="A21" s="6">
        <v>0.0199899</v>
      </c>
      <c r="B21" s="6">
        <v>0.020679</v>
      </c>
      <c r="C21" s="6">
        <v>128747000000000</v>
      </c>
      <c r="D21" s="6">
        <v>21760000000</v>
      </c>
      <c r="E21" s="6">
        <v>0</v>
      </c>
      <c r="F21" s="6">
        <v>0</v>
      </c>
      <c r="G21" s="6">
        <v>2</v>
      </c>
      <c r="H21" s="6">
        <v>27413900000000</v>
      </c>
      <c r="I21" s="6">
        <v>26905200000000</v>
      </c>
      <c r="J21" s="6">
        <v>27628200000000</v>
      </c>
      <c r="K21" s="6">
        <v>26925800000000</v>
      </c>
      <c r="L21" s="6">
        <v>19874000000000</v>
      </c>
      <c r="N21" s="6">
        <v>0.0199931</v>
      </c>
      <c r="O21" s="6">
        <v>0.0208425</v>
      </c>
      <c r="P21" s="6">
        <v>145853000000000</v>
      </c>
      <c r="Q21" s="6">
        <v>11942300000</v>
      </c>
      <c r="R21" s="6">
        <v>0</v>
      </c>
      <c r="S21" s="6">
        <v>0</v>
      </c>
      <c r="T21" s="6">
        <v>2</v>
      </c>
      <c r="U21" s="6">
        <v>19546200000000</v>
      </c>
      <c r="V21" s="6">
        <v>24594400000000</v>
      </c>
      <c r="W21" s="6">
        <v>31953000000000</v>
      </c>
      <c r="X21" s="6">
        <v>29138600000000</v>
      </c>
      <c r="Y21" s="6">
        <v>40619000000000</v>
      </c>
      <c r="AA21" s="6">
        <v>0.0199893</v>
      </c>
      <c r="AB21" s="6">
        <v>0.0208344</v>
      </c>
      <c r="AC21" s="6">
        <v>131506000000000</v>
      </c>
      <c r="AD21" s="6">
        <v>8962480000</v>
      </c>
      <c r="AE21" s="6">
        <v>0</v>
      </c>
      <c r="AF21" s="6">
        <v>0</v>
      </c>
      <c r="AG21" s="6">
        <v>2</v>
      </c>
      <c r="AH21" s="6">
        <v>27135400000000</v>
      </c>
      <c r="AI21" s="6">
        <v>27539600000000</v>
      </c>
      <c r="AJ21" s="6">
        <v>27823300000000</v>
      </c>
      <c r="AK21" s="6">
        <v>27858100000000</v>
      </c>
      <c r="AL21" s="6">
        <v>21148300000000</v>
      </c>
      <c r="AN21" s="6">
        <f t="shared" si="0"/>
        <v>0.0199899</v>
      </c>
      <c r="AO21" s="6">
        <f t="shared" si="1"/>
        <v>135368666666667</v>
      </c>
      <c r="AP21" s="6">
        <f t="shared" si="2"/>
        <v>128747000000000</v>
      </c>
      <c r="AQ21" s="6">
        <f t="shared" si="3"/>
        <v>145853000000000</v>
      </c>
      <c r="AR21" s="6">
        <f t="shared" si="4"/>
        <v>27213766666666.7</v>
      </c>
      <c r="AS21" s="6">
        <f t="shared" si="5"/>
        <v>19874000000000</v>
      </c>
      <c r="AT21" s="6">
        <f t="shared" si="6"/>
        <v>40619000000000</v>
      </c>
    </row>
    <row r="22" customHeight="1" spans="1:46">
      <c r="A22" s="6">
        <v>0.0210189</v>
      </c>
      <c r="B22" s="6">
        <v>0.0216695</v>
      </c>
      <c r="C22" s="6">
        <v>128912000000000</v>
      </c>
      <c r="D22" s="6">
        <v>9840910000</v>
      </c>
      <c r="E22" s="6">
        <v>0</v>
      </c>
      <c r="F22" s="6">
        <v>0</v>
      </c>
      <c r="G22" s="6">
        <v>2</v>
      </c>
      <c r="H22" s="6">
        <v>27226400000000</v>
      </c>
      <c r="I22" s="6">
        <v>26815700000000</v>
      </c>
      <c r="J22" s="6">
        <v>28045800000000</v>
      </c>
      <c r="K22" s="6">
        <v>26912600000000</v>
      </c>
      <c r="L22" s="6">
        <v>19911600000000</v>
      </c>
      <c r="N22" s="6">
        <v>0.0209919</v>
      </c>
      <c r="O22" s="6">
        <v>0.0218466</v>
      </c>
      <c r="P22" s="6">
        <v>149437000000000</v>
      </c>
      <c r="Q22" s="6">
        <v>22600300000</v>
      </c>
      <c r="R22" s="6">
        <v>0</v>
      </c>
      <c r="S22" s="6">
        <v>0</v>
      </c>
      <c r="T22" s="6">
        <v>2</v>
      </c>
      <c r="U22" s="6">
        <v>21105700000000</v>
      </c>
      <c r="V22" s="6">
        <v>25906800000000</v>
      </c>
      <c r="W22" s="6">
        <v>31638100000000</v>
      </c>
      <c r="X22" s="6">
        <v>29476200000000</v>
      </c>
      <c r="Y22" s="6">
        <v>41309200000000</v>
      </c>
      <c r="AA22" s="6">
        <v>0.0210129</v>
      </c>
      <c r="AB22" s="6">
        <v>0.0218571</v>
      </c>
      <c r="AC22" s="6">
        <v>133799000000000</v>
      </c>
      <c r="AD22" s="6">
        <v>8907280000</v>
      </c>
      <c r="AE22" s="6">
        <v>0</v>
      </c>
      <c r="AF22" s="6">
        <v>0</v>
      </c>
      <c r="AG22" s="6">
        <v>2</v>
      </c>
      <c r="AH22" s="6">
        <v>28328900000000</v>
      </c>
      <c r="AI22" s="6">
        <v>27407200000000</v>
      </c>
      <c r="AJ22" s="6">
        <v>26735800000000</v>
      </c>
      <c r="AK22" s="6">
        <v>27893100000000</v>
      </c>
      <c r="AL22" s="6">
        <v>23432200000000</v>
      </c>
      <c r="AN22" s="6">
        <f t="shared" si="0"/>
        <v>0.0210189</v>
      </c>
      <c r="AO22" s="6">
        <f t="shared" si="1"/>
        <v>137382666666667</v>
      </c>
      <c r="AP22" s="6">
        <f t="shared" si="2"/>
        <v>128912000000000</v>
      </c>
      <c r="AQ22" s="6">
        <f t="shared" si="3"/>
        <v>149437000000000</v>
      </c>
      <c r="AR22" s="6">
        <f t="shared" si="4"/>
        <v>28217666666666.7</v>
      </c>
      <c r="AS22" s="6">
        <f t="shared" si="5"/>
        <v>19911600000000</v>
      </c>
      <c r="AT22" s="6">
        <f t="shared" si="6"/>
        <v>41309200000000</v>
      </c>
    </row>
    <row r="23" customHeight="1" spans="1:46">
      <c r="A23" s="6">
        <v>0.0220262</v>
      </c>
      <c r="B23" s="6">
        <v>0.0227023</v>
      </c>
      <c r="C23" s="6">
        <v>129414000000000</v>
      </c>
      <c r="D23" s="6">
        <v>8209990000</v>
      </c>
      <c r="E23" s="6">
        <v>0</v>
      </c>
      <c r="F23" s="6">
        <v>0</v>
      </c>
      <c r="G23" s="6">
        <v>2</v>
      </c>
      <c r="H23" s="6">
        <v>27245600000000</v>
      </c>
      <c r="I23" s="6">
        <v>26547800000000</v>
      </c>
      <c r="J23" s="6">
        <v>28064500000000</v>
      </c>
      <c r="K23" s="6">
        <v>26875700000000</v>
      </c>
      <c r="L23" s="6">
        <v>20680600000000</v>
      </c>
      <c r="N23" s="6">
        <v>0.0220331</v>
      </c>
      <c r="O23" s="6">
        <v>0.0228367</v>
      </c>
      <c r="P23" s="6">
        <v>154968000000000</v>
      </c>
      <c r="Q23" s="6">
        <v>5960060000</v>
      </c>
      <c r="R23" s="6">
        <v>0</v>
      </c>
      <c r="S23" s="6">
        <v>0</v>
      </c>
      <c r="T23" s="6">
        <v>2</v>
      </c>
      <c r="U23" s="6">
        <v>24400100000000</v>
      </c>
      <c r="V23" s="6">
        <v>27301100000000</v>
      </c>
      <c r="W23" s="6">
        <v>32402600000000</v>
      </c>
      <c r="X23" s="6">
        <v>29580300000000</v>
      </c>
      <c r="Y23" s="6">
        <v>41282200000000</v>
      </c>
      <c r="AA23" s="6">
        <v>0.0220072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N23" s="6">
        <f t="shared" si="0"/>
        <v>0.0220262</v>
      </c>
      <c r="AO23" s="6">
        <f t="shared" si="1"/>
        <v>94794000000000</v>
      </c>
      <c r="AP23" s="6">
        <f t="shared" si="2"/>
        <v>129414000000000</v>
      </c>
      <c r="AQ23" s="6">
        <f t="shared" si="3"/>
        <v>154968000000000</v>
      </c>
      <c r="AR23" s="6">
        <f t="shared" si="4"/>
        <v>20654266666666.7</v>
      </c>
      <c r="AS23" s="6">
        <f t="shared" si="5"/>
        <v>20680600000000</v>
      </c>
      <c r="AT23" s="6">
        <f t="shared" si="6"/>
        <v>41282200000000</v>
      </c>
    </row>
    <row r="24" customHeight="1" spans="1:46">
      <c r="A24" s="6">
        <v>0.0230102</v>
      </c>
      <c r="B24" s="6">
        <v>0.0236837</v>
      </c>
      <c r="C24" s="6">
        <v>130832000000000</v>
      </c>
      <c r="D24" s="6">
        <v>13800000000</v>
      </c>
      <c r="E24" s="6">
        <v>0</v>
      </c>
      <c r="F24" s="6">
        <v>0</v>
      </c>
      <c r="G24" s="6">
        <v>2</v>
      </c>
      <c r="H24" s="6">
        <v>27526600000000</v>
      </c>
      <c r="I24" s="6">
        <v>26648300000000</v>
      </c>
      <c r="J24" s="6">
        <v>28597900000000</v>
      </c>
      <c r="K24" s="6">
        <v>27842600000000</v>
      </c>
      <c r="L24" s="6">
        <v>20216400000000</v>
      </c>
      <c r="N24" s="6">
        <v>0.0229667</v>
      </c>
      <c r="O24" s="6">
        <v>0.0237291</v>
      </c>
      <c r="P24" s="6">
        <v>159273000000000</v>
      </c>
      <c r="Q24" s="6">
        <v>6583310000</v>
      </c>
      <c r="R24" s="6">
        <v>0</v>
      </c>
      <c r="S24" s="6">
        <v>0</v>
      </c>
      <c r="T24" s="6">
        <v>2</v>
      </c>
      <c r="U24" s="6">
        <v>24854100000000</v>
      </c>
      <c r="V24" s="6">
        <v>28512900000000</v>
      </c>
      <c r="W24" s="6">
        <v>34981900000000</v>
      </c>
      <c r="X24" s="6">
        <v>30941800000000</v>
      </c>
      <c r="Y24" s="6">
        <v>39981100000000</v>
      </c>
      <c r="AA24" s="6">
        <v>0.0229843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N24" s="6">
        <f t="shared" si="0"/>
        <v>0.0230102</v>
      </c>
      <c r="AO24" s="6">
        <f t="shared" si="1"/>
        <v>96701666666666.7</v>
      </c>
      <c r="AP24" s="6">
        <f t="shared" si="2"/>
        <v>130832000000000</v>
      </c>
      <c r="AQ24" s="6">
        <f t="shared" si="3"/>
        <v>159273000000000</v>
      </c>
      <c r="AR24" s="6">
        <f t="shared" si="4"/>
        <v>20065833333333.3</v>
      </c>
      <c r="AS24" s="6">
        <f t="shared" si="5"/>
        <v>20216400000000</v>
      </c>
      <c r="AT24" s="6">
        <f t="shared" si="6"/>
        <v>39981100000000</v>
      </c>
    </row>
    <row r="25" customHeight="1" spans="1:46">
      <c r="A25" s="6">
        <v>0.0239974</v>
      </c>
      <c r="B25" s="6">
        <v>0.0246909</v>
      </c>
      <c r="C25" s="6">
        <v>131312000000000</v>
      </c>
      <c r="D25" s="6">
        <v>25053200000</v>
      </c>
      <c r="E25" s="6">
        <v>0</v>
      </c>
      <c r="F25" s="6">
        <v>0</v>
      </c>
      <c r="G25" s="6">
        <v>2</v>
      </c>
      <c r="H25" s="6">
        <v>28139700000000</v>
      </c>
      <c r="I25" s="6">
        <v>26779600000000</v>
      </c>
      <c r="J25" s="6">
        <v>27789000000000</v>
      </c>
      <c r="K25" s="6">
        <v>28340800000000</v>
      </c>
      <c r="L25" s="6">
        <v>20260200000000</v>
      </c>
      <c r="N25" s="6">
        <v>0.0239774</v>
      </c>
      <c r="O25" s="6">
        <v>0.0247166</v>
      </c>
      <c r="P25" s="6">
        <v>166527000000000</v>
      </c>
      <c r="Q25" s="6">
        <v>2935630000</v>
      </c>
      <c r="R25" s="6">
        <v>0</v>
      </c>
      <c r="S25" s="6">
        <v>0</v>
      </c>
      <c r="T25" s="6">
        <v>2</v>
      </c>
      <c r="U25" s="6">
        <v>25089000000000</v>
      </c>
      <c r="V25" s="6">
        <v>28961400000000</v>
      </c>
      <c r="W25" s="6">
        <v>37145300000000</v>
      </c>
      <c r="X25" s="6">
        <v>32703200000000</v>
      </c>
      <c r="Y25" s="6">
        <v>42626100000000</v>
      </c>
      <c r="AA25" s="6">
        <v>0.0240046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N25" s="6">
        <f t="shared" si="0"/>
        <v>0.0239974</v>
      </c>
      <c r="AO25" s="6">
        <f t="shared" si="1"/>
        <v>99279666666666.7</v>
      </c>
      <c r="AP25" s="6">
        <f t="shared" si="2"/>
        <v>131312000000000</v>
      </c>
      <c r="AQ25" s="6">
        <f t="shared" si="3"/>
        <v>166527000000000</v>
      </c>
      <c r="AR25" s="6">
        <f t="shared" si="4"/>
        <v>20962100000000</v>
      </c>
      <c r="AS25" s="6">
        <f t="shared" si="5"/>
        <v>20260200000000</v>
      </c>
      <c r="AT25" s="6">
        <f t="shared" si="6"/>
        <v>42626100000000</v>
      </c>
    </row>
    <row r="26" customHeight="1" spans="1:46">
      <c r="A26" s="6">
        <v>0.0248874</v>
      </c>
      <c r="B26" s="6">
        <v>0.0255719</v>
      </c>
      <c r="C26" s="6">
        <v>131170000000000</v>
      </c>
      <c r="D26" s="6">
        <v>19829600000</v>
      </c>
      <c r="E26" s="6">
        <v>0</v>
      </c>
      <c r="F26" s="6">
        <v>0</v>
      </c>
      <c r="G26" s="6">
        <v>2</v>
      </c>
      <c r="H26" s="6">
        <v>28046900000000</v>
      </c>
      <c r="I26" s="6">
        <v>26854800000000</v>
      </c>
      <c r="J26" s="6">
        <v>27636600000000</v>
      </c>
      <c r="K26" s="6">
        <v>28220900000000</v>
      </c>
      <c r="L26" s="6">
        <v>20409700000000</v>
      </c>
      <c r="N26" s="6">
        <v>0.0250117</v>
      </c>
      <c r="O26" s="6">
        <v>0.0256698</v>
      </c>
      <c r="P26" s="6">
        <v>174015000000000</v>
      </c>
      <c r="Q26" s="6">
        <v>3179260000</v>
      </c>
      <c r="R26" s="6">
        <v>0</v>
      </c>
      <c r="S26" s="6">
        <v>0</v>
      </c>
      <c r="T26" s="6">
        <v>2</v>
      </c>
      <c r="U26" s="6">
        <v>25906500000000</v>
      </c>
      <c r="V26" s="6">
        <v>29764900000000</v>
      </c>
      <c r="W26" s="6">
        <v>38206600000000</v>
      </c>
      <c r="X26" s="6">
        <v>33741500000000</v>
      </c>
      <c r="Y26" s="6">
        <v>46392000000000</v>
      </c>
      <c r="AA26" s="6">
        <v>0.0250748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N26" s="6">
        <f t="shared" si="0"/>
        <v>0.0248874</v>
      </c>
      <c r="AO26" s="6">
        <f t="shared" si="1"/>
        <v>101728333333333</v>
      </c>
      <c r="AP26" s="6">
        <f t="shared" si="2"/>
        <v>131170000000000</v>
      </c>
      <c r="AQ26" s="6">
        <f t="shared" si="3"/>
        <v>174015000000000</v>
      </c>
      <c r="AR26" s="6">
        <f t="shared" si="4"/>
        <v>22267233333333.3</v>
      </c>
      <c r="AS26" s="6">
        <f t="shared" si="5"/>
        <v>20409700000000</v>
      </c>
      <c r="AT26" s="6">
        <f t="shared" si="6"/>
        <v>46392000000000</v>
      </c>
    </row>
    <row r="27" customHeight="1" spans="1:46">
      <c r="A27" s="6">
        <v>0.0259781</v>
      </c>
      <c r="B27" s="6">
        <v>0.0266431</v>
      </c>
      <c r="C27" s="6">
        <v>130511000000000</v>
      </c>
      <c r="D27" s="6">
        <v>11370000000</v>
      </c>
      <c r="E27" s="6">
        <v>0</v>
      </c>
      <c r="F27" s="6">
        <v>0</v>
      </c>
      <c r="G27" s="6">
        <v>2</v>
      </c>
      <c r="H27" s="6">
        <v>28567100000000</v>
      </c>
      <c r="I27" s="6">
        <v>26637800000000</v>
      </c>
      <c r="J27" s="6">
        <v>27996400000000</v>
      </c>
      <c r="K27" s="6">
        <v>27761100000000</v>
      </c>
      <c r="L27" s="6">
        <v>19548300000000</v>
      </c>
      <c r="N27" s="6">
        <v>0.0259907</v>
      </c>
      <c r="O27" s="6">
        <v>0.0265878</v>
      </c>
      <c r="P27" s="6">
        <v>180940000000000</v>
      </c>
      <c r="Q27" s="6">
        <v>1437960000</v>
      </c>
      <c r="R27" s="6">
        <v>0</v>
      </c>
      <c r="S27" s="6">
        <v>0</v>
      </c>
      <c r="T27" s="6">
        <v>2</v>
      </c>
      <c r="U27" s="6">
        <v>25204900000000</v>
      </c>
      <c r="V27" s="6">
        <v>30431500000000</v>
      </c>
      <c r="W27" s="6">
        <v>39633500000000</v>
      </c>
      <c r="X27" s="6">
        <v>34752100000000</v>
      </c>
      <c r="Y27" s="6">
        <v>50918400000000</v>
      </c>
      <c r="AA27" s="6">
        <v>0.0259812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N27" s="6">
        <f t="shared" si="0"/>
        <v>0.0259781</v>
      </c>
      <c r="AO27" s="6">
        <f t="shared" si="1"/>
        <v>103817000000000</v>
      </c>
      <c r="AP27" s="6">
        <f t="shared" si="2"/>
        <v>130511000000000</v>
      </c>
      <c r="AQ27" s="6">
        <f t="shared" si="3"/>
        <v>180940000000000</v>
      </c>
      <c r="AR27" s="6">
        <f t="shared" si="4"/>
        <v>23488900000000</v>
      </c>
      <c r="AS27" s="6">
        <f t="shared" si="5"/>
        <v>19548300000000</v>
      </c>
      <c r="AT27" s="6">
        <f t="shared" si="6"/>
        <v>50918400000000</v>
      </c>
    </row>
    <row r="28" customHeight="1" spans="1:46">
      <c r="A28" s="6">
        <v>0.0270155</v>
      </c>
      <c r="B28" s="6">
        <v>0.0276443</v>
      </c>
      <c r="C28" s="6">
        <v>129593000000000</v>
      </c>
      <c r="D28" s="6">
        <v>11571900000</v>
      </c>
      <c r="E28" s="6">
        <v>0</v>
      </c>
      <c r="F28" s="6">
        <v>0</v>
      </c>
      <c r="G28" s="6">
        <v>2</v>
      </c>
      <c r="H28" s="6">
        <v>27744700000000</v>
      </c>
      <c r="I28" s="6">
        <v>26624500000000</v>
      </c>
      <c r="J28" s="6">
        <v>27765500000000</v>
      </c>
      <c r="K28" s="6">
        <v>27508300000000</v>
      </c>
      <c r="L28" s="6">
        <v>19946800000000</v>
      </c>
      <c r="N28" s="6">
        <v>0.0269809</v>
      </c>
      <c r="O28" s="6">
        <v>0.027532</v>
      </c>
      <c r="P28" s="6">
        <v>187401000000000</v>
      </c>
      <c r="Q28" s="6">
        <v>861549000</v>
      </c>
      <c r="R28" s="6">
        <v>0</v>
      </c>
      <c r="S28" s="6">
        <v>0</v>
      </c>
      <c r="T28" s="6">
        <v>2</v>
      </c>
      <c r="U28" s="6">
        <v>23882400000000</v>
      </c>
      <c r="V28" s="6">
        <v>30805500000000</v>
      </c>
      <c r="W28" s="6">
        <v>40164800000000</v>
      </c>
      <c r="X28" s="6">
        <v>35782500000000</v>
      </c>
      <c r="Y28" s="6">
        <v>56765700000000</v>
      </c>
      <c r="AA28" s="6">
        <v>0.0269566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N28" s="6">
        <f t="shared" si="0"/>
        <v>0.0270155</v>
      </c>
      <c r="AO28" s="6">
        <f t="shared" si="1"/>
        <v>105664666666667</v>
      </c>
      <c r="AP28" s="6">
        <f t="shared" si="2"/>
        <v>129593000000000</v>
      </c>
      <c r="AQ28" s="6">
        <f t="shared" si="3"/>
        <v>187401000000000</v>
      </c>
      <c r="AR28" s="6">
        <f t="shared" si="4"/>
        <v>25570833333333.3</v>
      </c>
      <c r="AS28" s="6">
        <f t="shared" si="5"/>
        <v>19946800000000</v>
      </c>
      <c r="AT28" s="6">
        <f t="shared" si="6"/>
        <v>56765700000000</v>
      </c>
    </row>
    <row r="29" customHeight="1" spans="1:46">
      <c r="A29" s="6">
        <v>0.0279952</v>
      </c>
      <c r="B29" s="6">
        <v>0.0286292</v>
      </c>
      <c r="C29" s="6">
        <v>128944000000000</v>
      </c>
      <c r="D29" s="6">
        <v>15155400000</v>
      </c>
      <c r="E29" s="6">
        <v>0</v>
      </c>
      <c r="F29" s="6">
        <v>0</v>
      </c>
      <c r="G29" s="6">
        <v>2</v>
      </c>
      <c r="H29" s="6">
        <v>27453200000000</v>
      </c>
      <c r="I29" s="6">
        <v>26383600000000</v>
      </c>
      <c r="J29" s="6">
        <v>27707600000000</v>
      </c>
      <c r="K29" s="6">
        <v>27021500000000</v>
      </c>
      <c r="L29" s="6">
        <v>20378300000000</v>
      </c>
      <c r="N29" s="6">
        <v>0.0281636</v>
      </c>
      <c r="O29" s="6">
        <v>0.0286557</v>
      </c>
      <c r="P29" s="6">
        <v>195312000000000</v>
      </c>
      <c r="Q29" s="6">
        <v>5968310000</v>
      </c>
      <c r="R29" s="6">
        <v>0</v>
      </c>
      <c r="S29" s="6">
        <v>0</v>
      </c>
      <c r="T29" s="6">
        <v>2</v>
      </c>
      <c r="U29" s="6">
        <v>23018800000000</v>
      </c>
      <c r="V29" s="6">
        <v>30404500000000</v>
      </c>
      <c r="W29" s="6">
        <v>40888300000000</v>
      </c>
      <c r="X29" s="6">
        <v>36468700000000</v>
      </c>
      <c r="Y29" s="6">
        <v>64531000000000</v>
      </c>
      <c r="AA29" s="6">
        <v>0.0279655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N29" s="6">
        <f t="shared" si="0"/>
        <v>0.0279952</v>
      </c>
      <c r="AO29" s="6">
        <f t="shared" si="1"/>
        <v>108085333333333</v>
      </c>
      <c r="AP29" s="6">
        <f t="shared" si="2"/>
        <v>128944000000000</v>
      </c>
      <c r="AQ29" s="6">
        <f t="shared" si="3"/>
        <v>195312000000000</v>
      </c>
      <c r="AR29" s="6">
        <f t="shared" si="4"/>
        <v>28303100000000</v>
      </c>
      <c r="AS29" s="6">
        <f t="shared" si="5"/>
        <v>20378300000000</v>
      </c>
      <c r="AT29" s="6">
        <f t="shared" si="6"/>
        <v>64531000000000</v>
      </c>
    </row>
    <row r="30" customHeight="1" spans="1:46">
      <c r="A30" s="6">
        <v>0.0290926</v>
      </c>
      <c r="B30" s="6">
        <v>0.0297397</v>
      </c>
      <c r="C30" s="6">
        <v>128707000000000</v>
      </c>
      <c r="D30" s="6">
        <v>30099500000</v>
      </c>
      <c r="E30" s="6">
        <v>0</v>
      </c>
      <c r="F30" s="6">
        <v>0</v>
      </c>
      <c r="G30" s="6">
        <v>2</v>
      </c>
      <c r="H30" s="6">
        <v>27376500000000</v>
      </c>
      <c r="I30" s="6">
        <v>26235400000000</v>
      </c>
      <c r="J30" s="6">
        <v>27186000000000</v>
      </c>
      <c r="K30" s="6">
        <v>26753500000000</v>
      </c>
      <c r="L30" s="6">
        <v>21155600000000</v>
      </c>
      <c r="N30" s="6">
        <v>0.0289706</v>
      </c>
      <c r="O30" s="6">
        <v>0.0294301</v>
      </c>
      <c r="P30" s="6">
        <v>200183000000000</v>
      </c>
      <c r="Q30" s="6">
        <v>814004000</v>
      </c>
      <c r="R30" s="6">
        <v>0</v>
      </c>
      <c r="S30" s="6">
        <v>0</v>
      </c>
      <c r="T30" s="6">
        <v>2</v>
      </c>
      <c r="U30" s="6">
        <v>22529300000000</v>
      </c>
      <c r="V30" s="6">
        <v>30109000000000</v>
      </c>
      <c r="W30" s="6">
        <v>40861600000000</v>
      </c>
      <c r="X30" s="6">
        <v>36315900000000</v>
      </c>
      <c r="Y30" s="6">
        <v>70367000000000</v>
      </c>
      <c r="AA30" s="6">
        <v>0.0289957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N30" s="6">
        <f t="shared" si="0"/>
        <v>0.0290926</v>
      </c>
      <c r="AO30" s="6">
        <f t="shared" si="1"/>
        <v>109630000000000</v>
      </c>
      <c r="AP30" s="6">
        <f t="shared" si="2"/>
        <v>128707000000000</v>
      </c>
      <c r="AQ30" s="6">
        <f t="shared" si="3"/>
        <v>200183000000000</v>
      </c>
      <c r="AR30" s="6">
        <f t="shared" si="4"/>
        <v>30507533333333.3</v>
      </c>
      <c r="AS30" s="6">
        <f t="shared" si="5"/>
        <v>21155600000000</v>
      </c>
      <c r="AT30" s="6">
        <f t="shared" si="6"/>
        <v>70367000000000</v>
      </c>
    </row>
    <row r="31" customHeight="1" spans="1:46">
      <c r="A31" s="6">
        <v>0.0299866</v>
      </c>
      <c r="B31" s="6">
        <v>0.0306173</v>
      </c>
      <c r="C31" s="6">
        <v>128473000000000</v>
      </c>
      <c r="D31" s="6">
        <v>6045850000</v>
      </c>
      <c r="E31" s="6">
        <v>0</v>
      </c>
      <c r="F31" s="6">
        <v>0</v>
      </c>
      <c r="G31" s="6">
        <v>2</v>
      </c>
      <c r="H31" s="6">
        <v>27102700000000</v>
      </c>
      <c r="I31" s="6">
        <v>26095000000000</v>
      </c>
      <c r="J31" s="6">
        <v>27167600000000</v>
      </c>
      <c r="K31" s="6">
        <v>26812600000000</v>
      </c>
      <c r="L31" s="6">
        <v>21290500000000</v>
      </c>
      <c r="N31" s="6">
        <v>0.0299872</v>
      </c>
      <c r="O31" s="6">
        <v>0.0304154</v>
      </c>
      <c r="P31" s="6">
        <v>206039000000000</v>
      </c>
      <c r="Q31" s="6">
        <v>374830000</v>
      </c>
      <c r="R31" s="6">
        <v>0</v>
      </c>
      <c r="S31" s="6">
        <v>0</v>
      </c>
      <c r="T31" s="6">
        <v>2</v>
      </c>
      <c r="U31" s="6">
        <v>21693600000000</v>
      </c>
      <c r="V31" s="6">
        <v>29875000000000</v>
      </c>
      <c r="W31" s="6">
        <v>40436300000000</v>
      </c>
      <c r="X31" s="6">
        <v>36276000000000</v>
      </c>
      <c r="Y31" s="6">
        <v>77758100000000</v>
      </c>
      <c r="AA31" s="6">
        <v>0.0299948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N31" s="6">
        <f t="shared" si="0"/>
        <v>0.0299866</v>
      </c>
      <c r="AO31" s="6">
        <f t="shared" si="1"/>
        <v>111504000000000</v>
      </c>
      <c r="AP31" s="6">
        <f t="shared" si="2"/>
        <v>128473000000000</v>
      </c>
      <c r="AQ31" s="6">
        <f t="shared" si="3"/>
        <v>206039000000000</v>
      </c>
      <c r="AR31" s="6">
        <f t="shared" si="4"/>
        <v>33016200000000</v>
      </c>
      <c r="AS31" s="6">
        <f t="shared" si="5"/>
        <v>21290500000000</v>
      </c>
      <c r="AT31" s="6">
        <f t="shared" si="6"/>
        <v>77758100000000</v>
      </c>
    </row>
    <row r="32" customHeight="1" spans="1:46">
      <c r="A32" s="6">
        <v>0.0310285</v>
      </c>
      <c r="B32" s="6">
        <v>0.0316593</v>
      </c>
      <c r="C32" s="6">
        <v>127661000000000</v>
      </c>
      <c r="D32" s="6">
        <v>15517600000</v>
      </c>
      <c r="E32" s="6">
        <v>0</v>
      </c>
      <c r="F32" s="6">
        <v>0</v>
      </c>
      <c r="G32" s="6">
        <v>2</v>
      </c>
      <c r="H32" s="6">
        <v>27297800000000</v>
      </c>
      <c r="I32" s="6">
        <v>26414100000000</v>
      </c>
      <c r="J32" s="6">
        <v>27516600000000</v>
      </c>
      <c r="K32" s="6">
        <v>25625700000000</v>
      </c>
      <c r="L32" s="6">
        <v>20794900000000</v>
      </c>
      <c r="N32" s="6">
        <v>0.0310075</v>
      </c>
      <c r="O32" s="6">
        <v>0.0314117</v>
      </c>
      <c r="P32" s="6">
        <v>212150000000000</v>
      </c>
      <c r="Q32" s="6">
        <v>609084000</v>
      </c>
      <c r="R32" s="6">
        <v>0</v>
      </c>
      <c r="S32" s="6">
        <v>0</v>
      </c>
      <c r="T32" s="6">
        <v>2</v>
      </c>
      <c r="U32" s="6">
        <v>21427000000000</v>
      </c>
      <c r="V32" s="6">
        <v>29419000000000</v>
      </c>
      <c r="W32" s="6">
        <v>40378300000000</v>
      </c>
      <c r="X32" s="6">
        <v>36912100000000</v>
      </c>
      <c r="Y32" s="6">
        <v>84010900000000</v>
      </c>
      <c r="AA32" s="6">
        <v>0.0310206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N32" s="6"/>
      <c r="AO32" s="6"/>
      <c r="AP32" s="6"/>
      <c r="AQ32" s="6"/>
      <c r="AR32" s="6"/>
      <c r="AS32" s="6"/>
      <c r="AT32" s="6"/>
    </row>
    <row r="33" customHeight="1" spans="1:38">
      <c r="A33" s="6">
        <v>0.0318894</v>
      </c>
      <c r="B33" s="6">
        <v>0.0325222</v>
      </c>
      <c r="C33" s="6">
        <v>127233000000000</v>
      </c>
      <c r="D33" s="6">
        <v>27554400000</v>
      </c>
      <c r="E33" s="6">
        <v>0</v>
      </c>
      <c r="F33" s="6">
        <v>0</v>
      </c>
      <c r="G33" s="6">
        <v>2</v>
      </c>
      <c r="H33" s="6">
        <v>27248000000000</v>
      </c>
      <c r="I33" s="6">
        <v>26591700000000</v>
      </c>
      <c r="J33" s="6">
        <v>27071100000000</v>
      </c>
      <c r="K33" s="6">
        <v>25224200000000</v>
      </c>
      <c r="L33" s="6">
        <v>21097100000000</v>
      </c>
      <c r="N33" s="6">
        <v>0.0320211</v>
      </c>
      <c r="O33" s="6">
        <v>0.0324037</v>
      </c>
      <c r="P33" s="6">
        <v>217668000000000</v>
      </c>
      <c r="Q33" s="6">
        <v>366724000</v>
      </c>
      <c r="R33" s="6">
        <v>0</v>
      </c>
      <c r="S33" s="6">
        <v>0</v>
      </c>
      <c r="T33" s="6">
        <v>2</v>
      </c>
      <c r="U33" s="6">
        <v>21135600000000</v>
      </c>
      <c r="V33" s="6">
        <v>28885700000000</v>
      </c>
      <c r="W33" s="6">
        <v>40662200000000</v>
      </c>
      <c r="X33" s="6">
        <v>37168800000000</v>
      </c>
      <c r="Y33" s="6">
        <v>89815000000000</v>
      </c>
      <c r="AA33" s="6">
        <v>0.0319805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customHeight="1" spans="1:38">
      <c r="A34" s="6">
        <v>0.0329781</v>
      </c>
      <c r="B34" s="6">
        <v>0.033583</v>
      </c>
      <c r="C34" s="6">
        <v>126929000000000</v>
      </c>
      <c r="D34" s="6">
        <v>83090500000</v>
      </c>
      <c r="E34" s="6">
        <v>0</v>
      </c>
      <c r="F34" s="6">
        <v>0</v>
      </c>
      <c r="G34" s="6">
        <v>2</v>
      </c>
      <c r="H34" s="6">
        <v>27341500000000</v>
      </c>
      <c r="I34" s="6">
        <v>26207900000000</v>
      </c>
      <c r="J34" s="6">
        <v>26774000000000</v>
      </c>
      <c r="K34" s="6">
        <v>25390500000000</v>
      </c>
      <c r="L34" s="6">
        <v>21210900000000</v>
      </c>
      <c r="N34" s="6">
        <v>0.0330056</v>
      </c>
      <c r="O34" s="6">
        <v>0.033364</v>
      </c>
      <c r="P34" s="6">
        <v>223212000000000</v>
      </c>
      <c r="Q34" s="6">
        <v>448753000</v>
      </c>
      <c r="R34" s="6">
        <v>0</v>
      </c>
      <c r="S34" s="6">
        <v>0</v>
      </c>
      <c r="T34" s="6">
        <v>2</v>
      </c>
      <c r="U34" s="6">
        <v>20940900000000</v>
      </c>
      <c r="V34" s="6">
        <v>28470800000000</v>
      </c>
      <c r="W34" s="6">
        <v>40634900000000</v>
      </c>
      <c r="X34" s="6">
        <v>37312500000000</v>
      </c>
      <c r="Y34" s="6">
        <v>95853000000000</v>
      </c>
      <c r="AA34" s="6">
        <v>0.0329864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customHeight="1" spans="1:38">
      <c r="A35" s="6">
        <v>0.0340371</v>
      </c>
      <c r="B35" s="6">
        <v>0.0346188</v>
      </c>
      <c r="C35" s="6">
        <v>126334000000000</v>
      </c>
      <c r="D35" s="6">
        <v>20872500000</v>
      </c>
      <c r="E35" s="6">
        <v>0</v>
      </c>
      <c r="F35" s="6">
        <v>0</v>
      </c>
      <c r="G35" s="6">
        <v>2</v>
      </c>
      <c r="H35" s="6">
        <v>27124900000000</v>
      </c>
      <c r="I35" s="6">
        <v>25842600000000</v>
      </c>
      <c r="J35" s="6">
        <v>26819300000000</v>
      </c>
      <c r="K35" s="6">
        <v>25360700000000</v>
      </c>
      <c r="L35" s="6">
        <v>21186500000000</v>
      </c>
      <c r="N35" s="6">
        <v>0.0339336</v>
      </c>
      <c r="O35" s="6">
        <v>0.0342797</v>
      </c>
      <c r="P35" s="6">
        <v>228463000000000</v>
      </c>
      <c r="Q35" s="6">
        <v>359219000</v>
      </c>
      <c r="R35" s="6">
        <v>0</v>
      </c>
      <c r="S35" s="6">
        <v>0</v>
      </c>
      <c r="T35" s="6">
        <v>2</v>
      </c>
      <c r="U35" s="6">
        <v>20987400000000</v>
      </c>
      <c r="V35" s="6">
        <v>28524400000000</v>
      </c>
      <c r="W35" s="6">
        <v>40649600000000</v>
      </c>
      <c r="X35" s="6">
        <v>37380300000000</v>
      </c>
      <c r="Y35" s="6">
        <v>100921000000000</v>
      </c>
      <c r="AA35" s="6">
        <v>0.0339954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customHeight="1" spans="1:38">
      <c r="A36" s="6">
        <v>0.0349071</v>
      </c>
      <c r="B36" s="6">
        <v>0.0354814</v>
      </c>
      <c r="C36" s="6">
        <v>125997000000000</v>
      </c>
      <c r="D36" s="6">
        <v>18802500000</v>
      </c>
      <c r="E36" s="6">
        <v>0</v>
      </c>
      <c r="F36" s="6">
        <v>0</v>
      </c>
      <c r="G36" s="6">
        <v>2</v>
      </c>
      <c r="H36" s="6">
        <v>26981900000000</v>
      </c>
      <c r="I36" s="6">
        <v>25457100000000</v>
      </c>
      <c r="J36" s="6">
        <v>27162000000000</v>
      </c>
      <c r="K36" s="6">
        <v>25158000000000</v>
      </c>
      <c r="L36" s="6">
        <v>21238100000000</v>
      </c>
      <c r="N36" s="6">
        <v>0.0349799</v>
      </c>
      <c r="O36" s="6">
        <v>0.0353022</v>
      </c>
      <c r="P36" s="6">
        <v>234722000000000</v>
      </c>
      <c r="Q36" s="6">
        <v>406621000</v>
      </c>
      <c r="R36" s="6">
        <v>0</v>
      </c>
      <c r="S36" s="6">
        <v>0</v>
      </c>
      <c r="T36" s="6">
        <v>2</v>
      </c>
      <c r="U36" s="6">
        <v>20989400000000</v>
      </c>
      <c r="V36" s="6">
        <v>28312400000000</v>
      </c>
      <c r="W36" s="6">
        <v>40746000000000</v>
      </c>
      <c r="X36" s="6">
        <v>37577800000000</v>
      </c>
      <c r="Y36" s="6">
        <v>107097000000000</v>
      </c>
      <c r="AA36" s="6">
        <v>0.0350567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customHeight="1" spans="1:38">
      <c r="A37" s="6">
        <v>0.0359954</v>
      </c>
      <c r="B37" s="6">
        <v>0.0365822</v>
      </c>
      <c r="C37" s="6">
        <v>126226000000000</v>
      </c>
      <c r="D37" s="6">
        <v>13207500000</v>
      </c>
      <c r="E37" s="6">
        <v>0</v>
      </c>
      <c r="F37" s="6">
        <v>0</v>
      </c>
      <c r="G37" s="6">
        <v>2</v>
      </c>
      <c r="H37" s="6">
        <v>26688300000000</v>
      </c>
      <c r="I37" s="6">
        <v>24893100000000</v>
      </c>
      <c r="J37" s="6">
        <v>26874800000000</v>
      </c>
      <c r="K37" s="6">
        <v>25141900000000</v>
      </c>
      <c r="L37" s="6">
        <v>22625300000000</v>
      </c>
      <c r="N37" s="6">
        <v>0.0359858</v>
      </c>
      <c r="O37" s="6">
        <v>0.0362931</v>
      </c>
      <c r="P37" s="6">
        <v>240268000000000</v>
      </c>
      <c r="Q37" s="6">
        <v>519664000</v>
      </c>
      <c r="R37" s="6">
        <v>0</v>
      </c>
      <c r="S37" s="6">
        <v>0</v>
      </c>
      <c r="T37" s="6">
        <v>2</v>
      </c>
      <c r="U37" s="6">
        <v>20988900000000</v>
      </c>
      <c r="V37" s="6">
        <v>27828500000000</v>
      </c>
      <c r="W37" s="6">
        <v>40845700000000</v>
      </c>
      <c r="X37" s="6">
        <v>37462600000000</v>
      </c>
      <c r="Y37" s="6">
        <v>113143000000000</v>
      </c>
      <c r="AA37" s="6">
        <v>0.0359689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customHeight="1" spans="1:38">
      <c r="A38" s="6">
        <v>0.0370021</v>
      </c>
      <c r="B38" s="6">
        <v>0.0375686</v>
      </c>
      <c r="C38" s="6">
        <v>126146000000000</v>
      </c>
      <c r="D38" s="6">
        <v>5849240000</v>
      </c>
      <c r="E38" s="6">
        <v>0</v>
      </c>
      <c r="F38" s="6">
        <v>0</v>
      </c>
      <c r="G38" s="6">
        <v>2</v>
      </c>
      <c r="H38" s="6">
        <v>26467000000000</v>
      </c>
      <c r="I38" s="6">
        <v>24832400000000</v>
      </c>
      <c r="J38" s="6">
        <v>26343100000000</v>
      </c>
      <c r="K38" s="6">
        <v>25110400000000</v>
      </c>
      <c r="L38" s="6">
        <v>23392500000000</v>
      </c>
      <c r="N38" s="6">
        <v>0.0370156</v>
      </c>
      <c r="O38" s="6">
        <v>0.0373163</v>
      </c>
      <c r="P38" s="6">
        <v>245890000000000</v>
      </c>
      <c r="Q38" s="6">
        <v>506547000</v>
      </c>
      <c r="R38" s="6">
        <v>0</v>
      </c>
      <c r="S38" s="6">
        <v>0</v>
      </c>
      <c r="T38" s="6">
        <v>2</v>
      </c>
      <c r="U38" s="6">
        <v>21191600000000</v>
      </c>
      <c r="V38" s="6">
        <v>27464800000000</v>
      </c>
      <c r="W38" s="6">
        <v>41032900000000</v>
      </c>
      <c r="X38" s="6">
        <v>37349400000000</v>
      </c>
      <c r="Y38" s="6">
        <v>118851000000000</v>
      </c>
      <c r="AA38" s="6">
        <v>0.0369815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customHeight="1" spans="1:38">
      <c r="A39" s="6">
        <v>0.0379667</v>
      </c>
      <c r="B39" s="6">
        <v>0.0385412</v>
      </c>
      <c r="C39" s="6">
        <v>125896000000000</v>
      </c>
      <c r="D39" s="6">
        <v>15686000000</v>
      </c>
      <c r="E39" s="6">
        <v>0</v>
      </c>
      <c r="F39" s="6">
        <v>0</v>
      </c>
      <c r="G39" s="6">
        <v>2</v>
      </c>
      <c r="H39" s="6">
        <v>26224800000000</v>
      </c>
      <c r="I39" s="6">
        <v>24300600000000</v>
      </c>
      <c r="J39" s="6">
        <v>26309600000000</v>
      </c>
      <c r="K39" s="6">
        <v>24514500000000</v>
      </c>
      <c r="L39" s="6">
        <v>24545900000000</v>
      </c>
      <c r="N39" s="6">
        <v>0.0379832</v>
      </c>
      <c r="O39" s="6">
        <v>0.0382747</v>
      </c>
      <c r="P39" s="6">
        <v>250723000000000</v>
      </c>
      <c r="Q39" s="6">
        <v>1598510000</v>
      </c>
      <c r="R39" s="6">
        <v>0</v>
      </c>
      <c r="S39" s="6">
        <v>0</v>
      </c>
      <c r="T39" s="6">
        <v>2</v>
      </c>
      <c r="U39" s="6">
        <v>21049500000000</v>
      </c>
      <c r="V39" s="6">
        <v>27362900000000</v>
      </c>
      <c r="W39" s="6">
        <v>41004000000000</v>
      </c>
      <c r="X39" s="6">
        <v>37490700000000</v>
      </c>
      <c r="Y39" s="6">
        <v>123816000000000</v>
      </c>
      <c r="AA39" s="6">
        <v>0.0380006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customHeight="1" spans="1:38">
      <c r="A40" s="6">
        <v>0.0390098</v>
      </c>
      <c r="B40" s="6">
        <v>0.0395371</v>
      </c>
      <c r="C40" s="6">
        <v>125191000000000</v>
      </c>
      <c r="D40" s="6">
        <v>53826400000</v>
      </c>
      <c r="E40" s="6">
        <v>0</v>
      </c>
      <c r="F40" s="6">
        <v>0</v>
      </c>
      <c r="G40" s="6">
        <v>2</v>
      </c>
      <c r="H40" s="6">
        <v>25399300000000</v>
      </c>
      <c r="I40" s="6">
        <v>24327500000000</v>
      </c>
      <c r="J40" s="6">
        <v>26208500000000</v>
      </c>
      <c r="K40" s="6">
        <v>24313100000000</v>
      </c>
      <c r="L40" s="6">
        <v>24941600000000</v>
      </c>
      <c r="N40" s="6">
        <v>0.0389982</v>
      </c>
      <c r="O40" s="6">
        <v>0.0392802</v>
      </c>
      <c r="P40" s="6">
        <v>255076000000000</v>
      </c>
      <c r="Q40" s="6">
        <v>1130380000</v>
      </c>
      <c r="R40" s="6">
        <v>0</v>
      </c>
      <c r="S40" s="6">
        <v>0</v>
      </c>
      <c r="T40" s="6">
        <v>2</v>
      </c>
      <c r="U40" s="6">
        <v>21185800000000</v>
      </c>
      <c r="V40" s="6">
        <v>27055000000000</v>
      </c>
      <c r="W40" s="6">
        <v>41059600000000</v>
      </c>
      <c r="X40" s="6">
        <v>37828700000000</v>
      </c>
      <c r="Y40" s="6">
        <v>127947000000000</v>
      </c>
      <c r="AA40" s="6">
        <v>0.0389922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customHeight="1" spans="1:38">
      <c r="A41" s="6">
        <v>0.040006</v>
      </c>
      <c r="B41" s="6">
        <v>0.0404929</v>
      </c>
      <c r="C41" s="6">
        <v>124601000000000</v>
      </c>
      <c r="D41" s="6">
        <v>34925800000</v>
      </c>
      <c r="E41" s="6">
        <v>0</v>
      </c>
      <c r="F41" s="6">
        <v>0</v>
      </c>
      <c r="G41" s="6">
        <v>2</v>
      </c>
      <c r="H41" s="6">
        <v>24854500000000</v>
      </c>
      <c r="I41" s="6">
        <v>23636100000000</v>
      </c>
      <c r="J41" s="6">
        <v>25836000000000</v>
      </c>
      <c r="K41" s="6">
        <v>24167500000000</v>
      </c>
      <c r="L41" s="6">
        <v>26101400000000</v>
      </c>
      <c r="N41" s="6">
        <v>0.0400317</v>
      </c>
      <c r="O41" s="6">
        <v>0.040303</v>
      </c>
      <c r="P41" s="6">
        <v>260044000000000</v>
      </c>
      <c r="Q41" s="6">
        <v>6266270000</v>
      </c>
      <c r="R41" s="6">
        <v>0</v>
      </c>
      <c r="S41" s="6">
        <v>0</v>
      </c>
      <c r="T41" s="6">
        <v>2</v>
      </c>
      <c r="U41" s="6">
        <v>21339800000000</v>
      </c>
      <c r="V41" s="6">
        <v>27096100000000</v>
      </c>
      <c r="W41" s="6">
        <v>40939700000000</v>
      </c>
      <c r="X41" s="6">
        <v>37714900000000</v>
      </c>
      <c r="Y41" s="6">
        <v>132954000000000</v>
      </c>
      <c r="AA41" s="6">
        <v>0.0399882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customHeight="1" spans="1:38">
      <c r="A42" s="6">
        <v>0.0409747</v>
      </c>
      <c r="B42" s="6">
        <v>0.0414405</v>
      </c>
      <c r="C42" s="6">
        <v>123925000000000</v>
      </c>
      <c r="D42" s="6">
        <v>36995100000</v>
      </c>
      <c r="E42" s="6">
        <v>0</v>
      </c>
      <c r="F42" s="6">
        <v>0</v>
      </c>
      <c r="G42" s="6">
        <v>2</v>
      </c>
      <c r="H42" s="6">
        <v>24330100000000</v>
      </c>
      <c r="I42" s="6">
        <v>23698000000000</v>
      </c>
      <c r="J42" s="6">
        <v>25276500000000</v>
      </c>
      <c r="K42" s="6">
        <v>23515100000000</v>
      </c>
      <c r="L42" s="6">
        <v>27103200000000</v>
      </c>
      <c r="N42" s="6">
        <v>0.0410036</v>
      </c>
      <c r="O42" s="6">
        <v>0.0412663</v>
      </c>
      <c r="P42" s="6">
        <v>264718000000000</v>
      </c>
      <c r="Q42" s="6">
        <v>2285880000</v>
      </c>
      <c r="R42" s="6">
        <v>0</v>
      </c>
      <c r="S42" s="6">
        <v>0</v>
      </c>
      <c r="T42" s="6">
        <v>2</v>
      </c>
      <c r="U42" s="6">
        <v>21364000000000</v>
      </c>
      <c r="V42" s="6">
        <v>26966700000000</v>
      </c>
      <c r="W42" s="6">
        <v>41078300000000</v>
      </c>
      <c r="X42" s="6">
        <v>37608300000000</v>
      </c>
      <c r="Y42" s="6">
        <v>137701000000000</v>
      </c>
      <c r="AA42" s="6">
        <v>0.0409985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customHeight="1" spans="1:38">
      <c r="A43" s="6">
        <v>0.0420212</v>
      </c>
      <c r="B43" s="6">
        <v>0.0424861</v>
      </c>
      <c r="C43" s="6">
        <v>123773000000000</v>
      </c>
      <c r="D43" s="6">
        <v>51203200000</v>
      </c>
      <c r="E43" s="6">
        <v>0</v>
      </c>
      <c r="F43" s="6">
        <v>0</v>
      </c>
      <c r="G43" s="6">
        <v>2</v>
      </c>
      <c r="H43" s="6">
        <v>24148100000000</v>
      </c>
      <c r="I43" s="6">
        <v>23468000000000</v>
      </c>
      <c r="J43" s="6">
        <v>24620300000000</v>
      </c>
      <c r="K43" s="6">
        <v>23524700000000</v>
      </c>
      <c r="L43" s="6">
        <v>28011000000000</v>
      </c>
      <c r="N43" s="6">
        <v>0.0419811</v>
      </c>
      <c r="O43" s="6">
        <v>0.0422324</v>
      </c>
      <c r="P43" s="6">
        <v>269437000000000</v>
      </c>
      <c r="Q43" s="6">
        <v>203234000</v>
      </c>
      <c r="R43" s="6">
        <v>0</v>
      </c>
      <c r="S43" s="6">
        <v>0</v>
      </c>
      <c r="T43" s="6">
        <v>2</v>
      </c>
      <c r="U43" s="6">
        <v>21203600000000</v>
      </c>
      <c r="V43" s="6">
        <v>26869000000000</v>
      </c>
      <c r="W43" s="6">
        <v>41064100000000</v>
      </c>
      <c r="X43" s="6">
        <v>37560500000000</v>
      </c>
      <c r="Y43" s="6">
        <v>142740000000000</v>
      </c>
      <c r="AA43" s="6">
        <v>0.0420185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customHeight="1" spans="1:38">
      <c r="A44" s="6">
        <v>0.0429143</v>
      </c>
      <c r="B44" s="6">
        <v>0.0433507</v>
      </c>
      <c r="C44" s="6">
        <v>123405000000000</v>
      </c>
      <c r="D44" s="6">
        <v>9287740000</v>
      </c>
      <c r="E44" s="6">
        <v>0</v>
      </c>
      <c r="F44" s="6">
        <v>0</v>
      </c>
      <c r="G44" s="6">
        <v>2</v>
      </c>
      <c r="H44" s="6">
        <v>24128300000000</v>
      </c>
      <c r="I44" s="6">
        <v>23443800000000</v>
      </c>
      <c r="J44" s="6">
        <v>24211800000000</v>
      </c>
      <c r="K44" s="6">
        <v>23545700000000</v>
      </c>
      <c r="L44" s="6">
        <v>28075600000000</v>
      </c>
      <c r="N44" s="6">
        <v>0.0429805</v>
      </c>
      <c r="O44" s="6">
        <v>0.0432255</v>
      </c>
      <c r="P44" s="6">
        <v>274231000000000</v>
      </c>
      <c r="Q44" s="6">
        <v>1284730000</v>
      </c>
      <c r="R44" s="6">
        <v>0</v>
      </c>
      <c r="S44" s="6">
        <v>0</v>
      </c>
      <c r="T44" s="6">
        <v>2</v>
      </c>
      <c r="U44" s="6">
        <v>21288600000000</v>
      </c>
      <c r="V44" s="6">
        <v>26822400000000</v>
      </c>
      <c r="W44" s="6">
        <v>41088500000000</v>
      </c>
      <c r="X44" s="6">
        <v>37594900000000</v>
      </c>
      <c r="Y44" s="6">
        <v>147436000000000</v>
      </c>
      <c r="AA44" s="6">
        <v>0.0429729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customHeight="1" spans="1:38">
      <c r="A45" s="6">
        <v>0.0440009</v>
      </c>
      <c r="B45" s="6">
        <v>0.0444215</v>
      </c>
      <c r="C45" s="6">
        <v>123027000000000</v>
      </c>
      <c r="D45" s="6">
        <v>57009400000</v>
      </c>
      <c r="E45" s="6">
        <v>0</v>
      </c>
      <c r="F45" s="6">
        <v>0</v>
      </c>
      <c r="G45" s="6">
        <v>2</v>
      </c>
      <c r="H45" s="6">
        <v>23952000000000</v>
      </c>
      <c r="I45" s="6">
        <v>23326800000000</v>
      </c>
      <c r="J45" s="6">
        <v>23865700000000</v>
      </c>
      <c r="K45" s="6">
        <v>23305100000000</v>
      </c>
      <c r="L45" s="6">
        <v>28571400000000</v>
      </c>
      <c r="N45" s="6">
        <v>0.0440313</v>
      </c>
      <c r="O45" s="6">
        <v>0.0442666</v>
      </c>
      <c r="P45" s="6">
        <v>278845000000000</v>
      </c>
      <c r="Q45" s="6">
        <v>827104000</v>
      </c>
      <c r="R45" s="6">
        <v>0</v>
      </c>
      <c r="S45" s="6">
        <v>0</v>
      </c>
      <c r="T45" s="6">
        <v>2</v>
      </c>
      <c r="U45" s="6">
        <v>21417500000000</v>
      </c>
      <c r="V45" s="6">
        <v>27036000000000</v>
      </c>
      <c r="W45" s="6">
        <v>41231900000000</v>
      </c>
      <c r="X45" s="6">
        <v>37326700000000</v>
      </c>
      <c r="Y45" s="6">
        <v>151833000000000</v>
      </c>
      <c r="AA45" s="6">
        <v>0.0440452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customHeight="1" spans="1:38">
      <c r="A46" s="6">
        <v>0.0450019</v>
      </c>
      <c r="B46" s="6">
        <v>0.0454374</v>
      </c>
      <c r="C46" s="6">
        <v>122818000000000</v>
      </c>
      <c r="D46" s="6">
        <v>54146600000</v>
      </c>
      <c r="E46" s="6">
        <v>0</v>
      </c>
      <c r="F46" s="6">
        <v>0</v>
      </c>
      <c r="G46" s="6">
        <v>2</v>
      </c>
      <c r="H46" s="6">
        <v>23794200000000</v>
      </c>
      <c r="I46" s="6">
        <v>22970300000000</v>
      </c>
      <c r="J46" s="6">
        <v>23875700000000</v>
      </c>
      <c r="K46" s="6">
        <v>23106600000000</v>
      </c>
      <c r="L46" s="6">
        <v>29071200000000</v>
      </c>
      <c r="N46" s="6">
        <v>0.0450174</v>
      </c>
      <c r="O46" s="6">
        <v>0.045246</v>
      </c>
      <c r="P46" s="6">
        <v>283501000000000</v>
      </c>
      <c r="Q46" s="6">
        <v>1522900000</v>
      </c>
      <c r="R46" s="6">
        <v>0</v>
      </c>
      <c r="S46" s="6">
        <v>0</v>
      </c>
      <c r="T46" s="6">
        <v>2</v>
      </c>
      <c r="U46" s="6">
        <v>21580800000000</v>
      </c>
      <c r="V46" s="6">
        <v>27482600000000</v>
      </c>
      <c r="W46" s="6">
        <v>41485800000000</v>
      </c>
      <c r="X46" s="6">
        <v>36944600000000</v>
      </c>
      <c r="Y46" s="6">
        <v>156007000000000</v>
      </c>
      <c r="AA46" s="6">
        <v>0.0450626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customHeight="1" spans="1:38">
      <c r="A47" s="6">
        <v>0.0460726</v>
      </c>
      <c r="B47" s="6">
        <v>0.046492</v>
      </c>
      <c r="C47" s="6">
        <v>122591000000000</v>
      </c>
      <c r="D47" s="6">
        <v>33590700000</v>
      </c>
      <c r="E47" s="6">
        <v>0</v>
      </c>
      <c r="F47" s="6">
        <v>0</v>
      </c>
      <c r="G47" s="6">
        <v>2</v>
      </c>
      <c r="H47" s="6">
        <v>23536600000000</v>
      </c>
      <c r="I47" s="6">
        <v>22488700000000</v>
      </c>
      <c r="J47" s="6">
        <v>23518400000000</v>
      </c>
      <c r="K47" s="6">
        <v>22898800000000</v>
      </c>
      <c r="L47" s="6">
        <v>30148800000000</v>
      </c>
      <c r="N47" s="6">
        <v>0.0458763</v>
      </c>
      <c r="O47" s="6">
        <v>0.0460983</v>
      </c>
      <c r="P47" s="6">
        <v>287865000000000</v>
      </c>
      <c r="Q47" s="6">
        <v>0</v>
      </c>
      <c r="R47" s="6">
        <v>0</v>
      </c>
      <c r="S47" s="6">
        <v>0</v>
      </c>
      <c r="T47" s="6">
        <v>2</v>
      </c>
      <c r="U47" s="6">
        <v>21576000000000</v>
      </c>
      <c r="V47" s="6">
        <v>27672600000000</v>
      </c>
      <c r="W47" s="6">
        <v>41670400000000</v>
      </c>
      <c r="X47" s="6">
        <v>36882900000000</v>
      </c>
      <c r="Y47" s="6">
        <v>160063000000000</v>
      </c>
      <c r="AA47" s="6">
        <v>0.0459514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customHeight="1" spans="1:38">
      <c r="A48" s="6">
        <v>0.0469727</v>
      </c>
      <c r="B48" s="6">
        <v>0.0473673</v>
      </c>
      <c r="C48" s="6">
        <v>122552000000000</v>
      </c>
      <c r="D48" s="6">
        <v>10624600000</v>
      </c>
      <c r="E48" s="6">
        <v>0</v>
      </c>
      <c r="F48" s="6">
        <v>0</v>
      </c>
      <c r="G48" s="6">
        <v>2</v>
      </c>
      <c r="H48" s="6">
        <v>23452100000000</v>
      </c>
      <c r="I48" s="6">
        <v>22860900000000</v>
      </c>
      <c r="J48" s="6">
        <v>23564900000000</v>
      </c>
      <c r="K48" s="6">
        <v>23123600000000</v>
      </c>
      <c r="L48" s="6">
        <v>29550300000000</v>
      </c>
      <c r="AA48" s="6">
        <v>0.0470057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customHeight="1" spans="1:38">
      <c r="A49" s="6">
        <v>0.0479596</v>
      </c>
      <c r="B49" s="6">
        <v>0.0483477</v>
      </c>
      <c r="C49" s="6">
        <v>122604000000000</v>
      </c>
      <c r="D49" s="6">
        <v>45169100000</v>
      </c>
      <c r="E49" s="6">
        <v>0</v>
      </c>
      <c r="F49" s="6">
        <v>0</v>
      </c>
      <c r="G49" s="6">
        <v>2</v>
      </c>
      <c r="H49" s="6">
        <v>23491000000000</v>
      </c>
      <c r="I49" s="6">
        <v>23045700000000</v>
      </c>
      <c r="J49" s="6">
        <v>23612200000000</v>
      </c>
      <c r="K49" s="6">
        <v>23246600000000</v>
      </c>
      <c r="L49" s="6">
        <v>29208600000000</v>
      </c>
      <c r="AA49" s="6">
        <v>0.0480148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customHeight="1" spans="1:38">
      <c r="A50" s="6">
        <v>0.0489212</v>
      </c>
      <c r="B50" s="6">
        <v>0.0493163</v>
      </c>
      <c r="C50" s="6">
        <v>122400000000000</v>
      </c>
      <c r="D50" s="6">
        <v>29905700000</v>
      </c>
      <c r="E50" s="6">
        <v>0</v>
      </c>
      <c r="F50" s="6">
        <v>0</v>
      </c>
      <c r="G50" s="6">
        <v>2</v>
      </c>
      <c r="H50" s="6">
        <v>23483700000000</v>
      </c>
      <c r="I50" s="6">
        <v>22926500000000</v>
      </c>
      <c r="J50" s="6">
        <v>23540400000000</v>
      </c>
      <c r="K50" s="6">
        <v>23336200000000</v>
      </c>
      <c r="L50" s="6">
        <v>29111000000000</v>
      </c>
      <c r="AA50" s="6">
        <v>0.0489706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customHeight="1" spans="1:38">
      <c r="A51" s="6">
        <v>0.0499793</v>
      </c>
      <c r="B51" s="6">
        <v>0.0503718</v>
      </c>
      <c r="C51" s="6">
        <v>122368000000000</v>
      </c>
      <c r="D51" s="6">
        <v>43883600000</v>
      </c>
      <c r="E51" s="6">
        <v>0</v>
      </c>
      <c r="F51" s="6">
        <v>0</v>
      </c>
      <c r="G51" s="6">
        <v>2</v>
      </c>
      <c r="H51" s="6">
        <v>23681800000000</v>
      </c>
      <c r="I51" s="6">
        <v>23185700000000</v>
      </c>
      <c r="J51" s="6">
        <v>23614200000000</v>
      </c>
      <c r="K51" s="6">
        <v>23259800000000</v>
      </c>
      <c r="L51" s="6">
        <v>28625200000000</v>
      </c>
      <c r="AA51" s="6">
        <v>0.0499974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customHeight="1" spans="1:38">
      <c r="A52" s="6">
        <v>0.0510426</v>
      </c>
      <c r="B52" s="6">
        <v>0.0514462</v>
      </c>
      <c r="C52" s="6">
        <v>122488000000000</v>
      </c>
      <c r="D52" s="6">
        <v>35421300000</v>
      </c>
      <c r="E52" s="6">
        <v>0</v>
      </c>
      <c r="F52" s="6">
        <v>0</v>
      </c>
      <c r="G52" s="6">
        <v>2</v>
      </c>
      <c r="H52" s="6">
        <v>23631900000000</v>
      </c>
      <c r="I52" s="6">
        <v>23434600000000</v>
      </c>
      <c r="J52" s="6">
        <v>23649900000000</v>
      </c>
      <c r="K52" s="6">
        <v>23268500000000</v>
      </c>
      <c r="L52" s="6">
        <v>28503400000000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customHeight="1" spans="1:12">
      <c r="A53" s="6">
        <v>0.0520212</v>
      </c>
      <c r="B53" s="6">
        <v>0.052436</v>
      </c>
      <c r="C53" s="6">
        <v>122444000000000</v>
      </c>
      <c r="D53" s="6">
        <v>21848700000</v>
      </c>
      <c r="E53" s="6">
        <v>0</v>
      </c>
      <c r="F53" s="6">
        <v>0</v>
      </c>
      <c r="G53" s="6">
        <v>2</v>
      </c>
      <c r="H53" s="6">
        <v>23483900000000</v>
      </c>
      <c r="I53" s="6">
        <v>23287600000000</v>
      </c>
      <c r="J53" s="6">
        <v>23649300000000</v>
      </c>
      <c r="K53" s="6">
        <v>23220000000000</v>
      </c>
      <c r="L53" s="6">
        <v>28801100000000</v>
      </c>
    </row>
    <row r="54" customHeight="1" spans="1:12">
      <c r="A54" s="6">
        <v>0.0529936</v>
      </c>
      <c r="B54" s="6">
        <v>0.0534092</v>
      </c>
      <c r="C54" s="6">
        <v>122620000000000</v>
      </c>
      <c r="D54" s="6">
        <v>54160900000</v>
      </c>
      <c r="E54" s="6">
        <v>0</v>
      </c>
      <c r="F54" s="6">
        <v>0</v>
      </c>
      <c r="G54" s="6">
        <v>2</v>
      </c>
      <c r="H54" s="6">
        <v>23419600000000</v>
      </c>
      <c r="I54" s="6">
        <v>23503900000000</v>
      </c>
      <c r="J54" s="6">
        <v>23629400000000</v>
      </c>
      <c r="K54" s="6">
        <v>23376300000000</v>
      </c>
      <c r="L54" s="6">
        <v>28691100000000</v>
      </c>
    </row>
    <row r="55" customHeight="1" spans="1:12">
      <c r="A55" s="6">
        <v>0.0540112</v>
      </c>
      <c r="B55" s="6">
        <v>0.0544206</v>
      </c>
      <c r="C55" s="6">
        <v>122473000000000</v>
      </c>
      <c r="D55" s="6">
        <v>35067800000</v>
      </c>
      <c r="E55" s="6">
        <v>0</v>
      </c>
      <c r="F55" s="6">
        <v>0</v>
      </c>
      <c r="G55" s="6">
        <v>2</v>
      </c>
      <c r="H55" s="6">
        <v>23365600000000</v>
      </c>
      <c r="I55" s="6">
        <v>23417700000000</v>
      </c>
      <c r="J55" s="6">
        <v>23583300000000</v>
      </c>
      <c r="K55" s="6">
        <v>23405400000000</v>
      </c>
      <c r="L55" s="6">
        <v>28695200000000</v>
      </c>
    </row>
    <row r="56" customHeight="1" spans="1:12">
      <c r="A56" s="6">
        <v>0.0549946</v>
      </c>
      <c r="B56" s="6">
        <v>0.0554002</v>
      </c>
      <c r="C56" s="6">
        <v>122416000000000</v>
      </c>
      <c r="D56" s="6">
        <v>55956600000</v>
      </c>
      <c r="E56" s="6">
        <v>0</v>
      </c>
      <c r="F56" s="6">
        <v>0</v>
      </c>
      <c r="G56" s="6">
        <v>2</v>
      </c>
      <c r="H56" s="6">
        <v>23370100000000</v>
      </c>
      <c r="I56" s="6">
        <v>23428800000000</v>
      </c>
      <c r="J56" s="6">
        <v>23427000000000</v>
      </c>
      <c r="K56" s="6">
        <v>23228600000000</v>
      </c>
      <c r="L56" s="6">
        <v>28959000000000</v>
      </c>
    </row>
    <row r="57" customHeight="1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7"/>
  <sheetViews>
    <sheetView workbookViewId="0">
      <selection activeCell="A1" sqref="A1:M10"/>
    </sheetView>
  </sheetViews>
  <sheetFormatPr defaultColWidth="9.00666666666667" defaultRowHeight="15" customHeight="1"/>
  <cols>
    <col min="1" max="1" width="12.5733333333333" style="7" customWidth="1"/>
    <col min="2" max="2" width="12.44" style="7" customWidth="1"/>
    <col min="3" max="3" width="11.7133333333333" style="7" customWidth="1"/>
    <col min="4" max="4" width="12.44" style="7" customWidth="1"/>
    <col min="5" max="8" width="20.8533333333333" style="7" customWidth="1"/>
    <col min="9" max="9" width="12.44" style="7" customWidth="1"/>
    <col min="10" max="10" width="13.1466666666667" style="7" customWidth="1"/>
    <col min="11" max="11" width="10.42" style="7" customWidth="1"/>
    <col min="12" max="12" width="9.14" style="3" customWidth="1"/>
    <col min="13" max="13" width="11.8866666666667" customWidth="1"/>
    <col min="17" max="17" width="15.8533333333333" style="3" customWidth="1"/>
    <col min="28" max="28" width="16.84" style="7" customWidth="1"/>
    <col min="30" max="31" width="8.71333333333333" style="8" customWidth="1"/>
  </cols>
  <sheetData>
    <row r="1" customHeight="1" spans="1:28">
      <c r="A1" s="1" t="s">
        <v>30</v>
      </c>
      <c r="B1" s="1" t="s">
        <v>14</v>
      </c>
      <c r="C1" s="1" t="s">
        <v>15</v>
      </c>
      <c r="D1" s="1" t="s">
        <v>16</v>
      </c>
      <c r="E1" s="2" t="s">
        <v>17</v>
      </c>
      <c r="F1" s="2" t="s">
        <v>18</v>
      </c>
      <c r="G1" s="1" t="s">
        <v>19</v>
      </c>
      <c r="H1" s="1" t="s">
        <v>20</v>
      </c>
      <c r="I1" s="1" t="s">
        <v>21</v>
      </c>
      <c r="J1" s="2" t="s">
        <v>22</v>
      </c>
      <c r="K1" s="1" t="s">
        <v>31</v>
      </c>
      <c r="L1" s="4" t="s">
        <v>32</v>
      </c>
      <c r="M1" s="5" t="s">
        <v>33</v>
      </c>
      <c r="V1" s="14"/>
      <c r="W1" s="14"/>
      <c r="X1" s="14"/>
      <c r="Y1" s="14"/>
      <c r="Z1" s="14"/>
      <c r="AA1" s="14"/>
      <c r="AB1" s="15"/>
    </row>
    <row r="2" customHeight="1" spans="1:28">
      <c r="A2" s="1" t="s">
        <v>34</v>
      </c>
      <c r="B2" s="1">
        <f>'400K_SR20_Stress'!K3</f>
        <v>155.941333333333</v>
      </c>
      <c r="C2" s="1">
        <f>'400K_SR20_Stress'!L3</f>
        <v>69083300000000</v>
      </c>
      <c r="D2" s="1">
        <f>'400K_SR20_Stress'!M3</f>
        <v>122383333333333</v>
      </c>
      <c r="E2" s="3">
        <f>'400K_SR20_Stress'!N3</f>
        <v>62.5342589429888</v>
      </c>
      <c r="F2" s="3">
        <f>'400K_SR20_Stress'!O3</f>
        <v>11.0976582246442</v>
      </c>
      <c r="G2" s="1">
        <f>'400K_SR20_Stress'!P3</f>
        <v>63.5113498488246</v>
      </c>
      <c r="H2" s="1">
        <f>'400K_SR20_Stress'!Q3</f>
        <v>73.4015856</v>
      </c>
      <c r="I2" s="1">
        <f>'400K_SR20_Stress'!R3</f>
        <v>1.15572391036747</v>
      </c>
      <c r="J2" s="1">
        <f>'400K_SR20_Stress'!S3</f>
        <v>0.564482908892823</v>
      </c>
      <c r="K2" s="1">
        <v>20</v>
      </c>
      <c r="L2" s="4">
        <f t="shared" ref="L2:L13" si="0">H2-G2</f>
        <v>9.89023575117542</v>
      </c>
      <c r="M2" s="5">
        <f t="shared" ref="M2:M13" si="1">L2*1000000/SQRT(D2)</f>
        <v>0.894016439803202</v>
      </c>
      <c r="N2" s="1">
        <f>10^1.6229*(1000000000000)^-0.1597</f>
        <v>0.508744819644691</v>
      </c>
      <c r="V2" s="15"/>
      <c r="W2" s="15"/>
      <c r="X2" s="15"/>
      <c r="Y2" s="15"/>
      <c r="Z2" s="15"/>
      <c r="AA2" s="15"/>
      <c r="AB2" s="15"/>
    </row>
    <row r="3" customHeight="1" spans="1:28">
      <c r="A3" s="1" t="s">
        <v>35</v>
      </c>
      <c r="B3" s="1">
        <f>'400K_SR20_Stress'!K4</f>
        <v>167.2634</v>
      </c>
      <c r="C3" s="1">
        <f>'400K_SR20_Stress'!L4</f>
        <v>68027000000000</v>
      </c>
      <c r="D3" s="1">
        <f>'400K_SR20_Stress'!M4</f>
        <v>122817500000000</v>
      </c>
      <c r="E3" s="3">
        <f>'400K_SR20_Stress'!N4</f>
        <v>62.0543355341561</v>
      </c>
      <c r="F3" s="3">
        <f>'400K_SR20_Stress'!O4</f>
        <v>11.1173258028371</v>
      </c>
      <c r="G3" s="1">
        <f>'400K_SR20_Stress'!P4</f>
        <v>63.042330949863</v>
      </c>
      <c r="H3" s="1">
        <f>'400K_SR20_Stress'!Q4</f>
        <v>78.73088238</v>
      </c>
      <c r="I3" s="1">
        <f>'400K_SR20_Stress'!R4</f>
        <v>1.24885741364186</v>
      </c>
      <c r="J3" s="1">
        <f>'400K_SR20_Stress'!S4</f>
        <v>0.55388686465691</v>
      </c>
      <c r="K3" s="1">
        <v>20</v>
      </c>
      <c r="L3" s="4">
        <f t="shared" si="0"/>
        <v>15.688551430137</v>
      </c>
      <c r="M3" s="5">
        <f t="shared" si="1"/>
        <v>1.41563965397505</v>
      </c>
      <c r="V3" s="15"/>
      <c r="W3" s="15"/>
      <c r="X3" s="15"/>
      <c r="Y3" s="15"/>
      <c r="Z3" s="15"/>
      <c r="AA3" s="15"/>
      <c r="AB3" s="15"/>
    </row>
    <row r="4" customHeight="1" spans="1:28">
      <c r="A4" s="1" t="s">
        <v>36</v>
      </c>
      <c r="B4" s="1">
        <f>'400K_SR20_Stress'!K5</f>
        <v>87.40314</v>
      </c>
      <c r="C4" s="1">
        <f>'400K_SR20_Stress'!L5</f>
        <v>9284870000000</v>
      </c>
      <c r="D4" s="1">
        <f>'400K_SR20_Stress'!M5</f>
        <v>126914000000000</v>
      </c>
      <c r="E4" s="3">
        <f>'400K_SR20_Stress'!N5</f>
        <v>22.9255299612382</v>
      </c>
      <c r="F4" s="3">
        <f>'400K_SR20_Stress'!O5</f>
        <v>11.3012107224155</v>
      </c>
      <c r="G4" s="1">
        <f>'400K_SR20_Stress'!P5</f>
        <v>25.5596809016871</v>
      </c>
      <c r="H4" s="1">
        <f>'400K_SR20_Stress'!Q5</f>
        <v>41.140657998</v>
      </c>
      <c r="I4" s="1">
        <f>'400K_SR20_Stress'!R5</f>
        <v>1.6095920037595</v>
      </c>
      <c r="J4" s="1">
        <f>'400K_SR20_Stress'!S5</f>
        <v>0.0731587531714389</v>
      </c>
      <c r="K4" s="1">
        <v>20</v>
      </c>
      <c r="L4" s="4">
        <f t="shared" si="0"/>
        <v>15.5809770963129</v>
      </c>
      <c r="M4" s="5">
        <f t="shared" si="1"/>
        <v>1.38305650322362</v>
      </c>
      <c r="V4" s="15"/>
      <c r="W4" s="15"/>
      <c r="X4" s="15"/>
      <c r="Y4" s="15"/>
      <c r="Z4" s="15"/>
      <c r="AA4" s="15"/>
      <c r="AB4" s="15"/>
    </row>
    <row r="5" customHeight="1" spans="1:36">
      <c r="A5" s="1" t="s">
        <v>37</v>
      </c>
      <c r="B5" s="1">
        <f>'400K_SR40_Stress'!K3</f>
        <v>130.623666666667</v>
      </c>
      <c r="C5" s="1">
        <f>'400K_SR40_Stress'!L3</f>
        <v>18026600000000</v>
      </c>
      <c r="D5" s="1">
        <f>'400K_SR40_Stress'!M3</f>
        <v>127740000000000</v>
      </c>
      <c r="E5" s="3">
        <f>'400K_SR40_Stress'!N3</f>
        <v>31.9439326267283</v>
      </c>
      <c r="F5" s="3">
        <f>'400K_SR40_Stress'!O3</f>
        <v>11.3379271633109</v>
      </c>
      <c r="G5" s="1">
        <f>'400K_SR40_Stress'!P3</f>
        <v>33.896362991057</v>
      </c>
      <c r="H5" s="1">
        <f>'400K_SR40_Stress'!Q3</f>
        <v>61.4845599</v>
      </c>
      <c r="I5" s="1">
        <f>'400K_SR40_Stress'!R3</f>
        <v>1.81389843849093</v>
      </c>
      <c r="J5" s="1">
        <f>'400K_SR40_Stress'!S3</f>
        <v>0.141119461405981</v>
      </c>
      <c r="K5" s="1">
        <v>40</v>
      </c>
      <c r="L5" s="4">
        <f t="shared" si="0"/>
        <v>27.588196908943</v>
      </c>
      <c r="M5" s="5">
        <f t="shared" si="1"/>
        <v>2.44095549499838</v>
      </c>
      <c r="N5" s="2"/>
      <c r="O5" s="2"/>
      <c r="V5" s="6"/>
      <c r="W5" s="6"/>
      <c r="X5" s="6"/>
      <c r="Y5" s="6"/>
      <c r="Z5" s="6"/>
      <c r="AA5" s="6"/>
      <c r="AB5" s="2"/>
      <c r="AD5" s="16"/>
      <c r="AE5" s="6"/>
      <c r="AF5" s="6"/>
      <c r="AG5" s="6"/>
      <c r="AH5" s="6"/>
      <c r="AI5" s="6"/>
      <c r="AJ5" s="2"/>
    </row>
    <row r="6" customHeight="1" spans="1:36">
      <c r="A6" s="1" t="s">
        <v>38</v>
      </c>
      <c r="B6" s="1">
        <f>'400K_SR40_Stress'!K4</f>
        <v>172.868666666667</v>
      </c>
      <c r="C6" s="1">
        <f>'400K_SR40_Stress'!L4</f>
        <v>67081180000000</v>
      </c>
      <c r="D6" s="1">
        <f>'400K_SR40_Stress'!M4</f>
        <v>123640200000000</v>
      </c>
      <c r="E6" s="3">
        <f>'400K_SR40_Stress'!N4</f>
        <v>61.6214363133317</v>
      </c>
      <c r="F6" s="3">
        <f>'400K_SR40_Stress'!O4</f>
        <v>11.1544986747761</v>
      </c>
      <c r="G6" s="1">
        <f>'400K_SR40_Stress'!P4</f>
        <v>62.6228732493454</v>
      </c>
      <c r="H6" s="1">
        <f>'400K_SR40_Stress'!Q4</f>
        <v>81.3692814</v>
      </c>
      <c r="I6" s="1">
        <f>'400K_SR40_Stress'!R4</f>
        <v>1.29935400881419</v>
      </c>
      <c r="J6" s="1">
        <f>'400K_SR40_Stress'!S4</f>
        <v>0.54255153259215</v>
      </c>
      <c r="K6" s="1">
        <v>40</v>
      </c>
      <c r="L6" s="4">
        <f t="shared" si="0"/>
        <v>18.7464081506546</v>
      </c>
      <c r="M6" s="5">
        <f t="shared" si="1"/>
        <v>1.68592487647485</v>
      </c>
      <c r="N6" s="2"/>
      <c r="V6" s="6"/>
      <c r="W6" s="6"/>
      <c r="X6" s="6"/>
      <c r="Y6" s="6"/>
      <c r="Z6" s="6"/>
      <c r="AA6" s="6"/>
      <c r="AB6" s="2"/>
      <c r="AD6" s="16"/>
      <c r="AE6" s="6"/>
      <c r="AF6" s="6"/>
      <c r="AG6" s="6"/>
      <c r="AH6" s="6"/>
      <c r="AI6" s="6"/>
      <c r="AJ6" s="2"/>
    </row>
    <row r="7" customHeight="1" spans="1:36">
      <c r="A7" s="1" t="s">
        <v>39</v>
      </c>
      <c r="B7" s="1" t="e">
        <f>'400K_SR40_Stress'!K5</f>
        <v>#DIV/0!</v>
      </c>
      <c r="C7" s="1" t="e">
        <f>'400K_SR40_Stress'!L5</f>
        <v>#DIV/0!</v>
      </c>
      <c r="D7" s="1" t="e">
        <f>'400K_SR40_Stress'!M5</f>
        <v>#DIV/0!</v>
      </c>
      <c r="E7" s="3" t="e">
        <f>'400K_SR40_Stress'!N5</f>
        <v>#DIV/0!</v>
      </c>
      <c r="F7" s="3" t="e">
        <f>'400K_SR40_Stress'!O5</f>
        <v>#DIV/0!</v>
      </c>
      <c r="G7" s="1" t="e">
        <f>'400K_SR40_Stress'!P5</f>
        <v>#DIV/0!</v>
      </c>
      <c r="H7" s="1" t="e">
        <f>'400K_SR40_Stress'!Q5</f>
        <v>#DIV/0!</v>
      </c>
      <c r="I7" s="1" t="e">
        <f>'400K_SR40_Stress'!R5</f>
        <v>#DIV/0!</v>
      </c>
      <c r="J7" s="1" t="e">
        <f>'400K_SR40_Stress'!S5</f>
        <v>#DIV/0!</v>
      </c>
      <c r="K7" s="1">
        <v>40</v>
      </c>
      <c r="L7" s="4" t="e">
        <f t="shared" si="0"/>
        <v>#DIV/0!</v>
      </c>
      <c r="M7" s="5" t="e">
        <f t="shared" si="1"/>
        <v>#DIV/0!</v>
      </c>
      <c r="N7" s="2"/>
      <c r="V7" s="6"/>
      <c r="W7" s="6"/>
      <c r="X7" s="6"/>
      <c r="Y7" s="6"/>
      <c r="Z7" s="6"/>
      <c r="AA7" s="6"/>
      <c r="AB7" s="2"/>
      <c r="AD7" s="16"/>
      <c r="AE7" s="6"/>
      <c r="AF7" s="6"/>
      <c r="AG7" s="6"/>
      <c r="AH7" s="6"/>
      <c r="AI7" s="6"/>
      <c r="AJ7" s="2"/>
    </row>
    <row r="8" customHeight="1" spans="1:36">
      <c r="A8" s="1" t="s">
        <v>40</v>
      </c>
      <c r="B8" s="1">
        <f>'400K_SR100_Stress'!K3</f>
        <v>134.5096</v>
      </c>
      <c r="C8" s="1">
        <f>'400K_SR100_Stress'!L3</f>
        <v>20713220000000</v>
      </c>
      <c r="D8" s="1">
        <f>'400K_SR100_Stress'!M3</f>
        <v>128675600000000</v>
      </c>
      <c r="E8" s="3">
        <f>'400K_SR100_Stress'!N3</f>
        <v>34.2416969369005</v>
      </c>
      <c r="F8" s="3">
        <f>'400K_SR100_Stress'!O3</f>
        <v>11.379372333089</v>
      </c>
      <c r="G8" s="1">
        <f>'400K_SR100_Stress'!P3</f>
        <v>36.0830143393483</v>
      </c>
      <c r="H8" s="1">
        <f>'400K_SR100_Stress'!Q3</f>
        <v>63.31366872</v>
      </c>
      <c r="I8" s="1">
        <f>'400K_SR100_Stress'!R3</f>
        <v>1.75466683921018</v>
      </c>
      <c r="J8" s="1">
        <f>'400K_SR100_Stress'!S3</f>
        <v>0.160972398807544</v>
      </c>
      <c r="K8" s="1">
        <v>100</v>
      </c>
      <c r="L8" s="4">
        <f t="shared" si="0"/>
        <v>27.2306543806517</v>
      </c>
      <c r="M8" s="5">
        <f t="shared" si="1"/>
        <v>2.40054569346175</v>
      </c>
      <c r="N8" s="2"/>
      <c r="V8" s="6"/>
      <c r="W8" s="6"/>
      <c r="X8" s="6"/>
      <c r="Y8" s="6"/>
      <c r="Z8" s="6"/>
      <c r="AA8" s="6"/>
      <c r="AB8" s="2"/>
      <c r="AD8" s="16"/>
      <c r="AE8" s="6"/>
      <c r="AF8" s="6"/>
      <c r="AG8" s="6"/>
      <c r="AH8" s="6"/>
      <c r="AI8" s="6"/>
      <c r="AJ8" s="2"/>
    </row>
    <row r="9" customHeight="1" spans="1:36">
      <c r="A9" s="1" t="s">
        <v>41</v>
      </c>
      <c r="B9" s="1">
        <f>'400K_SR100_Stress'!K4</f>
        <v>111.4318</v>
      </c>
      <c r="C9" s="1">
        <f>'400K_SR100_Stress'!L4</f>
        <v>61122033333333.3</v>
      </c>
      <c r="D9" s="1">
        <f>'400K_SR100_Stress'!M4</f>
        <v>158345500000000</v>
      </c>
      <c r="E9" s="3">
        <f>'400K_SR100_Stress'!N4</f>
        <v>58.8207241496133</v>
      </c>
      <c r="F9" s="3">
        <f>'400K_SR100_Stress'!O4</f>
        <v>12.6233048261866</v>
      </c>
      <c r="G9" s="1">
        <f>'400K_SR100_Stress'!P4</f>
        <v>60.1599984559485</v>
      </c>
      <c r="H9" s="1">
        <f>'400K_SR100_Stress'!Q4</f>
        <v>52.45094826</v>
      </c>
      <c r="I9" s="1">
        <f>'400K_SR100_Stress'!R4</f>
        <v>0.871857539996558</v>
      </c>
      <c r="J9" s="1">
        <f>'400K_SR100_Stress'!S4</f>
        <v>0.38600423335891</v>
      </c>
      <c r="K9" s="1">
        <v>100</v>
      </c>
      <c r="L9" s="4">
        <f t="shared" si="0"/>
        <v>-7.70905019594851</v>
      </c>
      <c r="M9" s="5">
        <f t="shared" si="1"/>
        <v>-0.612629648182546</v>
      </c>
      <c r="N9" s="2"/>
      <c r="V9" s="6"/>
      <c r="W9" s="6"/>
      <c r="X9" s="6"/>
      <c r="Y9" s="6"/>
      <c r="Z9" s="6"/>
      <c r="AA9" s="6"/>
      <c r="AB9" s="2"/>
      <c r="AD9" s="16"/>
      <c r="AE9" s="6"/>
      <c r="AF9" s="6"/>
      <c r="AG9" s="6"/>
      <c r="AH9" s="6"/>
      <c r="AI9" s="6"/>
      <c r="AJ9" s="2"/>
    </row>
    <row r="10" customHeight="1" spans="1:36">
      <c r="A10" s="1" t="s">
        <v>42</v>
      </c>
      <c r="B10" s="1" t="e">
        <f>'400K_SR100_Stress'!K5</f>
        <v>#DIV/0!</v>
      </c>
      <c r="C10" s="1" t="e">
        <f>'400K_SR100_Stress'!L5</f>
        <v>#DIV/0!</v>
      </c>
      <c r="D10" s="1" t="e">
        <f>'400K_SR100_Stress'!M5</f>
        <v>#DIV/0!</v>
      </c>
      <c r="E10" s="3" t="e">
        <f>'400K_SR100_Stress'!N5</f>
        <v>#DIV/0!</v>
      </c>
      <c r="F10" s="3" t="e">
        <f>'400K_SR100_Stress'!O5</f>
        <v>#DIV/0!</v>
      </c>
      <c r="G10" s="1" t="e">
        <f>'400K_SR100_Stress'!P5</f>
        <v>#DIV/0!</v>
      </c>
      <c r="H10" s="1" t="e">
        <f>'400K_SR100_Stress'!Q5</f>
        <v>#DIV/0!</v>
      </c>
      <c r="I10" s="1" t="e">
        <f>'400K_SR100_Stress'!R5</f>
        <v>#DIV/0!</v>
      </c>
      <c r="J10" s="1" t="e">
        <f>'400K_SR100_Stress'!S5</f>
        <v>#DIV/0!</v>
      </c>
      <c r="K10" s="1">
        <v>100</v>
      </c>
      <c r="L10" s="4" t="e">
        <f t="shared" si="0"/>
        <v>#DIV/0!</v>
      </c>
      <c r="M10" s="5" t="e">
        <f t="shared" si="1"/>
        <v>#DIV/0!</v>
      </c>
      <c r="N10" s="2"/>
      <c r="V10" s="6"/>
      <c r="W10" s="6"/>
      <c r="X10" s="6"/>
      <c r="Y10" s="6"/>
      <c r="Z10" s="6"/>
      <c r="AA10" s="6"/>
      <c r="AB10" s="2"/>
      <c r="AD10" s="16"/>
      <c r="AE10" s="6"/>
      <c r="AF10" s="6"/>
      <c r="AG10" s="6"/>
      <c r="AH10" s="6"/>
      <c r="AI10" s="6"/>
      <c r="AJ10" s="2"/>
    </row>
    <row r="11" customHeight="1" spans="3:36">
      <c r="C11" s="6"/>
      <c r="D11" s="6"/>
      <c r="E11" s="2"/>
      <c r="F11" s="2"/>
      <c r="J11" s="2"/>
      <c r="L11" s="4"/>
      <c r="M11" s="5"/>
      <c r="N11" s="2"/>
      <c r="V11" s="6"/>
      <c r="W11" s="6"/>
      <c r="X11" s="6"/>
      <c r="Y11" s="6"/>
      <c r="Z11" s="6"/>
      <c r="AA11" s="6"/>
      <c r="AB11" s="2"/>
      <c r="AD11" s="16"/>
      <c r="AE11" s="6"/>
      <c r="AF11" s="6"/>
      <c r="AG11" s="6"/>
      <c r="AH11" s="6"/>
      <c r="AI11" s="6"/>
      <c r="AJ11" s="2"/>
    </row>
    <row r="12" customHeight="1" spans="3:36">
      <c r="C12" s="6"/>
      <c r="D12" s="6"/>
      <c r="E12" s="2"/>
      <c r="F12" s="2"/>
      <c r="J12" s="2"/>
      <c r="L12" s="4"/>
      <c r="M12" s="5"/>
      <c r="N12" s="2"/>
      <c r="V12" s="6"/>
      <c r="W12" s="6"/>
      <c r="X12" s="6"/>
      <c r="Y12" s="6"/>
      <c r="Z12" s="6"/>
      <c r="AA12" s="6"/>
      <c r="AB12" s="2"/>
      <c r="AD12" s="16"/>
      <c r="AE12" s="6"/>
      <c r="AF12" s="6"/>
      <c r="AG12" s="6"/>
      <c r="AH12" s="6"/>
      <c r="AI12" s="6"/>
      <c r="AJ12" s="2"/>
    </row>
    <row r="13" customHeight="1" spans="3:36">
      <c r="C13" s="6"/>
      <c r="D13" s="6"/>
      <c r="E13" s="2"/>
      <c r="F13" s="2"/>
      <c r="J13" s="2"/>
      <c r="L13" s="4"/>
      <c r="M13" s="5"/>
      <c r="N13" s="2"/>
      <c r="V13" s="6"/>
      <c r="W13" s="6"/>
      <c r="X13" s="6"/>
      <c r="Y13" s="6"/>
      <c r="Z13" s="6"/>
      <c r="AA13" s="6"/>
      <c r="AB13" s="2"/>
      <c r="AD13" s="16"/>
      <c r="AE13" s="6"/>
      <c r="AF13" s="6"/>
      <c r="AG13" s="6"/>
      <c r="AH13" s="6"/>
      <c r="AI13" s="6"/>
      <c r="AJ13" s="2"/>
    </row>
    <row r="14" customHeight="1" spans="3:36">
      <c r="C14" s="6"/>
      <c r="D14" s="6"/>
      <c r="E14" s="2"/>
      <c r="F14" s="2"/>
      <c r="J14" s="2"/>
      <c r="V14" s="6"/>
      <c r="W14" s="6"/>
      <c r="X14" s="6"/>
      <c r="Y14" s="6"/>
      <c r="Z14" s="6"/>
      <c r="AA14" s="6"/>
      <c r="AB14" s="2"/>
      <c r="AD14" s="16"/>
      <c r="AE14" s="6"/>
      <c r="AF14" s="6"/>
      <c r="AG14" s="6"/>
      <c r="AH14" s="6"/>
      <c r="AI14" s="6"/>
      <c r="AJ14" s="2"/>
    </row>
    <row r="15" customHeight="1" spans="3:36">
      <c r="C15" s="6"/>
      <c r="D15" s="6"/>
      <c r="E15" s="2"/>
      <c r="F15" s="2"/>
      <c r="J15" s="2"/>
      <c r="V15" s="6"/>
      <c r="W15" s="6"/>
      <c r="X15" s="6"/>
      <c r="Y15" s="6"/>
      <c r="Z15" s="6"/>
      <c r="AA15" s="6"/>
      <c r="AB15" s="2"/>
      <c r="AD15" s="16"/>
      <c r="AE15" s="6"/>
      <c r="AF15" s="6"/>
      <c r="AG15" s="6"/>
      <c r="AH15" s="6"/>
      <c r="AI15" s="6"/>
      <c r="AJ15" s="2"/>
    </row>
    <row r="16" customHeight="1" spans="3:36">
      <c r="C16" s="6"/>
      <c r="D16" s="6"/>
      <c r="E16" s="2"/>
      <c r="F16" s="2"/>
      <c r="J16" s="2"/>
      <c r="V16" s="6"/>
      <c r="W16" s="6"/>
      <c r="X16" s="6"/>
      <c r="Y16" s="6"/>
      <c r="Z16" s="6"/>
      <c r="AA16" s="6"/>
      <c r="AB16" s="2"/>
      <c r="AD16" s="16"/>
      <c r="AE16" s="6"/>
      <c r="AF16" s="6"/>
      <c r="AG16" s="6"/>
      <c r="AH16" s="6"/>
      <c r="AI16" s="6"/>
      <c r="AJ16" s="2"/>
    </row>
    <row r="17" customHeight="1" spans="3:36">
      <c r="C17" s="6"/>
      <c r="D17" s="6"/>
      <c r="E17" s="2"/>
      <c r="F17" s="2"/>
      <c r="J17" s="2"/>
      <c r="V17" s="6"/>
      <c r="W17" s="6"/>
      <c r="X17" s="6"/>
      <c r="Y17" s="6"/>
      <c r="Z17" s="6"/>
      <c r="AA17" s="6"/>
      <c r="AB17" s="2"/>
      <c r="AD17" s="16"/>
      <c r="AE17" s="6"/>
      <c r="AF17" s="6"/>
      <c r="AG17" s="6"/>
      <c r="AH17" s="6"/>
      <c r="AI17" s="6"/>
      <c r="AJ17" s="2"/>
    </row>
    <row r="18" customHeight="1" spans="2:36">
      <c r="B18" s="9"/>
      <c r="C18" s="10"/>
      <c r="D18" s="10"/>
      <c r="E18" s="2"/>
      <c r="F18" s="11"/>
      <c r="G18" s="9"/>
      <c r="H18" s="9"/>
      <c r="I18" s="9"/>
      <c r="J18" s="2"/>
      <c r="V18" s="6"/>
      <c r="W18" s="6"/>
      <c r="X18" s="6"/>
      <c r="Y18" s="6"/>
      <c r="Z18" s="6"/>
      <c r="AA18" s="6"/>
      <c r="AB18" s="2"/>
      <c r="AD18" s="16"/>
      <c r="AE18" s="6"/>
      <c r="AF18" s="6"/>
      <c r="AG18" s="6"/>
      <c r="AH18" s="6"/>
      <c r="AI18" s="6"/>
      <c r="AJ18" s="2"/>
    </row>
    <row r="19" customHeight="1" spans="3:36">
      <c r="C19" s="6"/>
      <c r="D19" s="6"/>
      <c r="E19" s="2"/>
      <c r="F19" s="2"/>
      <c r="J19" s="2"/>
      <c r="V19" s="6"/>
      <c r="W19" s="6"/>
      <c r="X19" s="6"/>
      <c r="Y19" s="6"/>
      <c r="Z19" s="6"/>
      <c r="AA19" s="6"/>
      <c r="AB19" s="2"/>
      <c r="AD19" s="16"/>
      <c r="AE19" s="6"/>
      <c r="AF19" s="6"/>
      <c r="AG19" s="6"/>
      <c r="AH19" s="6"/>
      <c r="AI19" s="6"/>
      <c r="AJ19" s="2"/>
    </row>
    <row r="20" customHeight="1" spans="22:36">
      <c r="V20" s="6"/>
      <c r="W20" s="6"/>
      <c r="X20" s="6"/>
      <c r="Y20" s="6"/>
      <c r="Z20" s="6"/>
      <c r="AA20" s="6"/>
      <c r="AB20" s="2"/>
      <c r="AD20" s="16"/>
      <c r="AE20" s="6"/>
      <c r="AF20" s="6"/>
      <c r="AG20" s="6"/>
      <c r="AH20" s="6"/>
      <c r="AI20" s="6"/>
      <c r="AJ20" s="2"/>
    </row>
    <row r="21" customHeight="1" spans="22:36">
      <c r="V21" s="6"/>
      <c r="W21" s="6"/>
      <c r="X21" s="6"/>
      <c r="Y21" s="6"/>
      <c r="Z21" s="6"/>
      <c r="AA21" s="6"/>
      <c r="AB21" s="2"/>
      <c r="AD21" s="16"/>
      <c r="AE21" s="6"/>
      <c r="AF21" s="6"/>
      <c r="AG21" s="6"/>
      <c r="AH21" s="6"/>
      <c r="AI21" s="6"/>
      <c r="AJ21" s="2"/>
    </row>
    <row r="22" customHeight="1" spans="22:36">
      <c r="V22" s="6"/>
      <c r="W22" s="6"/>
      <c r="X22" s="6"/>
      <c r="Y22" s="6"/>
      <c r="Z22" s="6"/>
      <c r="AA22" s="6"/>
      <c r="AB22" s="2"/>
      <c r="AD22" s="16"/>
      <c r="AE22" s="6"/>
      <c r="AF22" s="6"/>
      <c r="AG22" s="6"/>
      <c r="AH22" s="6"/>
      <c r="AI22" s="6"/>
      <c r="AJ22" s="2"/>
    </row>
    <row r="23" customHeight="1" spans="22:36">
      <c r="V23" s="6"/>
      <c r="W23" s="6"/>
      <c r="X23" s="6"/>
      <c r="Y23" s="6"/>
      <c r="Z23" s="6"/>
      <c r="AA23" s="6"/>
      <c r="AB23" s="2"/>
      <c r="AD23" s="16"/>
      <c r="AE23" s="6"/>
      <c r="AF23" s="6"/>
      <c r="AG23" s="6"/>
      <c r="AH23" s="6"/>
      <c r="AI23" s="6"/>
      <c r="AJ23" s="2"/>
    </row>
    <row r="24" customHeight="1" spans="22:36">
      <c r="V24" s="6"/>
      <c r="W24" s="6"/>
      <c r="X24" s="6"/>
      <c r="Y24" s="6"/>
      <c r="Z24" s="6"/>
      <c r="AA24" s="6"/>
      <c r="AB24" s="2"/>
      <c r="AD24" s="16"/>
      <c r="AE24" s="6"/>
      <c r="AF24" s="6"/>
      <c r="AG24" s="6"/>
      <c r="AH24" s="6"/>
      <c r="AI24" s="6"/>
      <c r="AJ24" s="2"/>
    </row>
    <row r="25" customHeight="1" spans="17:36">
      <c r="Q25" s="13"/>
      <c r="R25" s="6"/>
      <c r="V25" s="6"/>
      <c r="W25" s="6"/>
      <c r="X25" s="6"/>
      <c r="Y25" s="6"/>
      <c r="Z25" s="6"/>
      <c r="AA25" s="6"/>
      <c r="AB25" s="2"/>
      <c r="AD25" s="16"/>
      <c r="AE25" s="6"/>
      <c r="AF25" s="6"/>
      <c r="AG25" s="6"/>
      <c r="AH25" s="6"/>
      <c r="AI25" s="6"/>
      <c r="AJ25" s="2"/>
    </row>
    <row r="26" customHeight="1" spans="17:36">
      <c r="Q26" s="13"/>
      <c r="R26" s="6"/>
      <c r="V26" s="6"/>
      <c r="W26" s="6"/>
      <c r="X26" s="6"/>
      <c r="Y26" s="6"/>
      <c r="Z26" s="6"/>
      <c r="AA26" s="6"/>
      <c r="AB26" s="2"/>
      <c r="AD26" s="16"/>
      <c r="AE26" s="6"/>
      <c r="AF26" s="6"/>
      <c r="AG26" s="6"/>
      <c r="AH26" s="6"/>
      <c r="AI26" s="6"/>
      <c r="AJ26" s="2"/>
    </row>
    <row r="27" customHeight="1" spans="4:36">
      <c r="D27" s="6"/>
      <c r="E27" s="6"/>
      <c r="F27" s="2"/>
      <c r="G27" s="2"/>
      <c r="K27" s="2"/>
      <c r="L27" s="2"/>
      <c r="Q27" s="13"/>
      <c r="R27" s="6"/>
      <c r="V27" s="6"/>
      <c r="W27" s="6"/>
      <c r="X27" s="6"/>
      <c r="Y27" s="6"/>
      <c r="Z27" s="6"/>
      <c r="AA27" s="6"/>
      <c r="AB27" s="2"/>
      <c r="AD27" s="16"/>
      <c r="AE27" s="6"/>
      <c r="AF27" s="6"/>
      <c r="AG27" s="6"/>
      <c r="AH27" s="6"/>
      <c r="AI27" s="6"/>
      <c r="AJ27" s="2"/>
    </row>
    <row r="28" customHeight="1" spans="4:36">
      <c r="D28" s="6"/>
      <c r="E28" s="6"/>
      <c r="F28" s="2"/>
      <c r="G28" s="2"/>
      <c r="K28" s="2"/>
      <c r="L28" s="2"/>
      <c r="Q28" s="13"/>
      <c r="R28" s="6"/>
      <c r="U28" s="6"/>
      <c r="V28" s="6"/>
      <c r="W28" s="6"/>
      <c r="X28" s="6"/>
      <c r="Y28" s="6"/>
      <c r="Z28" s="6"/>
      <c r="AA28" s="6"/>
      <c r="AB28" s="2"/>
      <c r="AD28" s="16"/>
      <c r="AE28" s="6"/>
      <c r="AF28" s="6"/>
      <c r="AG28" s="6"/>
      <c r="AH28" s="6"/>
      <c r="AI28" s="6"/>
      <c r="AJ28" s="2"/>
    </row>
    <row r="29" customHeight="1" spans="4:36">
      <c r="D29" s="6"/>
      <c r="E29" s="6"/>
      <c r="F29" s="2"/>
      <c r="G29" s="2"/>
      <c r="K29" s="2"/>
      <c r="L29" s="2"/>
      <c r="Q29" s="13"/>
      <c r="R29" s="6"/>
      <c r="U29" s="6"/>
      <c r="V29" s="6"/>
      <c r="W29" s="6"/>
      <c r="X29" s="6"/>
      <c r="Y29" s="6"/>
      <c r="Z29" s="6"/>
      <c r="AA29" s="6"/>
      <c r="AB29" s="2"/>
      <c r="AD29" s="16"/>
      <c r="AE29" s="6"/>
      <c r="AF29" s="6"/>
      <c r="AG29" s="6"/>
      <c r="AH29" s="6"/>
      <c r="AI29" s="6"/>
      <c r="AJ29" s="2"/>
    </row>
    <row r="30" customHeight="1" spans="17:36">
      <c r="Q30" s="13"/>
      <c r="R30" s="6"/>
      <c r="U30" s="6"/>
      <c r="V30" s="6"/>
      <c r="W30" s="6"/>
      <c r="X30" s="6"/>
      <c r="Y30" s="6"/>
      <c r="Z30" s="6"/>
      <c r="AA30" s="6"/>
      <c r="AB30" s="2"/>
      <c r="AD30" s="16"/>
      <c r="AE30" s="6"/>
      <c r="AF30" s="6"/>
      <c r="AG30" s="6"/>
      <c r="AH30" s="6"/>
      <c r="AI30" s="6"/>
      <c r="AJ30" s="2"/>
    </row>
    <row r="31" customHeight="1" spans="17:36">
      <c r="Q31" s="13"/>
      <c r="R31" s="6"/>
      <c r="U31" s="6"/>
      <c r="V31" s="6"/>
      <c r="W31" s="6"/>
      <c r="X31" s="6"/>
      <c r="Y31" s="6"/>
      <c r="Z31" s="6"/>
      <c r="AA31" s="6"/>
      <c r="AB31" s="2"/>
      <c r="AD31" s="16"/>
      <c r="AE31" s="6"/>
      <c r="AF31" s="6"/>
      <c r="AG31" s="6"/>
      <c r="AH31" s="6"/>
      <c r="AI31" s="6"/>
      <c r="AJ31" s="2"/>
    </row>
    <row r="32" customHeight="1" spans="17:36">
      <c r="Q32" s="13"/>
      <c r="R32" s="6"/>
      <c r="U32" s="6"/>
      <c r="V32" s="6"/>
      <c r="W32" s="6"/>
      <c r="X32" s="6"/>
      <c r="Y32" s="6"/>
      <c r="Z32" s="6"/>
      <c r="AA32" s="6"/>
      <c r="AB32" s="2"/>
      <c r="AD32" s="16"/>
      <c r="AE32" s="6"/>
      <c r="AF32" s="6"/>
      <c r="AG32" s="6"/>
      <c r="AH32" s="6"/>
      <c r="AI32" s="6"/>
      <c r="AJ32" s="2"/>
    </row>
    <row r="33" customHeight="1" spans="17:36">
      <c r="Q33" s="13"/>
      <c r="R33" s="6"/>
      <c r="U33" s="6"/>
      <c r="V33" s="6"/>
      <c r="W33" s="6"/>
      <c r="X33" s="6"/>
      <c r="Y33" s="6"/>
      <c r="Z33" s="6"/>
      <c r="AA33" s="6"/>
      <c r="AB33" s="2"/>
      <c r="AD33" s="16"/>
      <c r="AE33" s="6"/>
      <c r="AF33" s="6"/>
      <c r="AG33" s="6"/>
      <c r="AH33" s="6"/>
      <c r="AI33" s="6"/>
      <c r="AJ33" s="2"/>
    </row>
    <row r="34" customHeight="1" spans="17:36">
      <c r="Q34" s="13"/>
      <c r="R34" s="6"/>
      <c r="U34" s="6"/>
      <c r="V34" s="6"/>
      <c r="W34" s="6"/>
      <c r="X34" s="6"/>
      <c r="Y34" s="6"/>
      <c r="Z34" s="6"/>
      <c r="AA34" s="6"/>
      <c r="AB34" s="2"/>
      <c r="AD34" s="16"/>
      <c r="AE34" s="6"/>
      <c r="AF34" s="6"/>
      <c r="AG34" s="6"/>
      <c r="AH34" s="6"/>
      <c r="AI34" s="6"/>
      <c r="AJ34" s="2"/>
    </row>
    <row r="35" customHeight="1" spans="17:36">
      <c r="Q35" s="12"/>
      <c r="R35" s="6"/>
      <c r="U35" s="6"/>
      <c r="V35" s="6"/>
      <c r="W35" s="6"/>
      <c r="X35" s="6"/>
      <c r="Y35" s="6"/>
      <c r="Z35" s="6"/>
      <c r="AA35" s="6"/>
      <c r="AB35" s="2"/>
      <c r="AD35" s="16"/>
      <c r="AE35" s="6"/>
      <c r="AF35" s="6"/>
      <c r="AG35" s="6"/>
      <c r="AH35" s="6"/>
      <c r="AI35" s="6"/>
      <c r="AJ35" s="2"/>
    </row>
    <row r="36" customHeight="1" spans="17:36">
      <c r="Q36" s="12"/>
      <c r="R36" s="6"/>
      <c r="U36" s="6"/>
      <c r="V36" s="6"/>
      <c r="W36" s="6"/>
      <c r="X36" s="6"/>
      <c r="Y36" s="6"/>
      <c r="Z36" s="6"/>
      <c r="AA36" s="6"/>
      <c r="AB36" s="2"/>
      <c r="AD36" s="16"/>
      <c r="AE36" s="6"/>
      <c r="AF36" s="6"/>
      <c r="AG36" s="6"/>
      <c r="AH36" s="6"/>
      <c r="AI36" s="6"/>
      <c r="AJ36" s="2"/>
    </row>
    <row r="37" customHeight="1" spans="17:36">
      <c r="Q37" s="12"/>
      <c r="R37" s="6"/>
      <c r="U37" s="6"/>
      <c r="V37" s="6"/>
      <c r="W37" s="6"/>
      <c r="X37" s="6"/>
      <c r="Y37" s="6"/>
      <c r="Z37" s="6"/>
      <c r="AA37" s="6"/>
      <c r="AB37" s="2"/>
      <c r="AD37" s="16"/>
      <c r="AE37" s="6"/>
      <c r="AF37" s="6"/>
      <c r="AG37" s="6"/>
      <c r="AH37" s="6"/>
      <c r="AI37" s="6"/>
      <c r="AJ37" s="2"/>
    </row>
    <row r="38" customHeight="1" spans="17:36">
      <c r="Q38" s="12"/>
      <c r="R38" s="6"/>
      <c r="V38" s="6"/>
      <c r="W38" s="6"/>
      <c r="X38" s="6"/>
      <c r="Y38" s="6"/>
      <c r="Z38" s="6"/>
      <c r="AA38" s="6"/>
      <c r="AB38" s="2"/>
      <c r="AD38" s="16"/>
      <c r="AE38" s="6"/>
      <c r="AF38" s="6"/>
      <c r="AG38" s="6"/>
      <c r="AH38" s="6"/>
      <c r="AI38" s="6"/>
      <c r="AJ38" s="2"/>
    </row>
    <row r="39" customHeight="1" spans="16:36">
      <c r="P39" s="12"/>
      <c r="Q39" s="12"/>
      <c r="R39" s="6"/>
      <c r="V39" s="6"/>
      <c r="W39" s="6"/>
      <c r="X39" s="6"/>
      <c r="Y39" s="6"/>
      <c r="Z39" s="6"/>
      <c r="AA39" s="6"/>
      <c r="AB39" s="2"/>
      <c r="AD39" s="16"/>
      <c r="AE39" s="6"/>
      <c r="AF39" s="6"/>
      <c r="AG39" s="6"/>
      <c r="AH39" s="6"/>
      <c r="AI39" s="6"/>
      <c r="AJ39" s="2"/>
    </row>
    <row r="40" customHeight="1" spans="16:36">
      <c r="P40" s="12"/>
      <c r="Q40" s="12"/>
      <c r="R40" s="6"/>
      <c r="V40" s="6"/>
      <c r="W40" s="6"/>
      <c r="X40" s="6"/>
      <c r="Y40" s="6"/>
      <c r="Z40" s="6"/>
      <c r="AA40" s="6"/>
      <c r="AB40" s="2"/>
      <c r="AD40" s="16"/>
      <c r="AE40" s="6"/>
      <c r="AF40" s="6"/>
      <c r="AG40" s="6"/>
      <c r="AH40" s="6"/>
      <c r="AI40" s="6"/>
      <c r="AJ40" s="2"/>
    </row>
    <row r="41" customHeight="1" spans="16:36">
      <c r="P41" s="12"/>
      <c r="Q41" s="12"/>
      <c r="R41" s="6"/>
      <c r="V41" s="6"/>
      <c r="W41" s="6"/>
      <c r="X41" s="6"/>
      <c r="Y41" s="6"/>
      <c r="Z41" s="6"/>
      <c r="AA41" s="6"/>
      <c r="AB41" s="2"/>
      <c r="AD41" s="16"/>
      <c r="AE41" s="6"/>
      <c r="AF41" s="6"/>
      <c r="AG41" s="6"/>
      <c r="AH41" s="6"/>
      <c r="AI41" s="6"/>
      <c r="AJ41" s="2"/>
    </row>
    <row r="42" customHeight="1" spans="16:36">
      <c r="P42" s="12"/>
      <c r="R42" s="6"/>
      <c r="V42" s="6"/>
      <c r="W42" s="6"/>
      <c r="X42" s="6"/>
      <c r="Y42" s="6"/>
      <c r="Z42" s="6"/>
      <c r="AA42" s="6"/>
      <c r="AB42" s="2"/>
      <c r="AD42" s="16"/>
      <c r="AE42" s="6"/>
      <c r="AF42" s="6"/>
      <c r="AG42" s="6"/>
      <c r="AH42" s="6"/>
      <c r="AI42" s="6"/>
      <c r="AJ42" s="2"/>
    </row>
    <row r="43" customHeight="1" spans="16:36">
      <c r="P43" s="12"/>
      <c r="R43" s="6"/>
      <c r="V43" s="6"/>
      <c r="W43" s="6"/>
      <c r="X43" s="6"/>
      <c r="Y43" s="6"/>
      <c r="Z43" s="6"/>
      <c r="AA43" s="6"/>
      <c r="AB43" s="2"/>
      <c r="AD43" s="16"/>
      <c r="AE43" s="6"/>
      <c r="AF43" s="6"/>
      <c r="AG43" s="6"/>
      <c r="AH43" s="6"/>
      <c r="AI43" s="6"/>
      <c r="AJ43" s="2"/>
    </row>
    <row r="44" customHeight="1" spans="16:36">
      <c r="P44" s="12"/>
      <c r="R44" s="6"/>
      <c r="V44" s="6"/>
      <c r="W44" s="6"/>
      <c r="X44" s="6"/>
      <c r="Y44" s="6"/>
      <c r="Z44" s="6"/>
      <c r="AA44" s="6"/>
      <c r="AB44" s="2"/>
      <c r="AD44" s="16"/>
      <c r="AE44" s="6"/>
      <c r="AF44" s="6"/>
      <c r="AG44" s="6"/>
      <c r="AH44" s="6"/>
      <c r="AI44" s="6"/>
      <c r="AJ44" s="2"/>
    </row>
    <row r="45" customHeight="1" spans="16:36">
      <c r="P45" s="12"/>
      <c r="Q45" s="13"/>
      <c r="R45" s="6"/>
      <c r="V45" s="6"/>
      <c r="W45" s="6"/>
      <c r="X45" s="6"/>
      <c r="Y45" s="6"/>
      <c r="Z45" s="6"/>
      <c r="AA45" s="6"/>
      <c r="AB45" s="2"/>
      <c r="AD45" s="16"/>
      <c r="AE45" s="6"/>
      <c r="AF45" s="6"/>
      <c r="AG45" s="6"/>
      <c r="AH45" s="6"/>
      <c r="AI45" s="6"/>
      <c r="AJ45" s="2"/>
    </row>
    <row r="46" customHeight="1" spans="16:36">
      <c r="P46" s="12"/>
      <c r="Q46" s="13"/>
      <c r="R46" s="6"/>
      <c r="AD46" s="16"/>
      <c r="AE46" s="6"/>
      <c r="AF46" s="6"/>
      <c r="AG46" s="6"/>
      <c r="AH46" s="6"/>
      <c r="AI46" s="6"/>
      <c r="AJ46" s="2"/>
    </row>
    <row r="47" customHeight="1" spans="16:36">
      <c r="P47" s="12"/>
      <c r="Q47" s="13"/>
      <c r="R47" s="6"/>
      <c r="AD47" s="16"/>
      <c r="AE47" s="6"/>
      <c r="AF47" s="6"/>
      <c r="AG47" s="6"/>
      <c r="AH47" s="6"/>
      <c r="AI47" s="6"/>
      <c r="AJ47" s="2"/>
    </row>
    <row r="48" customHeight="1" spans="16:36">
      <c r="P48" s="12"/>
      <c r="Q48" s="13"/>
      <c r="R48" s="6"/>
      <c r="AD48" s="16"/>
      <c r="AE48" s="6"/>
      <c r="AF48" s="6"/>
      <c r="AG48" s="6"/>
      <c r="AH48" s="6"/>
      <c r="AI48" s="6"/>
      <c r="AJ48" s="2"/>
    </row>
    <row r="49" customHeight="1" spans="16:36">
      <c r="P49" s="12"/>
      <c r="Q49" s="13"/>
      <c r="R49" s="6"/>
      <c r="AD49" s="16"/>
      <c r="AE49" s="6"/>
      <c r="AF49" s="6"/>
      <c r="AG49" s="6"/>
      <c r="AH49" s="6"/>
      <c r="AI49" s="6"/>
      <c r="AJ49" s="2"/>
    </row>
    <row r="50" customHeight="1" spans="16:36">
      <c r="P50" s="12"/>
      <c r="Q50" s="13"/>
      <c r="R50" s="6"/>
      <c r="AD50" s="16"/>
      <c r="AE50" s="6"/>
      <c r="AF50" s="6"/>
      <c r="AG50" s="6"/>
      <c r="AH50" s="6"/>
      <c r="AI50" s="6"/>
      <c r="AJ50" s="2"/>
    </row>
    <row r="51" customHeight="1" spans="16:16">
      <c r="P51" s="12"/>
    </row>
    <row r="52" customHeight="1" spans="16:16">
      <c r="P52" s="12"/>
    </row>
    <row r="53" customHeight="1" spans="16:16">
      <c r="P53" s="12"/>
    </row>
    <row r="54" customHeight="1" spans="16:16">
      <c r="P54" s="12"/>
    </row>
    <row r="55" customHeight="1" spans="16:16">
      <c r="P55" s="12"/>
    </row>
    <row r="56" customHeight="1" spans="16:16">
      <c r="P56" s="12"/>
    </row>
    <row r="57" customHeight="1" spans="16:16">
      <c r="P57" s="12"/>
    </row>
    <row r="58" customHeight="1" spans="16:16">
      <c r="P58" s="12"/>
    </row>
    <row r="59" customHeight="1" spans="16:16">
      <c r="P59" s="12"/>
    </row>
    <row r="60" customHeight="1" spans="16:16">
      <c r="P60" s="12"/>
    </row>
    <row r="61" customHeight="1" spans="16:16">
      <c r="P61" s="12"/>
    </row>
    <row r="62" customHeight="1" spans="16:16">
      <c r="P62" s="12"/>
    </row>
    <row r="63" customHeight="1" spans="16:16">
      <c r="P63" s="12"/>
    </row>
    <row r="64" customHeight="1" spans="16:16">
      <c r="P64" s="12"/>
    </row>
    <row r="65" customHeight="1" spans="16:16">
      <c r="P65" s="12"/>
    </row>
    <row r="66" customHeight="1" spans="16:16">
      <c r="P66" s="12"/>
    </row>
    <row r="67" customHeight="1" spans="16:16">
      <c r="P67" s="12"/>
    </row>
  </sheetData>
  <mergeCells count="1">
    <mergeCell ref="V1:AA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K44" sqref="K44"/>
    </sheetView>
  </sheetViews>
  <sheetFormatPr defaultColWidth="8.89333333333333" defaultRowHeight="15" customHeight="1"/>
  <cols>
    <col min="2" max="10" width="12.44" style="1" customWidth="1"/>
  </cols>
  <sheetData>
    <row r="1" customHeight="1" spans="1:13">
      <c r="A1" s="1" t="s">
        <v>30</v>
      </c>
      <c r="B1" s="1" t="s">
        <v>14</v>
      </c>
      <c r="C1" s="1" t="s">
        <v>15</v>
      </c>
      <c r="D1" s="1" t="s">
        <v>16</v>
      </c>
      <c r="E1" s="2" t="s">
        <v>17</v>
      </c>
      <c r="F1" s="2" t="s">
        <v>18</v>
      </c>
      <c r="G1" s="1" t="s">
        <v>19</v>
      </c>
      <c r="H1" s="1" t="s">
        <v>20</v>
      </c>
      <c r="I1" s="1" t="s">
        <v>21</v>
      </c>
      <c r="J1" s="2" t="s">
        <v>22</v>
      </c>
      <c r="K1" s="1" t="s">
        <v>31</v>
      </c>
      <c r="L1" s="4" t="s">
        <v>32</v>
      </c>
      <c r="M1" s="5" t="s">
        <v>33</v>
      </c>
    </row>
    <row r="2" customHeight="1" spans="1:13">
      <c r="A2" s="1" t="s">
        <v>34</v>
      </c>
      <c r="B2" s="1">
        <f>'400K_SR20_Stress'!K13</f>
        <v>136.4098</v>
      </c>
      <c r="C2" s="1">
        <f>'400K_SR20_Stress'!L13</f>
        <v>47569620000000</v>
      </c>
      <c r="D2" s="1">
        <f>'400K_SR20_Stress'!M13</f>
        <v>125554400000000</v>
      </c>
      <c r="E2" s="3">
        <f>'400K_SR20_Stress'!N13</f>
        <v>51.8915103296277</v>
      </c>
      <c r="F2" s="3">
        <f>'400K_SR20_Stress'!O13</f>
        <v>11.2405141138658</v>
      </c>
      <c r="G2" s="1">
        <f>'400K_SR20_Stress'!P13</f>
        <v>53.0949903647592</v>
      </c>
      <c r="H2" s="1">
        <f>'400K_SR20_Stress'!Q13</f>
        <v>64.20809286</v>
      </c>
      <c r="I2" s="1">
        <f>'400K_SR20_Stress'!R13</f>
        <v>1.20930604599218</v>
      </c>
      <c r="J2" s="1">
        <f>'400K_SR20_Stress'!S13</f>
        <v>0.378876566651587</v>
      </c>
      <c r="K2" s="1">
        <v>20</v>
      </c>
      <c r="L2" s="4">
        <f t="shared" ref="L2:L10" si="0">H2-G2</f>
        <v>11.1131024952408</v>
      </c>
      <c r="M2" s="5">
        <f t="shared" ref="M2:M10" si="1">L2*1000000/SQRT(D2)</f>
        <v>0.991789146492309</v>
      </c>
    </row>
    <row r="3" customHeight="1" spans="1:13">
      <c r="A3" s="1" t="s">
        <v>35</v>
      </c>
      <c r="B3" s="1">
        <f>'400K_SR20_Stress'!K14</f>
        <v>131.75038</v>
      </c>
      <c r="C3" s="1">
        <f>'400K_SR20_Stress'!L14</f>
        <v>20649040000000</v>
      </c>
      <c r="D3" s="1">
        <f>'400K_SR20_Stress'!M14</f>
        <v>127375000000000</v>
      </c>
      <c r="E3" s="3">
        <f>'400K_SR20_Stress'!N14</f>
        <v>34.1886067583819</v>
      </c>
      <c r="F3" s="3">
        <f>'400K_SR20_Stress'!O14</f>
        <v>11.321717268851</v>
      </c>
      <c r="G3" s="1">
        <f>'400K_SR20_Stress'!P14</f>
        <v>36.0144708970586</v>
      </c>
      <c r="H3" s="1">
        <f>'400K_SR20_Stress'!Q14</f>
        <v>62.014903866</v>
      </c>
      <c r="I3" s="1">
        <f>'400K_SR20_Stress'!R14</f>
        <v>1.72194404974765</v>
      </c>
      <c r="J3" s="1">
        <f>'400K_SR20_Stress'!S14</f>
        <v>0.16211218842002</v>
      </c>
      <c r="K3" s="1">
        <v>20</v>
      </c>
      <c r="L3" s="4">
        <f t="shared" si="0"/>
        <v>26.0004329689414</v>
      </c>
      <c r="M3" s="5">
        <f t="shared" si="1"/>
        <v>2.3037666210658</v>
      </c>
    </row>
    <row r="4" customHeight="1" spans="1:13">
      <c r="A4" s="1" t="s">
        <v>36</v>
      </c>
      <c r="B4" s="1">
        <f>'400K_SR20_Stress'!K15</f>
        <v>106.4906</v>
      </c>
      <c r="C4" s="1">
        <f>'400K_SR20_Stress'!L15</f>
        <v>15820340000000</v>
      </c>
      <c r="D4" s="1">
        <f>'400K_SR20_Stress'!M15</f>
        <v>126562200000000</v>
      </c>
      <c r="E4" s="3">
        <f>'400K_SR20_Stress'!N15</f>
        <v>29.9253595132419</v>
      </c>
      <c r="F4" s="3">
        <f>'400K_SR20_Stress'!O15</f>
        <v>11.2855366245254</v>
      </c>
      <c r="G4" s="1">
        <f>'400K_SR20_Stress'!P15</f>
        <v>31.9826590342373</v>
      </c>
      <c r="H4" s="1">
        <f>'400K_SR20_Stress'!Q15</f>
        <v>50.12512542</v>
      </c>
      <c r="I4" s="1">
        <f>'400K_SR20_Stress'!R15</f>
        <v>1.56725947540326</v>
      </c>
      <c r="J4" s="1">
        <f>'400K_SR20_Stress'!S15</f>
        <v>0.125000513581464</v>
      </c>
      <c r="K4" s="1">
        <v>20</v>
      </c>
      <c r="L4" s="4">
        <f t="shared" si="0"/>
        <v>18.1424663857627</v>
      </c>
      <c r="M4" s="5">
        <f t="shared" si="1"/>
        <v>1.61266559004296</v>
      </c>
    </row>
    <row r="5" customHeight="1" spans="1:13">
      <c r="A5" s="1" t="s">
        <v>37</v>
      </c>
      <c r="B5" s="1">
        <f>'400K_SR40_Stress'!K12</f>
        <v>113.2214</v>
      </c>
      <c r="C5" s="1">
        <f>'400K_SR40_Stress'!L12</f>
        <v>15276820000000</v>
      </c>
      <c r="D5" s="1">
        <f>'400K_SR40_Stress'!M12</f>
        <v>127231200000000</v>
      </c>
      <c r="E5" s="3">
        <f>'400K_SR40_Stress'!N12</f>
        <v>29.4068123969094</v>
      </c>
      <c r="F5" s="3">
        <f>'400K_SR40_Stress'!O12</f>
        <v>11.3153246380239</v>
      </c>
      <c r="G5" s="1">
        <f>'400K_SR40_Stress'!P12</f>
        <v>31.5086843110101</v>
      </c>
      <c r="H5" s="1">
        <f>'400K_SR40_Stress'!Q12</f>
        <v>53.29331298</v>
      </c>
      <c r="I5" s="1">
        <f>'400K_SR40_Stress'!R12</f>
        <v>1.69138490372883</v>
      </c>
      <c r="J5" s="1">
        <f>'400K_SR40_Stress'!S12</f>
        <v>0.120071334704066</v>
      </c>
      <c r="K5" s="1">
        <v>40</v>
      </c>
      <c r="L5" s="4">
        <f t="shared" si="0"/>
        <v>21.7846286689899</v>
      </c>
      <c r="M5" s="5">
        <f t="shared" si="1"/>
        <v>1.9313160509905</v>
      </c>
    </row>
    <row r="6" customHeight="1" spans="1:13">
      <c r="A6" s="1" t="s">
        <v>38</v>
      </c>
      <c r="B6" s="1">
        <f>'400K_SR40_Stress'!K13</f>
        <v>157.3334</v>
      </c>
      <c r="C6" s="1">
        <f>'400K_SR40_Stress'!L13</f>
        <v>39520920000000</v>
      </c>
      <c r="D6" s="1">
        <f>'400K_SR40_Stress'!M13</f>
        <v>134257600000000</v>
      </c>
      <c r="E6" s="3">
        <f>'400K_SR40_Stress'!N13</f>
        <v>47.2982413580627</v>
      </c>
      <c r="F6" s="3">
        <f>'400K_SR40_Stress'!O13</f>
        <v>11.6235729736897</v>
      </c>
      <c r="G6" s="1">
        <f>'400K_SR40_Stress'!P13</f>
        <v>48.7055549628607</v>
      </c>
      <c r="H6" s="1">
        <f>'400K_SR40_Stress'!Q13</f>
        <v>74.05683138</v>
      </c>
      <c r="I6" s="1">
        <f>'400K_SR40_Stress'!R13</f>
        <v>1.52050071981461</v>
      </c>
      <c r="J6" s="1">
        <f>'400K_SR40_Stress'!S13</f>
        <v>0.294366352444852</v>
      </c>
      <c r="K6" s="1">
        <v>40</v>
      </c>
      <c r="L6" s="4">
        <f t="shared" si="0"/>
        <v>25.3512764171393</v>
      </c>
      <c r="M6" s="5">
        <f t="shared" si="1"/>
        <v>2.18791472365529</v>
      </c>
    </row>
    <row r="7" customHeight="1" spans="1:13">
      <c r="A7" s="1" t="s">
        <v>39</v>
      </c>
      <c r="B7" s="1">
        <f>'400K_SR40_Stress'!K14</f>
        <v>151.2274</v>
      </c>
      <c r="C7" s="1">
        <f>'400K_SR40_Stress'!L14</f>
        <v>27470800000000</v>
      </c>
      <c r="D7" s="1">
        <f>'400K_SR40_Stress'!M14</f>
        <v>130266800000000</v>
      </c>
      <c r="E7" s="3">
        <f>'400K_SR40_Stress'!N14</f>
        <v>39.4336632773783</v>
      </c>
      <c r="F7" s="3">
        <f>'400K_SR40_Stress'!O14</f>
        <v>11.4495147044824</v>
      </c>
      <c r="G7" s="1">
        <f>'400K_SR40_Stress'!P14</f>
        <v>41.0622111733137</v>
      </c>
      <c r="H7" s="1">
        <f>'400K_SR40_Stress'!Q14</f>
        <v>71.18273718</v>
      </c>
      <c r="I7" s="1">
        <f>'400K_SR40_Stress'!R14</f>
        <v>1.7335339511931</v>
      </c>
      <c r="J7" s="1">
        <f>'400K_SR40_Stress'!S14</f>
        <v>0.210881053345902</v>
      </c>
      <c r="K7" s="1">
        <v>40</v>
      </c>
      <c r="L7" s="4">
        <f t="shared" si="0"/>
        <v>30.1205260066863</v>
      </c>
      <c r="M7" s="5">
        <f t="shared" si="1"/>
        <v>2.63903821679344</v>
      </c>
    </row>
    <row r="8" customHeight="1" spans="1:13">
      <c r="A8" s="1" t="s">
        <v>40</v>
      </c>
      <c r="B8" s="1">
        <f>'400K_SR100_Stress'!K16</f>
        <v>147.8758</v>
      </c>
      <c r="C8" s="1">
        <f>'400K_SR100_Stress'!L16</f>
        <v>18017560000000</v>
      </c>
      <c r="D8" s="1">
        <f>'400K_SR100_Stress'!M16</f>
        <v>128001000000000</v>
      </c>
      <c r="E8" s="3">
        <f>'400K_SR100_Stress'!N16</f>
        <v>31.9359219823583</v>
      </c>
      <c r="F8" s="3">
        <f>'400K_SR100_Stress'!O16</f>
        <v>11.3495041515824</v>
      </c>
      <c r="G8" s="1">
        <f>'400K_SR100_Stress'!P16</f>
        <v>33.8926888480401</v>
      </c>
      <c r="H8" s="1">
        <f>'400K_SR100_Stress'!Q16</f>
        <v>69.60513906</v>
      </c>
      <c r="I8" s="1">
        <f>'400K_SR100_Stress'!R16</f>
        <v>2.0536918558477</v>
      </c>
      <c r="J8" s="1">
        <f>'400K_SR100_Stress'!S16</f>
        <v>0.140761087804002</v>
      </c>
      <c r="K8" s="1">
        <v>100</v>
      </c>
      <c r="L8" s="4">
        <f t="shared" si="0"/>
        <v>35.7124502119599</v>
      </c>
      <c r="M8" s="5">
        <f t="shared" si="1"/>
        <v>3.15655213445028</v>
      </c>
    </row>
    <row r="9" customHeight="1" spans="1:13">
      <c r="A9" s="1" t="s">
        <v>41</v>
      </c>
      <c r="B9" s="1">
        <f>'400K_SR100_Stress'!K17</f>
        <v>180.6896</v>
      </c>
      <c r="C9" s="1">
        <f>'400K_SR100_Stress'!L17</f>
        <v>27495040000000</v>
      </c>
      <c r="D9" s="1">
        <f>'400K_SR100_Stress'!M17</f>
        <v>134356400000000</v>
      </c>
      <c r="E9" s="3">
        <f>'400K_SR100_Stress'!N17</f>
        <v>39.4510574054615</v>
      </c>
      <c r="F9" s="3">
        <f>'400K_SR100_Stress'!O17</f>
        <v>11.6278490735504</v>
      </c>
      <c r="G9" s="1">
        <f>'400K_SR100_Stress'!P17</f>
        <v>41.1289776737313</v>
      </c>
      <c r="H9" s="1">
        <f>'400K_SR100_Stress'!Q17</f>
        <v>85.05059472</v>
      </c>
      <c r="I9" s="1">
        <f>'400K_SR100_Stress'!R17</f>
        <v>2.06789955720978</v>
      </c>
      <c r="J9" s="1">
        <f>'400K_SR100_Stress'!S17</f>
        <v>0.204642577502821</v>
      </c>
      <c r="K9" s="1">
        <v>100</v>
      </c>
      <c r="L9" s="4">
        <f t="shared" si="0"/>
        <v>43.9216170462687</v>
      </c>
      <c r="M9" s="5">
        <f t="shared" si="1"/>
        <v>3.78921407368092</v>
      </c>
    </row>
    <row r="10" customHeight="1" spans="1:13">
      <c r="A10" s="1" t="s">
        <v>42</v>
      </c>
      <c r="B10" s="1">
        <f>'400K_SR100_Stress'!K18</f>
        <v>163.9536</v>
      </c>
      <c r="C10" s="6">
        <f>'400K_SR100_Stress'!L18</f>
        <v>18663160000000</v>
      </c>
      <c r="D10" s="1">
        <f>'400K_SR100_Stress'!M18</f>
        <v>130183200000000</v>
      </c>
      <c r="E10" s="3">
        <f>'400K_SR100_Stress'!N18</f>
        <v>32.5030458002068</v>
      </c>
      <c r="F10" s="3">
        <f>'400K_SR100_Stress'!O18</f>
        <v>11.4458401955192</v>
      </c>
      <c r="G10" s="1">
        <f>'400K_SR100_Stress'!P18</f>
        <v>34.4594724868461</v>
      </c>
      <c r="H10" s="1">
        <f>'400K_SR100_Stress'!Q18</f>
        <v>77.17295952</v>
      </c>
      <c r="K10" s="1">
        <v>100</v>
      </c>
      <c r="L10" s="4"/>
      <c r="M10" s="5"/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zoomScale="250" zoomScaleNormal="250" topLeftCell="B1" workbookViewId="0">
      <selection activeCell="L10" sqref="L10"/>
    </sheetView>
  </sheetViews>
  <sheetFormatPr defaultColWidth="8.88666666666667" defaultRowHeight="12.75"/>
  <cols>
    <col min="2" max="10" width="12.4466666666667"/>
    <col min="13" max="13" width="13.5533333333333"/>
  </cols>
  <sheetData>
    <row r="1" spans="1:13">
      <c r="A1" s="1" t="s">
        <v>30</v>
      </c>
      <c r="B1" s="1" t="s">
        <v>14</v>
      </c>
      <c r="C1" s="1" t="s">
        <v>15</v>
      </c>
      <c r="D1" s="1" t="s">
        <v>16</v>
      </c>
      <c r="E1" s="2" t="s">
        <v>17</v>
      </c>
      <c r="F1" s="2" t="s">
        <v>18</v>
      </c>
      <c r="G1" s="1" t="s">
        <v>19</v>
      </c>
      <c r="H1" s="1" t="s">
        <v>20</v>
      </c>
      <c r="I1" s="1" t="s">
        <v>21</v>
      </c>
      <c r="J1" s="2" t="s">
        <v>22</v>
      </c>
      <c r="K1" s="1" t="s">
        <v>31</v>
      </c>
      <c r="L1" s="4" t="s">
        <v>32</v>
      </c>
      <c r="M1" s="5" t="s">
        <v>33</v>
      </c>
    </row>
    <row r="2" spans="1:13">
      <c r="A2" s="1" t="s">
        <v>34</v>
      </c>
      <c r="B2" s="1">
        <f>'400K_SR20_Stress'!K3</f>
        <v>155.941333333333</v>
      </c>
      <c r="C2" s="1">
        <f>'400K_SR20_Stress'!L3</f>
        <v>69083300000000</v>
      </c>
      <c r="D2" s="1">
        <f>'400K_SR20_Stress'!M3</f>
        <v>122383333333333</v>
      </c>
      <c r="E2" s="3">
        <f>'400K_SR20_Stress'!N3</f>
        <v>62.5342589429888</v>
      </c>
      <c r="F2" s="3">
        <f>'400K_SR20_Stress'!O3</f>
        <v>11.0976582246442</v>
      </c>
      <c r="G2" s="1">
        <f>'400K_SR20_Stress'!P3</f>
        <v>63.5113498488246</v>
      </c>
      <c r="H2" s="1">
        <f>'400K_SR20_Stress'!Q3</f>
        <v>73.4015856</v>
      </c>
      <c r="I2" s="1">
        <f>'400K_SR20_Stress'!R3</f>
        <v>1.15572391036747</v>
      </c>
      <c r="J2" s="1">
        <f>'400K_SR20_Stress'!S3</f>
        <v>0.564482908892823</v>
      </c>
      <c r="K2" s="1">
        <v>20</v>
      </c>
      <c r="L2" s="4">
        <f t="shared" ref="L2:L10" si="0">H2-G2</f>
        <v>9.89023575117542</v>
      </c>
      <c r="M2" s="5">
        <f t="shared" ref="M2:M10" si="1">L2*1000000/SQRT(D2)</f>
        <v>0.894016439803202</v>
      </c>
    </row>
    <row r="3" spans="1:13">
      <c r="A3" s="1" t="s">
        <v>35</v>
      </c>
      <c r="B3" s="1">
        <f>'400K_SR20_Stress'!K4</f>
        <v>167.2634</v>
      </c>
      <c r="C3" s="1">
        <f>'400K_SR20_Stress'!L4</f>
        <v>68027000000000</v>
      </c>
      <c r="D3" s="1">
        <f>'400K_SR20_Stress'!M4</f>
        <v>122817500000000</v>
      </c>
      <c r="E3" s="3">
        <f>'400K_SR20_Stress'!N4</f>
        <v>62.0543355341561</v>
      </c>
      <c r="F3" s="3">
        <f>'400K_SR20_Stress'!O4</f>
        <v>11.1173258028371</v>
      </c>
      <c r="G3" s="1">
        <f>'400K_SR20_Stress'!P4</f>
        <v>63.042330949863</v>
      </c>
      <c r="H3" s="1">
        <f>'400K_SR20_Stress'!Q4</f>
        <v>78.73088238</v>
      </c>
      <c r="I3" s="1">
        <f>'400K_SR20_Stress'!R4</f>
        <v>1.24885741364186</v>
      </c>
      <c r="J3" s="1">
        <f>'400K_SR20_Stress'!S4</f>
        <v>0.55388686465691</v>
      </c>
      <c r="K3" s="1">
        <v>20</v>
      </c>
      <c r="L3" s="4">
        <f t="shared" si="0"/>
        <v>15.688551430137</v>
      </c>
      <c r="M3" s="5">
        <f t="shared" si="1"/>
        <v>1.41563965397505</v>
      </c>
    </row>
    <row r="4" spans="1:13">
      <c r="A4" s="1" t="s">
        <v>36</v>
      </c>
      <c r="B4" s="1">
        <f>'400K_SR20_Stress'!K5</f>
        <v>87.40314</v>
      </c>
      <c r="C4" s="1">
        <f>'400K_SR20_Stress'!L5</f>
        <v>9284870000000</v>
      </c>
      <c r="D4" s="1">
        <f>'400K_SR20_Stress'!M5</f>
        <v>126914000000000</v>
      </c>
      <c r="E4" s="3">
        <f>'400K_SR20_Stress'!N5</f>
        <v>22.9255299612382</v>
      </c>
      <c r="F4" s="3">
        <f>'400K_SR20_Stress'!O5</f>
        <v>11.3012107224155</v>
      </c>
      <c r="G4" s="1">
        <f>'400K_SR20_Stress'!P5</f>
        <v>25.5596809016871</v>
      </c>
      <c r="H4" s="1">
        <f>'400K_SR20_Stress'!Q5</f>
        <v>41.140657998</v>
      </c>
      <c r="I4" s="1">
        <f>'400K_SR20_Stress'!R5</f>
        <v>1.6095920037595</v>
      </c>
      <c r="J4" s="1">
        <f>'400K_SR20_Stress'!S5</f>
        <v>0.0731587531714389</v>
      </c>
      <c r="K4" s="1">
        <v>20</v>
      </c>
      <c r="L4" s="4">
        <f t="shared" si="0"/>
        <v>15.5809770963129</v>
      </c>
      <c r="M4" s="5">
        <f t="shared" si="1"/>
        <v>1.38305650322362</v>
      </c>
    </row>
    <row r="5" spans="1:13">
      <c r="A5" s="1" t="s">
        <v>37</v>
      </c>
      <c r="B5" s="1">
        <f>'400K_SR40_Stress'!K3</f>
        <v>130.623666666667</v>
      </c>
      <c r="C5" s="1">
        <f>'400K_SR40_Stress'!L3</f>
        <v>18026600000000</v>
      </c>
      <c r="D5" s="1">
        <f>'400K_SR40_Stress'!M3</f>
        <v>127740000000000</v>
      </c>
      <c r="E5" s="3">
        <f>'400K_SR40_Stress'!N3</f>
        <v>31.9439326267283</v>
      </c>
      <c r="F5" s="3">
        <f>'400K_SR40_Stress'!O3</f>
        <v>11.3379271633109</v>
      </c>
      <c r="G5" s="1">
        <f>'400K_SR40_Stress'!P3</f>
        <v>33.896362991057</v>
      </c>
      <c r="H5" s="1">
        <f>'400K_SR40_Stress'!Q3</f>
        <v>61.4845599</v>
      </c>
      <c r="I5" s="1">
        <f>'400K_SR40_Stress'!R3</f>
        <v>1.81389843849093</v>
      </c>
      <c r="J5" s="1">
        <f>'400K_SR40_Stress'!S3</f>
        <v>0.141119461405981</v>
      </c>
      <c r="K5" s="1">
        <v>40</v>
      </c>
      <c r="L5" s="4">
        <f t="shared" si="0"/>
        <v>27.588196908943</v>
      </c>
      <c r="M5" s="5">
        <f t="shared" si="1"/>
        <v>2.44095549499838</v>
      </c>
    </row>
    <row r="6" spans="1:13">
      <c r="A6" s="1" t="s">
        <v>38</v>
      </c>
      <c r="B6" s="1">
        <f>'400K_SR40_Stress'!K4</f>
        <v>172.868666666667</v>
      </c>
      <c r="C6" s="1">
        <f>'400K_SR40_Stress'!L4</f>
        <v>67081180000000</v>
      </c>
      <c r="D6" s="1">
        <f>'400K_SR40_Stress'!M4</f>
        <v>123640200000000</v>
      </c>
      <c r="E6" s="3">
        <f>'400K_SR40_Stress'!N4</f>
        <v>61.6214363133317</v>
      </c>
      <c r="F6" s="3">
        <f>'400K_SR40_Stress'!O4</f>
        <v>11.1544986747761</v>
      </c>
      <c r="G6" s="1">
        <f>'400K_SR40_Stress'!P4</f>
        <v>62.6228732493454</v>
      </c>
      <c r="H6" s="1">
        <f>'400K_SR40_Stress'!Q4</f>
        <v>81.3692814</v>
      </c>
      <c r="I6" s="1">
        <f>'400K_SR40_Stress'!R4</f>
        <v>1.29935400881419</v>
      </c>
      <c r="J6" s="1">
        <f>'400K_SR40_Stress'!S4</f>
        <v>0.54255153259215</v>
      </c>
      <c r="K6" s="1">
        <v>40</v>
      </c>
      <c r="L6" s="4">
        <f t="shared" si="0"/>
        <v>18.7464081506546</v>
      </c>
      <c r="M6" s="5">
        <f t="shared" si="1"/>
        <v>1.68592487647485</v>
      </c>
    </row>
    <row r="7" spans="1:13">
      <c r="A7" s="1" t="s">
        <v>39</v>
      </c>
      <c r="B7" s="1" t="e">
        <f>'400K_SR40_Stress'!K5</f>
        <v>#DIV/0!</v>
      </c>
      <c r="C7" s="1" t="e">
        <f>'400K_SR40_Stress'!L5</f>
        <v>#DIV/0!</v>
      </c>
      <c r="D7" s="1" t="e">
        <f>'400K_SR40_Stress'!M5</f>
        <v>#DIV/0!</v>
      </c>
      <c r="E7" s="3" t="e">
        <f>'400K_SR40_Stress'!N5</f>
        <v>#DIV/0!</v>
      </c>
      <c r="F7" s="3" t="e">
        <f>'400K_SR40_Stress'!O5</f>
        <v>#DIV/0!</v>
      </c>
      <c r="G7" s="1" t="e">
        <f>'400K_SR40_Stress'!P5</f>
        <v>#DIV/0!</v>
      </c>
      <c r="H7" s="1" t="e">
        <f>'400K_SR40_Stress'!Q5</f>
        <v>#DIV/0!</v>
      </c>
      <c r="I7" s="1" t="e">
        <f>'400K_SR40_Stress'!R5</f>
        <v>#DIV/0!</v>
      </c>
      <c r="J7" s="1" t="e">
        <f>'400K_SR40_Stress'!S5</f>
        <v>#DIV/0!</v>
      </c>
      <c r="K7" s="1">
        <v>40</v>
      </c>
      <c r="L7" s="4" t="e">
        <f t="shared" si="0"/>
        <v>#DIV/0!</v>
      </c>
      <c r="M7" s="5" t="e">
        <f t="shared" si="1"/>
        <v>#DIV/0!</v>
      </c>
    </row>
    <row r="8" spans="1:13">
      <c r="A8" s="1" t="s">
        <v>40</v>
      </c>
      <c r="B8" s="1">
        <f>'400K_SR100_Stress'!K23</f>
        <v>126.9044</v>
      </c>
      <c r="C8" s="1">
        <f>'400K_SR100_Stress'!L23</f>
        <v>21105500000000</v>
      </c>
      <c r="D8" s="1">
        <f>'400K_SR100_Stress'!M23</f>
        <v>126830800000000</v>
      </c>
      <c r="E8" s="1">
        <f>'400K_SR100_Stress'!N23</f>
        <v>34.5644215197983</v>
      </c>
      <c r="F8" s="1">
        <f>'400K_SR100_Stress'!O23</f>
        <v>11.2975057927684</v>
      </c>
      <c r="G8" s="1">
        <f>'400K_SR100_Stress'!P23</f>
        <v>36.3638951727662</v>
      </c>
      <c r="H8" s="1">
        <f>'400K_SR100_Stress'!Q23</f>
        <v>59.73390108</v>
      </c>
      <c r="I8" s="1">
        <f>'400K_SR100_Stress'!R23</f>
        <v>1.64267058840099</v>
      </c>
      <c r="J8" s="1">
        <f>'400K_SR100_Stress'!S23</f>
        <v>0.166406740318598</v>
      </c>
      <c r="K8" s="1">
        <v>100</v>
      </c>
      <c r="L8" s="4">
        <f t="shared" si="0"/>
        <v>23.3700059072338</v>
      </c>
      <c r="M8" s="5">
        <f t="shared" si="1"/>
        <v>2.07513548175448</v>
      </c>
    </row>
    <row r="9" spans="1:13">
      <c r="A9" s="1" t="s">
        <v>41</v>
      </c>
      <c r="B9" s="1">
        <f>'400K_SR100_Stress'!K24</f>
        <v>76.1168</v>
      </c>
      <c r="C9" s="1">
        <f>'400K_SR100_Stress'!L24</f>
        <v>95539380000000</v>
      </c>
      <c r="D9" s="1">
        <f>'400K_SR100_Stress'!M24</f>
        <v>223243000000000</v>
      </c>
      <c r="E9" s="1">
        <f>'400K_SR100_Stress'!N24</f>
        <v>73.5398398020036</v>
      </c>
      <c r="F9" s="1">
        <f>'400K_SR100_Stress'!O24</f>
        <v>14.9885331161959</v>
      </c>
      <c r="G9" s="1">
        <f>'400K_SR100_Stress'!P24</f>
        <v>75.0517432381131</v>
      </c>
      <c r="H9" s="1">
        <f>'400K_SR100_Stress'!Q24</f>
        <v>35.82817776</v>
      </c>
      <c r="I9" s="1">
        <f>'400K_SR100_Stress'!R24</f>
        <v>0.477379687855213</v>
      </c>
      <c r="J9" s="1">
        <f>'400K_SR100_Stress'!S24</f>
        <v>0.427961369449434</v>
      </c>
      <c r="K9" s="1">
        <v>100</v>
      </c>
      <c r="L9" s="4">
        <f t="shared" si="0"/>
        <v>-39.2235654781131</v>
      </c>
      <c r="M9" s="5">
        <f t="shared" si="1"/>
        <v>-2.6251743009132</v>
      </c>
    </row>
    <row r="10" spans="1:13">
      <c r="A10" s="1" t="s">
        <v>42</v>
      </c>
      <c r="B10" s="1" t="e">
        <f>'400K_SR100_Stress'!K25</f>
        <v>#DIV/0!</v>
      </c>
      <c r="C10" s="1" t="e">
        <f>'400K_SR100_Stress'!L25</f>
        <v>#DIV/0!</v>
      </c>
      <c r="D10" s="1" t="e">
        <f>'400K_SR100_Stress'!M25</f>
        <v>#DIV/0!</v>
      </c>
      <c r="E10" s="1" t="e">
        <f>'400K_SR100_Stress'!N25</f>
        <v>#DIV/0!</v>
      </c>
      <c r="F10" s="1" t="e">
        <f>'400K_SR100_Stress'!O25</f>
        <v>#DIV/0!</v>
      </c>
      <c r="G10" s="1" t="e">
        <f>'400K_SR100_Stress'!P25</f>
        <v>#DIV/0!</v>
      </c>
      <c r="H10" s="1" t="e">
        <f>'400K_SR100_Stress'!Q25</f>
        <v>#DIV/0!</v>
      </c>
      <c r="I10" s="1" t="e">
        <f>'400K_SR100_Stress'!R25</f>
        <v>#DIV/0!</v>
      </c>
      <c r="J10" s="1" t="e">
        <f>'400K_SR100_Stress'!S25</f>
        <v>#DIV/0!</v>
      </c>
      <c r="K10" s="1">
        <v>100</v>
      </c>
      <c r="L10" s="4" t="e">
        <f t="shared" si="0"/>
        <v>#DIV/0!</v>
      </c>
      <c r="M10" s="5" t="e">
        <f t="shared" si="1"/>
        <v>#DIV/0!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LibreOffice/25.8.1.1$Linux_X86_64 LibreOffice_project/54047653041915e595ad4e45cccea684809c77b5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Graphs</vt:lpstr>
      <vt:lpstr>400K_SR20</vt:lpstr>
      <vt:lpstr>400K_SR20_Stress</vt:lpstr>
      <vt:lpstr>400K_SR40</vt:lpstr>
      <vt:lpstr>400K_SR40_Stress</vt:lpstr>
      <vt:lpstr>400K_SR100_Stress</vt:lpstr>
      <vt:lpstr>400K_SR100</vt:lpstr>
      <vt:lpstr>tauratio</vt:lpstr>
      <vt:lpstr>tauratio1</vt:lpstr>
      <vt:lpstr>tauratio3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vikramroy</cp:lastModifiedBy>
  <cp:revision>4</cp:revision>
  <dcterms:created xsi:type="dcterms:W3CDTF">2025-05-03T19:40:00Z</dcterms:created>
  <dcterms:modified xsi:type="dcterms:W3CDTF">2025-10-09T20:38:41Z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1033-10.1.0.6757</vt:lpwstr>
  </property>
</Properties>
</file>