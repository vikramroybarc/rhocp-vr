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28725" tabRatio="500" activeTab="7"/>
  </bookViews>
  <sheets>
    <sheet name="Graphs" sheetId="1" r:id="rId1"/>
    <sheet name="400K_SR20" sheetId="2" r:id="rId2"/>
    <sheet name="400K_SR20_Stress" sheetId="3" r:id="rId3"/>
    <sheet name="400K_SR40" sheetId="4" r:id="rId4"/>
    <sheet name="400K_SR40_Stress" sheetId="5" r:id="rId5"/>
    <sheet name="400K_SR100_Stress" sheetId="6" r:id="rId6"/>
    <sheet name="400K_SR100" sheetId="7" r:id="rId7"/>
    <sheet name="tauratio" sheetId="8" r:id="rId8"/>
    <sheet name="tauratio1" sheetId="9" r:id="rId9"/>
  </sheets>
  <calcPr calcId="144525"/>
</workbook>
</file>

<file path=xl/sharedStrings.xml><?xml version="1.0" encoding="utf-8"?>
<sst xmlns="http://schemas.openxmlformats.org/spreadsheetml/2006/main" count="117" uniqueCount="36">
  <si>
    <t>Factor</t>
  </si>
  <si>
    <t>Config1</t>
  </si>
  <si>
    <t>Config2</t>
  </si>
  <si>
    <t>Config4</t>
  </si>
  <si>
    <t>Pstrain</t>
  </si>
  <si>
    <t>Total</t>
  </si>
  <si>
    <t>Totalmin</t>
  </si>
  <si>
    <t>Totalmax</t>
  </si>
  <si>
    <t>Junction</t>
  </si>
  <si>
    <t>Junctionmin</t>
  </si>
  <si>
    <t>Junctionmax</t>
  </si>
  <si>
    <t>Config 1</t>
  </si>
  <si>
    <t>Config 2</t>
  </si>
  <si>
    <t>AverageValue of Last 0.5%</t>
  </si>
  <si>
    <t>TotalStress</t>
  </si>
  <si>
    <t>RhoI</t>
  </si>
  <si>
    <t>Rho</t>
  </si>
  <si>
    <t>TauF1</t>
  </si>
  <si>
    <t>TauF2</t>
  </si>
  <si>
    <t>TauF</t>
  </si>
  <si>
    <t>Tau</t>
  </si>
  <si>
    <t>Tau/TauF</t>
  </si>
  <si>
    <t>RhoI/Rho</t>
  </si>
  <si>
    <t>1-1.5%</t>
  </si>
  <si>
    <t>Config3</t>
  </si>
  <si>
    <t>Config</t>
  </si>
  <si>
    <t>C1</t>
  </si>
  <si>
    <t>C2</t>
  </si>
  <si>
    <t>C3</t>
  </si>
  <si>
    <t>StrainRate</t>
  </si>
  <si>
    <t>Strainrate</t>
  </si>
  <si>
    <t>Taup</t>
  </si>
  <si>
    <t>Taup/Sqrt(rhom)</t>
  </si>
  <si>
    <t>40C1</t>
  </si>
  <si>
    <t>40C2</t>
  </si>
  <si>
    <t>40C3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</si>
</sst>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</numFmts>
  <fonts count="27">
    <font>
      <sz val="11"/>
      <color theme="1"/>
      <name val="Calibri"/>
      <charset val="134"/>
    </font>
    <font>
      <sz val="11"/>
      <name val="Calibri"/>
      <charset val="134"/>
    </font>
    <font>
      <sz val="10"/>
      <color rgb="FFCCCCCC"/>
      <name val="Consolas"/>
      <charset val="134"/>
    </font>
    <font>
      <sz val="10"/>
      <color rgb="FFB5CEA8"/>
      <name val="Consolas"/>
      <charset val="134"/>
    </font>
    <font>
      <sz val="10"/>
      <name val="Consolas"/>
      <charset val="134"/>
    </font>
    <font>
      <sz val="10.5"/>
      <color rgb="FFCCCCCC"/>
      <name val="Droid Sans Mono"/>
      <charset val="134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3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6" borderId="4" applyNumberFormat="0" applyAlignment="0" applyProtection="0">
      <alignment vertical="center"/>
    </xf>
    <xf numFmtId="178" fontId="6" fillId="0" borderId="0" applyBorder="0" applyAlignment="0" applyProtection="0"/>
    <xf numFmtId="0" fontId="17" fillId="9" borderId="0" applyNumberFormat="0" applyBorder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18" fillId="8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6" borderId="3" applyNumberForma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177" fontId="6" fillId="0" borderId="0" applyBorder="0" applyAlignment="0" applyProtection="0"/>
    <xf numFmtId="0" fontId="17" fillId="3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9" fontId="6" fillId="0" borderId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6" fontId="6" fillId="0" borderId="0" applyBorder="0" applyAlignment="0" applyProtection="0"/>
    <xf numFmtId="0" fontId="13" fillId="4" borderId="2" applyNumberFormat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9" fontId="6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Font="1" applyAlignment="1" applyProtection="1"/>
    <xf numFmtId="11" fontId="0" fillId="0" borderId="0" xfId="0" applyNumberFormat="1" applyAlignment="1" applyProtection="1"/>
    <xf numFmtId="2" fontId="0" fillId="0" borderId="0" xfId="0" applyNumberFormat="1" applyFont="1" applyAlignment="1" applyProtection="1"/>
    <xf numFmtId="2" fontId="0" fillId="0" borderId="0" xfId="0" applyNumberFormat="1" applyAlignment="1" applyProtection="1"/>
    <xf numFmtId="2" fontId="0" fillId="0" borderId="0" xfId="0" applyNumberFormat="1" applyFont="1" applyFill="1" applyAlignment="1" applyProtection="1"/>
    <xf numFmtId="0" fontId="0" fillId="0" borderId="0" xfId="0" applyFont="1" applyFill="1" applyAlignment="1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ill="1" applyAlignment="1" applyProtection="1"/>
    <xf numFmtId="11" fontId="0" fillId="2" borderId="0" xfId="0" applyNumberFormat="1" applyFill="1" applyAlignment="1" applyProtection="1"/>
    <xf numFmtId="2" fontId="0" fillId="2" borderId="0" xfId="0" applyNumberFormat="1" applyFill="1" applyAlignment="1" applyProtection="1"/>
    <xf numFmtId="11" fontId="2" fillId="0" borderId="0" xfId="0" applyNumberFormat="1" applyFont="1" applyAlignment="1" applyProtection="1">
      <alignment vertical="center"/>
    </xf>
    <xf numFmtId="11" fontId="3" fillId="0" borderId="0" xfId="0" applyNumberFormat="1" applyFont="1" applyAlignment="1" applyProtection="1">
      <alignment vertical="center"/>
    </xf>
    <xf numFmtId="0" fontId="0" fillId="0" borderId="0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11" fontId="4" fillId="0" borderId="0" xfId="0" applyNumberFormat="1" applyFont="1" applyAlignment="1" applyProtection="1">
      <alignment vertical="center"/>
    </xf>
    <xf numFmtId="0" fontId="0" fillId="0" borderId="0" xfId="0" applyFont="1" applyBorder="1" applyAlignment="1" applyProtection="1">
      <alignment horizontal="center"/>
    </xf>
    <xf numFmtId="0" fontId="0" fillId="0" borderId="0" xfId="0" applyFont="1" applyAlignment="1" applyProtection="1">
      <alignment horizontal="center"/>
    </xf>
    <xf numFmtId="11" fontId="0" fillId="0" borderId="0" xfId="0" applyNumberFormat="1" applyFont="1" applyAlignment="1" applyProtection="1"/>
    <xf numFmtId="11" fontId="5" fillId="0" borderId="0" xfId="0" applyNumberFormat="1" applyFont="1" applyAlignment="1">
      <alignment wrapText="1"/>
    </xf>
    <xf numFmtId="11" fontId="0" fillId="0" borderId="0" xfId="0" applyNumberFormat="1" applyFont="1" applyBorder="1" applyAlignment="1" applyProtection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5CEA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9.00740740740741" defaultRowHeight="15" customHeight="1" outlineLevelRow="1" outlineLevelCol="1"/>
  <sheetData>
    <row r="1" customHeight="1" spans="1:2">
      <c r="A1" s="1" t="s">
        <v>0</v>
      </c>
      <c r="B1" s="1">
        <v>0.325</v>
      </c>
    </row>
    <row r="2" customHeight="1" spans="1:2">
      <c r="A2" s="1" t="s">
        <v>0</v>
      </c>
      <c r="B2" s="1">
        <v>0.05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2"/>
  <sheetViews>
    <sheetView workbookViewId="0">
      <selection activeCell="A16" sqref="A16"/>
    </sheetView>
  </sheetViews>
  <sheetFormatPr defaultColWidth="9.00740740740741" defaultRowHeight="15" customHeight="1"/>
  <sheetData>
    <row r="1" customHeight="1" spans="1:46">
      <c r="A1" s="17" t="s">
        <v>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N1" s="17" t="s">
        <v>2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A1" s="17" t="s">
        <v>3</v>
      </c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N1" s="18" t="s">
        <v>4</v>
      </c>
      <c r="AO1" s="18" t="s">
        <v>5</v>
      </c>
      <c r="AP1" s="18" t="s">
        <v>6</v>
      </c>
      <c r="AQ1" s="18" t="s">
        <v>7</v>
      </c>
      <c r="AR1" s="1" t="s">
        <v>8</v>
      </c>
      <c r="AS1" s="1" t="s">
        <v>9</v>
      </c>
      <c r="AT1" s="1" t="s">
        <v>10</v>
      </c>
    </row>
    <row r="2" customHeight="1" spans="1:46">
      <c r="A2" s="2">
        <v>0.000974606</v>
      </c>
      <c r="B2" s="2">
        <v>0.00150155</v>
      </c>
      <c r="C2" s="2">
        <v>127284000000000</v>
      </c>
      <c r="D2" s="2">
        <v>14477900000</v>
      </c>
      <c r="E2" s="2">
        <v>0</v>
      </c>
      <c r="F2" s="2">
        <v>0</v>
      </c>
      <c r="G2" s="2">
        <v>2</v>
      </c>
      <c r="H2" s="2">
        <v>29639100000000</v>
      </c>
      <c r="I2" s="2">
        <v>28593800000000</v>
      </c>
      <c r="J2" s="2">
        <v>29237100000000</v>
      </c>
      <c r="K2" s="2">
        <v>29314100000000</v>
      </c>
      <c r="L2" s="2">
        <v>10500100000000</v>
      </c>
      <c r="N2" s="2">
        <v>0.000990369</v>
      </c>
      <c r="O2" s="2">
        <v>0.00146597</v>
      </c>
      <c r="P2" s="2">
        <v>127455000000000</v>
      </c>
      <c r="Q2" s="2">
        <v>12050900000</v>
      </c>
      <c r="R2" s="2">
        <v>0</v>
      </c>
      <c r="S2" s="2">
        <v>0</v>
      </c>
      <c r="T2" s="2">
        <v>2</v>
      </c>
      <c r="U2" s="2">
        <v>30201100000000</v>
      </c>
      <c r="V2" s="2">
        <v>30221000000000</v>
      </c>
      <c r="W2" s="2">
        <v>30057900000000</v>
      </c>
      <c r="X2" s="2">
        <v>29634800000000</v>
      </c>
      <c r="Y2" s="2">
        <v>7340730000000</v>
      </c>
      <c r="AA2" s="2">
        <v>0.000989107</v>
      </c>
      <c r="AB2" s="2">
        <v>0.00149807</v>
      </c>
      <c r="AC2" s="2">
        <v>127202000000000</v>
      </c>
      <c r="AD2" s="2">
        <v>11494000000</v>
      </c>
      <c r="AE2" s="2">
        <v>0</v>
      </c>
      <c r="AF2" s="2">
        <v>0</v>
      </c>
      <c r="AG2" s="2">
        <v>2</v>
      </c>
      <c r="AH2" s="2">
        <v>28941700000000</v>
      </c>
      <c r="AI2" s="2">
        <v>29024000000000</v>
      </c>
      <c r="AJ2" s="2">
        <v>29174000000000</v>
      </c>
      <c r="AK2" s="2">
        <v>28900200000000</v>
      </c>
      <c r="AL2" s="2">
        <v>11161900000000</v>
      </c>
      <c r="AN2" s="2">
        <f t="shared" ref="AN2:AN31" si="0">A2</f>
        <v>0.000974606</v>
      </c>
      <c r="AO2" s="2">
        <f t="shared" ref="AO2:AO31" si="1">(C2)</f>
        <v>127284000000000</v>
      </c>
      <c r="AP2" s="2">
        <f t="shared" ref="AP2:AP31" si="2">MIN(C2,P2,AC2)</f>
        <v>127202000000000</v>
      </c>
      <c r="AQ2" s="2">
        <f t="shared" ref="AQ2:AQ31" si="3">MAX(C2,P2,AC2)</f>
        <v>127455000000000</v>
      </c>
      <c r="AR2" s="2">
        <f t="shared" ref="AR2:AR31" si="4">(L2)</f>
        <v>10500100000000</v>
      </c>
      <c r="AS2" s="2">
        <f t="shared" ref="AS2:AS31" si="5">MIN(L2,Y2,AL2)</f>
        <v>7340730000000</v>
      </c>
      <c r="AT2" s="2">
        <f t="shared" ref="AT2:AT31" si="6">MAX(L2,Y2,AL2)</f>
        <v>11161900000000</v>
      </c>
    </row>
    <row r="3" customHeight="1" spans="1:46">
      <c r="A3" s="2">
        <v>0.00204321</v>
      </c>
      <c r="B3" s="2">
        <v>0.0025157</v>
      </c>
      <c r="C3" s="2">
        <v>126680000000000</v>
      </c>
      <c r="D3" s="2">
        <v>14707700000</v>
      </c>
      <c r="E3" s="2">
        <v>0</v>
      </c>
      <c r="F3" s="2">
        <v>0</v>
      </c>
      <c r="G3" s="2">
        <v>2</v>
      </c>
      <c r="H3" s="2">
        <v>28920900000000</v>
      </c>
      <c r="I3" s="2">
        <v>27950400000000</v>
      </c>
      <c r="J3" s="2">
        <v>28479100000000</v>
      </c>
      <c r="K3" s="2">
        <v>27912600000000</v>
      </c>
      <c r="L3" s="2">
        <v>13417100000000</v>
      </c>
      <c r="N3" s="2">
        <v>0.002124</v>
      </c>
      <c r="O3" s="2">
        <v>0.0025927</v>
      </c>
      <c r="P3" s="2">
        <v>127113000000000</v>
      </c>
      <c r="Q3" s="2">
        <v>29148300000</v>
      </c>
      <c r="R3" s="2">
        <v>0</v>
      </c>
      <c r="S3" s="2">
        <v>0</v>
      </c>
      <c r="T3" s="2">
        <v>2</v>
      </c>
      <c r="U3" s="2">
        <v>28811800000000</v>
      </c>
      <c r="V3" s="2">
        <v>29214300000000</v>
      </c>
      <c r="W3" s="2">
        <v>29156000000000</v>
      </c>
      <c r="X3" s="2">
        <v>28961900000000</v>
      </c>
      <c r="Y3" s="2">
        <v>10968700000000</v>
      </c>
      <c r="AA3" s="2">
        <v>0.00201989</v>
      </c>
      <c r="AB3" s="2">
        <v>0.00256861</v>
      </c>
      <c r="AC3" s="2">
        <v>127651000000000</v>
      </c>
      <c r="AD3" s="2">
        <v>2929670000</v>
      </c>
      <c r="AE3" s="2">
        <v>0</v>
      </c>
      <c r="AF3" s="2">
        <v>0</v>
      </c>
      <c r="AG3" s="2">
        <v>2</v>
      </c>
      <c r="AH3" s="2">
        <v>27792100000000</v>
      </c>
      <c r="AI3" s="2">
        <v>28187900000000</v>
      </c>
      <c r="AJ3" s="2">
        <v>28398300000000</v>
      </c>
      <c r="AK3" s="2">
        <v>27951000000000</v>
      </c>
      <c r="AL3" s="2">
        <v>15321700000000</v>
      </c>
      <c r="AN3" s="2">
        <f t="shared" si="0"/>
        <v>0.00204321</v>
      </c>
      <c r="AO3" s="2">
        <f t="shared" si="1"/>
        <v>126680000000000</v>
      </c>
      <c r="AP3" s="2">
        <f t="shared" si="2"/>
        <v>126680000000000</v>
      </c>
      <c r="AQ3" s="2">
        <f t="shared" si="3"/>
        <v>127651000000000</v>
      </c>
      <c r="AR3" s="2">
        <f t="shared" si="4"/>
        <v>13417100000000</v>
      </c>
      <c r="AS3" s="2">
        <f t="shared" si="5"/>
        <v>10968700000000</v>
      </c>
      <c r="AT3" s="2">
        <f t="shared" si="6"/>
        <v>15321700000000</v>
      </c>
    </row>
    <row r="4" customHeight="1" spans="1:46">
      <c r="A4" s="2">
        <v>0.00297351</v>
      </c>
      <c r="B4" s="2">
        <v>0.00347727</v>
      </c>
      <c r="C4" s="2">
        <v>127092000000000</v>
      </c>
      <c r="D4" s="2">
        <v>16262200000</v>
      </c>
      <c r="E4" s="2">
        <v>0</v>
      </c>
      <c r="F4" s="2">
        <v>0</v>
      </c>
      <c r="G4" s="2">
        <v>2</v>
      </c>
      <c r="H4" s="2">
        <v>28458200000000</v>
      </c>
      <c r="I4" s="2">
        <v>27950600000000</v>
      </c>
      <c r="J4" s="2">
        <v>28270700000000</v>
      </c>
      <c r="K4" s="2">
        <v>27270000000000</v>
      </c>
      <c r="L4" s="2">
        <v>15141500000000</v>
      </c>
      <c r="N4" s="2">
        <v>0.00306679</v>
      </c>
      <c r="O4" s="2">
        <v>0.00347771</v>
      </c>
      <c r="P4" s="2">
        <v>126808000000000</v>
      </c>
      <c r="Q4" s="2">
        <v>19662500000</v>
      </c>
      <c r="R4" s="2">
        <v>0</v>
      </c>
      <c r="S4" s="2">
        <v>0</v>
      </c>
      <c r="T4" s="2">
        <v>2</v>
      </c>
      <c r="U4" s="2">
        <v>28172400000000</v>
      </c>
      <c r="V4" s="2">
        <v>29271600000000</v>
      </c>
      <c r="W4" s="2">
        <v>29072500000000</v>
      </c>
      <c r="X4" s="2">
        <v>29351600000000</v>
      </c>
      <c r="Y4" s="2">
        <v>10940300000000</v>
      </c>
      <c r="AA4" s="2">
        <v>0.00323733</v>
      </c>
      <c r="AB4" s="2">
        <v>0.00381179</v>
      </c>
      <c r="AC4" s="2">
        <v>127281000000000</v>
      </c>
      <c r="AD4" s="2">
        <v>10309000000</v>
      </c>
      <c r="AE4" s="2">
        <v>0</v>
      </c>
      <c r="AF4" s="2">
        <v>0</v>
      </c>
      <c r="AG4" s="2">
        <v>2</v>
      </c>
      <c r="AH4" s="2">
        <v>27188400000000</v>
      </c>
      <c r="AI4" s="2">
        <v>27115500000000</v>
      </c>
      <c r="AJ4" s="2">
        <v>27814300000000</v>
      </c>
      <c r="AK4" s="2">
        <v>28420900000000</v>
      </c>
      <c r="AL4" s="2">
        <v>16741700000000</v>
      </c>
      <c r="AN4" s="2">
        <f t="shared" si="0"/>
        <v>0.00297351</v>
      </c>
      <c r="AO4" s="2">
        <f t="shared" si="1"/>
        <v>127092000000000</v>
      </c>
      <c r="AP4" s="2">
        <f t="shared" si="2"/>
        <v>126808000000000</v>
      </c>
      <c r="AQ4" s="2">
        <f t="shared" si="3"/>
        <v>127281000000000</v>
      </c>
      <c r="AR4" s="2">
        <f t="shared" si="4"/>
        <v>15141500000000</v>
      </c>
      <c r="AS4" s="2">
        <f t="shared" si="5"/>
        <v>10940300000000</v>
      </c>
      <c r="AT4" s="2">
        <f t="shared" si="6"/>
        <v>16741700000000</v>
      </c>
    </row>
    <row r="5" customHeight="1" spans="1:46">
      <c r="A5" s="2">
        <v>0.00403768</v>
      </c>
      <c r="B5" s="2">
        <v>0.00456</v>
      </c>
      <c r="C5" s="2">
        <v>126962000000000</v>
      </c>
      <c r="D5" s="2">
        <v>5676670000</v>
      </c>
      <c r="E5" s="2">
        <v>0</v>
      </c>
      <c r="F5" s="2">
        <v>0</v>
      </c>
      <c r="G5" s="2">
        <v>2</v>
      </c>
      <c r="H5" s="2">
        <v>28519900000000</v>
      </c>
      <c r="I5" s="2">
        <v>27585700000000</v>
      </c>
      <c r="J5" s="2">
        <v>27891000000000</v>
      </c>
      <c r="K5" s="2">
        <v>26837900000000</v>
      </c>
      <c r="L5" s="2">
        <v>16127400000000</v>
      </c>
      <c r="N5" s="2">
        <v>0.00400013</v>
      </c>
      <c r="O5" s="2">
        <v>0.00443865</v>
      </c>
      <c r="P5" s="2">
        <v>126542000000000</v>
      </c>
      <c r="Q5" s="2">
        <v>16871300000</v>
      </c>
      <c r="R5" s="2">
        <v>0</v>
      </c>
      <c r="S5" s="2">
        <v>0</v>
      </c>
      <c r="T5" s="2">
        <v>2</v>
      </c>
      <c r="U5" s="2">
        <v>27236400000000</v>
      </c>
      <c r="V5" s="2">
        <v>28773400000000</v>
      </c>
      <c r="W5" s="2">
        <v>27638900000000</v>
      </c>
      <c r="X5" s="2">
        <v>28423700000000</v>
      </c>
      <c r="Y5" s="2">
        <v>14469200000000</v>
      </c>
      <c r="AA5" s="2">
        <v>0.00398168</v>
      </c>
      <c r="AB5" s="2">
        <v>0.00455409</v>
      </c>
      <c r="AC5" s="2">
        <v>127170000000000</v>
      </c>
      <c r="AD5" s="2">
        <v>8632600000</v>
      </c>
      <c r="AE5" s="2">
        <v>0</v>
      </c>
      <c r="AF5" s="2">
        <v>0</v>
      </c>
      <c r="AG5" s="2">
        <v>2</v>
      </c>
      <c r="AH5" s="2">
        <v>27577500000000</v>
      </c>
      <c r="AI5" s="2">
        <v>28033400000000</v>
      </c>
      <c r="AJ5" s="2">
        <v>27536500000000</v>
      </c>
      <c r="AK5" s="2">
        <v>27789200000000</v>
      </c>
      <c r="AL5" s="2">
        <v>16233100000000</v>
      </c>
      <c r="AN5" s="2">
        <f t="shared" si="0"/>
        <v>0.00403768</v>
      </c>
      <c r="AO5" s="2">
        <f t="shared" si="1"/>
        <v>126962000000000</v>
      </c>
      <c r="AP5" s="2">
        <f t="shared" si="2"/>
        <v>126542000000000</v>
      </c>
      <c r="AQ5" s="2">
        <f t="shared" si="3"/>
        <v>127170000000000</v>
      </c>
      <c r="AR5" s="2">
        <f t="shared" si="4"/>
        <v>16127400000000</v>
      </c>
      <c r="AS5" s="2">
        <f t="shared" si="5"/>
        <v>14469200000000</v>
      </c>
      <c r="AT5" s="2">
        <f t="shared" si="6"/>
        <v>16233100000000</v>
      </c>
    </row>
    <row r="6" customHeight="1" spans="1:46">
      <c r="A6" s="2">
        <v>0.00499008</v>
      </c>
      <c r="B6" s="2">
        <v>0.0055361</v>
      </c>
      <c r="C6" s="2">
        <v>127211000000000</v>
      </c>
      <c r="D6" s="2">
        <v>15526300000</v>
      </c>
      <c r="E6" s="2">
        <v>0</v>
      </c>
      <c r="F6" s="2">
        <v>0</v>
      </c>
      <c r="G6" s="2">
        <v>2</v>
      </c>
      <c r="H6" s="2">
        <v>28434800000000</v>
      </c>
      <c r="I6" s="2">
        <v>27310900000000</v>
      </c>
      <c r="J6" s="2">
        <v>27788700000000</v>
      </c>
      <c r="K6" s="2">
        <v>26949300000000</v>
      </c>
      <c r="L6" s="2">
        <v>16726800000000</v>
      </c>
      <c r="N6" s="2">
        <v>0.0050262</v>
      </c>
      <c r="O6" s="2">
        <v>0.00545315</v>
      </c>
      <c r="P6" s="2">
        <v>125886000000000</v>
      </c>
      <c r="Q6" s="2">
        <v>30786600000</v>
      </c>
      <c r="R6" s="2">
        <v>0</v>
      </c>
      <c r="S6" s="2">
        <v>0</v>
      </c>
      <c r="T6" s="2">
        <v>2</v>
      </c>
      <c r="U6" s="2">
        <v>26663400000000</v>
      </c>
      <c r="V6" s="2">
        <v>28167600000000</v>
      </c>
      <c r="W6" s="2">
        <v>26617200000000</v>
      </c>
      <c r="X6" s="2">
        <v>27957700000000</v>
      </c>
      <c r="Y6" s="2">
        <v>16479700000000</v>
      </c>
      <c r="AA6" s="2">
        <v>0.00498484</v>
      </c>
      <c r="AB6" s="2">
        <v>0.0055331</v>
      </c>
      <c r="AC6" s="2">
        <v>127370000000000</v>
      </c>
      <c r="AD6" s="2">
        <v>16666600000</v>
      </c>
      <c r="AE6" s="2">
        <v>0</v>
      </c>
      <c r="AF6" s="2">
        <v>0</v>
      </c>
      <c r="AG6" s="2">
        <v>2</v>
      </c>
      <c r="AH6" s="2">
        <v>27484800000000</v>
      </c>
      <c r="AI6" s="2">
        <v>28263000000000</v>
      </c>
      <c r="AJ6" s="2">
        <v>27943400000000</v>
      </c>
      <c r="AK6" s="2">
        <v>27551400000000</v>
      </c>
      <c r="AL6" s="2">
        <v>16127600000000</v>
      </c>
      <c r="AN6" s="2">
        <f t="shared" si="0"/>
        <v>0.00499008</v>
      </c>
      <c r="AO6" s="2">
        <f t="shared" si="1"/>
        <v>127211000000000</v>
      </c>
      <c r="AP6" s="2">
        <f t="shared" si="2"/>
        <v>125886000000000</v>
      </c>
      <c r="AQ6" s="2">
        <f t="shared" si="3"/>
        <v>127370000000000</v>
      </c>
      <c r="AR6" s="2">
        <f t="shared" si="4"/>
        <v>16726800000000</v>
      </c>
      <c r="AS6" s="2">
        <f t="shared" si="5"/>
        <v>16127600000000</v>
      </c>
      <c r="AT6" s="2">
        <f t="shared" si="6"/>
        <v>16726800000000</v>
      </c>
    </row>
    <row r="7" customHeight="1" spans="1:46">
      <c r="A7" s="2">
        <v>0.00601634</v>
      </c>
      <c r="B7" s="2">
        <v>0.00653276</v>
      </c>
      <c r="C7" s="2">
        <v>127545000000000</v>
      </c>
      <c r="D7" s="2">
        <v>19131200000</v>
      </c>
      <c r="E7" s="2">
        <v>0</v>
      </c>
      <c r="F7" s="2">
        <v>0</v>
      </c>
      <c r="G7" s="2">
        <v>2</v>
      </c>
      <c r="H7" s="2">
        <v>28981100000000</v>
      </c>
      <c r="I7" s="2">
        <v>27552800000000</v>
      </c>
      <c r="J7" s="2">
        <v>27562500000000</v>
      </c>
      <c r="K7" s="2">
        <v>27778700000000</v>
      </c>
      <c r="L7" s="2">
        <v>15669800000000</v>
      </c>
      <c r="N7" s="2">
        <v>0.00609306</v>
      </c>
      <c r="O7" s="2">
        <v>0.00650958</v>
      </c>
      <c r="P7" s="2">
        <v>125931000000000</v>
      </c>
      <c r="Q7" s="2">
        <v>11745000000</v>
      </c>
      <c r="R7" s="2">
        <v>0</v>
      </c>
      <c r="S7" s="2">
        <v>0</v>
      </c>
      <c r="T7" s="2">
        <v>2</v>
      </c>
      <c r="U7" s="2">
        <v>26652600000000</v>
      </c>
      <c r="V7" s="2">
        <v>28343900000000</v>
      </c>
      <c r="W7" s="2">
        <v>27105800000000</v>
      </c>
      <c r="X7" s="2">
        <v>28229000000000</v>
      </c>
      <c r="Y7" s="2">
        <v>15599800000000</v>
      </c>
      <c r="AA7" s="2">
        <v>0.00600329</v>
      </c>
      <c r="AB7" s="2">
        <v>0.00656032</v>
      </c>
      <c r="AC7" s="2">
        <v>127498000000000</v>
      </c>
      <c r="AD7" s="2">
        <v>12154900000</v>
      </c>
      <c r="AE7" s="2">
        <v>0</v>
      </c>
      <c r="AF7" s="2">
        <v>0</v>
      </c>
      <c r="AG7" s="2">
        <v>2</v>
      </c>
      <c r="AH7" s="2">
        <v>27468900000000</v>
      </c>
      <c r="AI7" s="2">
        <v>28286400000000</v>
      </c>
      <c r="AJ7" s="2">
        <v>27587100000000</v>
      </c>
      <c r="AK7" s="2">
        <v>27444800000000</v>
      </c>
      <c r="AL7" s="2">
        <v>16710800000000</v>
      </c>
      <c r="AN7" s="2">
        <f t="shared" si="0"/>
        <v>0.00601634</v>
      </c>
      <c r="AO7" s="2">
        <f t="shared" si="1"/>
        <v>127545000000000</v>
      </c>
      <c r="AP7" s="2">
        <f t="shared" si="2"/>
        <v>125931000000000</v>
      </c>
      <c r="AQ7" s="2">
        <f t="shared" si="3"/>
        <v>127545000000000</v>
      </c>
      <c r="AR7" s="2">
        <f t="shared" si="4"/>
        <v>15669800000000</v>
      </c>
      <c r="AS7" s="2">
        <f t="shared" si="5"/>
        <v>15599800000000</v>
      </c>
      <c r="AT7" s="2">
        <f t="shared" si="6"/>
        <v>16710800000000</v>
      </c>
    </row>
    <row r="8" customHeight="1" spans="1:46">
      <c r="A8" s="2">
        <v>0.00699688</v>
      </c>
      <c r="B8" s="2">
        <v>0.00755531</v>
      </c>
      <c r="C8" s="2">
        <v>128202000000000</v>
      </c>
      <c r="D8" s="2">
        <v>5368550000</v>
      </c>
      <c r="E8" s="2">
        <v>0</v>
      </c>
      <c r="F8" s="2">
        <v>0</v>
      </c>
      <c r="G8" s="2">
        <v>2</v>
      </c>
      <c r="H8" s="2">
        <v>27688200000000</v>
      </c>
      <c r="I8" s="2">
        <v>27815100000000</v>
      </c>
      <c r="J8" s="2">
        <v>27630400000000</v>
      </c>
      <c r="K8" s="2">
        <v>27648000000000</v>
      </c>
      <c r="L8" s="2">
        <v>17417300000000</v>
      </c>
      <c r="N8" s="2">
        <v>0.00699312</v>
      </c>
      <c r="O8" s="2">
        <v>0.0073905</v>
      </c>
      <c r="P8" s="2">
        <v>125813000000000</v>
      </c>
      <c r="Q8" s="2">
        <v>10788600000</v>
      </c>
      <c r="R8" s="2">
        <v>0</v>
      </c>
      <c r="S8" s="2">
        <v>0</v>
      </c>
      <c r="T8" s="2">
        <v>2</v>
      </c>
      <c r="U8" s="2">
        <v>27055400000000</v>
      </c>
      <c r="V8" s="2">
        <v>28463700000000</v>
      </c>
      <c r="W8" s="2">
        <v>27591200000000</v>
      </c>
      <c r="X8" s="2">
        <v>28462100000000</v>
      </c>
      <c r="Y8" s="2">
        <v>14240600000000</v>
      </c>
      <c r="AA8" s="2">
        <v>0.00695664</v>
      </c>
      <c r="AB8" s="2">
        <v>0.00745313</v>
      </c>
      <c r="AC8" s="2">
        <v>126872000000000</v>
      </c>
      <c r="AD8" s="2">
        <v>13096600000</v>
      </c>
      <c r="AE8" s="2">
        <v>0</v>
      </c>
      <c r="AF8" s="2">
        <v>0</v>
      </c>
      <c r="AG8" s="2">
        <v>2</v>
      </c>
      <c r="AH8" s="2">
        <v>27337100000000</v>
      </c>
      <c r="AI8" s="2">
        <v>28922800000000</v>
      </c>
      <c r="AJ8" s="2">
        <v>27489700000000</v>
      </c>
      <c r="AK8" s="2">
        <v>27514800000000</v>
      </c>
      <c r="AL8" s="2">
        <v>15607900000000</v>
      </c>
      <c r="AN8" s="2">
        <f t="shared" si="0"/>
        <v>0.00699688</v>
      </c>
      <c r="AO8" s="2">
        <f t="shared" si="1"/>
        <v>128202000000000</v>
      </c>
      <c r="AP8" s="2">
        <f t="shared" si="2"/>
        <v>125813000000000</v>
      </c>
      <c r="AQ8" s="2">
        <f t="shared" si="3"/>
        <v>128202000000000</v>
      </c>
      <c r="AR8" s="2">
        <f t="shared" si="4"/>
        <v>17417300000000</v>
      </c>
      <c r="AS8" s="2">
        <f t="shared" si="5"/>
        <v>14240600000000</v>
      </c>
      <c r="AT8" s="2">
        <f t="shared" si="6"/>
        <v>17417300000000</v>
      </c>
    </row>
    <row r="9" customHeight="1" spans="1:46">
      <c r="A9" s="2">
        <v>0.00803321</v>
      </c>
      <c r="B9" s="2">
        <v>0.0086379</v>
      </c>
      <c r="C9" s="2">
        <v>128691000000000</v>
      </c>
      <c r="D9" s="2">
        <v>9487620000</v>
      </c>
      <c r="E9" s="2">
        <v>0</v>
      </c>
      <c r="F9" s="2">
        <v>0</v>
      </c>
      <c r="G9" s="2">
        <v>2</v>
      </c>
      <c r="H9" s="2">
        <v>27040000000000</v>
      </c>
      <c r="I9" s="2">
        <v>26634600000000</v>
      </c>
      <c r="J9" s="2">
        <v>27421100000000</v>
      </c>
      <c r="K9" s="2">
        <v>26684300000000</v>
      </c>
      <c r="L9" s="2">
        <v>20891300000000</v>
      </c>
      <c r="N9" s="2">
        <v>0.0080631</v>
      </c>
      <c r="O9" s="2">
        <v>0.00847194</v>
      </c>
      <c r="P9" s="2">
        <v>125469000000000</v>
      </c>
      <c r="Q9" s="2">
        <v>9402100000</v>
      </c>
      <c r="R9" s="2">
        <v>0</v>
      </c>
      <c r="S9" s="2">
        <v>0</v>
      </c>
      <c r="T9" s="2">
        <v>2</v>
      </c>
      <c r="U9" s="2">
        <v>26835500000000</v>
      </c>
      <c r="V9" s="2">
        <v>27714700000000</v>
      </c>
      <c r="W9" s="2">
        <v>27044200000000</v>
      </c>
      <c r="X9" s="2">
        <v>27929200000000</v>
      </c>
      <c r="Y9" s="2">
        <v>15945000000000</v>
      </c>
      <c r="AA9" s="2">
        <v>0.00812375</v>
      </c>
      <c r="AB9" s="2">
        <v>0.00861937</v>
      </c>
      <c r="AC9" s="2">
        <v>126697000000000</v>
      </c>
      <c r="AD9" s="2">
        <v>6717800000</v>
      </c>
      <c r="AE9" s="2">
        <v>0</v>
      </c>
      <c r="AF9" s="2">
        <v>0</v>
      </c>
      <c r="AG9" s="2">
        <v>2</v>
      </c>
      <c r="AH9" s="2">
        <v>27664900000000</v>
      </c>
      <c r="AI9" s="2">
        <v>28583300000000</v>
      </c>
      <c r="AJ9" s="2">
        <v>27820300000000</v>
      </c>
      <c r="AK9" s="2">
        <v>27585500000000</v>
      </c>
      <c r="AL9" s="2">
        <v>15040600000000</v>
      </c>
      <c r="AN9" s="2">
        <f t="shared" si="0"/>
        <v>0.00803321</v>
      </c>
      <c r="AO9" s="2">
        <f t="shared" si="1"/>
        <v>128691000000000</v>
      </c>
      <c r="AP9" s="2">
        <f t="shared" si="2"/>
        <v>125469000000000</v>
      </c>
      <c r="AQ9" s="2">
        <f t="shared" si="3"/>
        <v>128691000000000</v>
      </c>
      <c r="AR9" s="2">
        <f t="shared" si="4"/>
        <v>20891300000000</v>
      </c>
      <c r="AS9" s="2">
        <f t="shared" si="5"/>
        <v>15040600000000</v>
      </c>
      <c r="AT9" s="2">
        <f t="shared" si="6"/>
        <v>20891300000000</v>
      </c>
    </row>
    <row r="10" customHeight="1" spans="1:46">
      <c r="A10" s="2">
        <v>0.00900416</v>
      </c>
      <c r="B10" s="2">
        <v>0.00960398</v>
      </c>
      <c r="C10" s="2">
        <v>129237000000000</v>
      </c>
      <c r="D10" s="2">
        <v>28134000000</v>
      </c>
      <c r="E10" s="2">
        <v>0</v>
      </c>
      <c r="F10" s="2">
        <v>0</v>
      </c>
      <c r="G10" s="2">
        <v>2</v>
      </c>
      <c r="H10" s="2">
        <v>26029900000000</v>
      </c>
      <c r="I10" s="2">
        <v>26062800000000</v>
      </c>
      <c r="J10" s="2">
        <v>27337600000000</v>
      </c>
      <c r="K10" s="2">
        <v>26065500000000</v>
      </c>
      <c r="L10" s="2">
        <v>23740700000000</v>
      </c>
      <c r="N10" s="2">
        <v>0.00900432</v>
      </c>
      <c r="O10" s="2">
        <v>0.0093911</v>
      </c>
      <c r="P10" s="2">
        <v>125539000000000</v>
      </c>
      <c r="Q10" s="2">
        <v>59222400000</v>
      </c>
      <c r="R10" s="2">
        <v>0</v>
      </c>
      <c r="S10" s="2">
        <v>0</v>
      </c>
      <c r="T10" s="2">
        <v>2</v>
      </c>
      <c r="U10" s="2">
        <v>27160000000000</v>
      </c>
      <c r="V10" s="2">
        <v>27980400000000</v>
      </c>
      <c r="W10" s="2">
        <v>27384600000000</v>
      </c>
      <c r="X10" s="2">
        <v>28259000000000</v>
      </c>
      <c r="Y10" s="2">
        <v>14755000000000</v>
      </c>
      <c r="AA10" s="2">
        <v>0.0090335</v>
      </c>
      <c r="AB10" s="2">
        <v>0.00953471</v>
      </c>
      <c r="AC10" s="2">
        <v>126930000000000</v>
      </c>
      <c r="AD10" s="2">
        <v>7955250000</v>
      </c>
      <c r="AE10" s="2">
        <v>0</v>
      </c>
      <c r="AF10" s="2">
        <v>0</v>
      </c>
      <c r="AG10" s="2">
        <v>2</v>
      </c>
      <c r="AH10" s="2">
        <v>27742300000000</v>
      </c>
      <c r="AI10" s="2">
        <v>28216400000000</v>
      </c>
      <c r="AJ10" s="2">
        <v>27764000000000</v>
      </c>
      <c r="AK10" s="2">
        <v>27665100000000</v>
      </c>
      <c r="AL10" s="2">
        <v>15542000000000</v>
      </c>
      <c r="AN10" s="2">
        <f t="shared" si="0"/>
        <v>0.00900416</v>
      </c>
      <c r="AO10" s="2">
        <f t="shared" si="1"/>
        <v>129237000000000</v>
      </c>
      <c r="AP10" s="2">
        <f t="shared" si="2"/>
        <v>125539000000000</v>
      </c>
      <c r="AQ10" s="2">
        <f t="shared" si="3"/>
        <v>129237000000000</v>
      </c>
      <c r="AR10" s="2">
        <f t="shared" si="4"/>
        <v>23740700000000</v>
      </c>
      <c r="AS10" s="2">
        <f t="shared" si="5"/>
        <v>14755000000000</v>
      </c>
      <c r="AT10" s="2">
        <f t="shared" si="6"/>
        <v>23740700000000</v>
      </c>
    </row>
    <row r="11" customHeight="1" spans="1:46">
      <c r="A11" s="2">
        <v>0.0100131</v>
      </c>
      <c r="B11" s="2">
        <v>0.010564</v>
      </c>
      <c r="C11" s="2">
        <v>128056000000000</v>
      </c>
      <c r="D11" s="2">
        <v>14017500000</v>
      </c>
      <c r="E11" s="2">
        <v>0</v>
      </c>
      <c r="F11" s="2">
        <v>0</v>
      </c>
      <c r="G11" s="2">
        <v>2</v>
      </c>
      <c r="H11" s="2">
        <v>24064100000000</v>
      </c>
      <c r="I11" s="2">
        <v>24332800000000</v>
      </c>
      <c r="J11" s="2">
        <v>26391200000000</v>
      </c>
      <c r="K11" s="2">
        <v>24953100000000</v>
      </c>
      <c r="L11" s="2">
        <v>28314100000000</v>
      </c>
      <c r="N11" s="2">
        <v>0.0100997</v>
      </c>
      <c r="O11" s="2">
        <v>0.0105104</v>
      </c>
      <c r="P11" s="2">
        <v>125822000000000</v>
      </c>
      <c r="Q11" s="2">
        <v>20807200000</v>
      </c>
      <c r="R11" s="2">
        <v>0</v>
      </c>
      <c r="S11" s="2">
        <v>0</v>
      </c>
      <c r="T11" s="2">
        <v>2</v>
      </c>
      <c r="U11" s="2">
        <v>27419900000000</v>
      </c>
      <c r="V11" s="2">
        <v>28433800000000</v>
      </c>
      <c r="W11" s="2">
        <v>27329100000000</v>
      </c>
      <c r="X11" s="2">
        <v>28258700000000</v>
      </c>
      <c r="Y11" s="2">
        <v>14380900000000</v>
      </c>
      <c r="AA11" s="2">
        <v>0.0100048</v>
      </c>
      <c r="AB11" s="2">
        <v>0.0104919</v>
      </c>
      <c r="AC11" s="2">
        <v>126540000000000</v>
      </c>
      <c r="AD11" s="2">
        <v>20161000000</v>
      </c>
      <c r="AE11" s="2">
        <v>0</v>
      </c>
      <c r="AF11" s="2">
        <v>0</v>
      </c>
      <c r="AG11" s="2">
        <v>2</v>
      </c>
      <c r="AH11" s="2">
        <v>27881200000000</v>
      </c>
      <c r="AI11" s="2">
        <v>28150200000000</v>
      </c>
      <c r="AJ11" s="2">
        <v>27968400000000</v>
      </c>
      <c r="AK11" s="2">
        <v>27167200000000</v>
      </c>
      <c r="AL11" s="2">
        <v>15371900000000</v>
      </c>
      <c r="AN11" s="2">
        <f t="shared" si="0"/>
        <v>0.0100131</v>
      </c>
      <c r="AO11" s="2">
        <f t="shared" si="1"/>
        <v>128056000000000</v>
      </c>
      <c r="AP11" s="2">
        <f t="shared" si="2"/>
        <v>125822000000000</v>
      </c>
      <c r="AQ11" s="2">
        <f t="shared" si="3"/>
        <v>128056000000000</v>
      </c>
      <c r="AR11" s="2">
        <f t="shared" si="4"/>
        <v>28314100000000</v>
      </c>
      <c r="AS11" s="2">
        <f t="shared" si="5"/>
        <v>14380900000000</v>
      </c>
      <c r="AT11" s="2">
        <f t="shared" si="6"/>
        <v>28314100000000</v>
      </c>
    </row>
    <row r="12" customHeight="1" spans="1:46">
      <c r="A12" s="2">
        <v>0.0110256</v>
      </c>
      <c r="B12" s="2">
        <v>0.0115959</v>
      </c>
      <c r="C12" s="2">
        <v>125926000000000</v>
      </c>
      <c r="D12" s="2">
        <v>4236480000</v>
      </c>
      <c r="E12" s="2">
        <v>0</v>
      </c>
      <c r="F12" s="2">
        <v>0</v>
      </c>
      <c r="G12" s="2">
        <v>2</v>
      </c>
      <c r="H12" s="2">
        <v>21301800000000</v>
      </c>
      <c r="I12" s="2">
        <v>21342400000000</v>
      </c>
      <c r="J12" s="2">
        <v>23043300000000</v>
      </c>
      <c r="K12" s="2">
        <v>23131700000000</v>
      </c>
      <c r="L12" s="2">
        <v>37106700000000</v>
      </c>
      <c r="N12" s="2">
        <v>0.0110179</v>
      </c>
      <c r="O12" s="2">
        <v>0.0114791</v>
      </c>
      <c r="P12" s="2">
        <v>125620000000000</v>
      </c>
      <c r="Q12" s="2">
        <v>83262400000</v>
      </c>
      <c r="R12" s="2">
        <v>0</v>
      </c>
      <c r="S12" s="2">
        <v>0</v>
      </c>
      <c r="T12" s="2">
        <v>2</v>
      </c>
      <c r="U12" s="2">
        <v>26405200000000</v>
      </c>
      <c r="V12" s="2">
        <v>27683500000000</v>
      </c>
      <c r="W12" s="2">
        <v>26885100000000</v>
      </c>
      <c r="X12" s="2">
        <v>27755500000000</v>
      </c>
      <c r="Y12" s="2">
        <v>16890300000000</v>
      </c>
      <c r="AA12" s="2">
        <v>0.0110689</v>
      </c>
      <c r="AB12" s="2">
        <v>0.0115566</v>
      </c>
      <c r="AC12" s="2">
        <v>126321000000000</v>
      </c>
      <c r="AD12" s="2">
        <v>6206200000</v>
      </c>
      <c r="AE12" s="2">
        <v>0</v>
      </c>
      <c r="AF12" s="2">
        <v>0</v>
      </c>
      <c r="AG12" s="2">
        <v>2</v>
      </c>
      <c r="AH12" s="2">
        <v>27960700000000</v>
      </c>
      <c r="AI12" s="2">
        <v>28684800000000</v>
      </c>
      <c r="AJ12" s="2">
        <v>28077200000000</v>
      </c>
      <c r="AK12" s="2">
        <v>27054400000000</v>
      </c>
      <c r="AL12" s="2">
        <v>14543500000000</v>
      </c>
      <c r="AN12" s="2">
        <f t="shared" si="0"/>
        <v>0.0110256</v>
      </c>
      <c r="AO12" s="2">
        <f t="shared" si="1"/>
        <v>125926000000000</v>
      </c>
      <c r="AP12" s="2">
        <f t="shared" si="2"/>
        <v>125620000000000</v>
      </c>
      <c r="AQ12" s="2">
        <f t="shared" si="3"/>
        <v>126321000000000</v>
      </c>
      <c r="AR12" s="2">
        <f t="shared" si="4"/>
        <v>37106700000000</v>
      </c>
      <c r="AS12" s="2">
        <f t="shared" si="5"/>
        <v>14543500000000</v>
      </c>
      <c r="AT12" s="2">
        <f t="shared" si="6"/>
        <v>37106700000000</v>
      </c>
    </row>
    <row r="13" customHeight="1" spans="1:46">
      <c r="A13" s="2">
        <v>0.0120005</v>
      </c>
      <c r="B13" s="2">
        <v>0.0126315</v>
      </c>
      <c r="C13" s="2">
        <v>125953000000000</v>
      </c>
      <c r="D13" s="2">
        <v>26522100000</v>
      </c>
      <c r="E13" s="2">
        <v>0</v>
      </c>
      <c r="F13" s="2">
        <v>0</v>
      </c>
      <c r="G13" s="2">
        <v>2</v>
      </c>
      <c r="H13" s="2">
        <v>19266000000000</v>
      </c>
      <c r="I13" s="2">
        <v>19611800000000</v>
      </c>
      <c r="J13" s="2">
        <v>21347700000000</v>
      </c>
      <c r="K13" s="2">
        <v>21523900000000</v>
      </c>
      <c r="L13" s="2">
        <v>44200400000000</v>
      </c>
      <c r="N13" s="2">
        <v>0.0120621</v>
      </c>
      <c r="O13" s="2">
        <v>0.0126571</v>
      </c>
      <c r="P13" s="2">
        <v>126069000000000</v>
      </c>
      <c r="Q13" s="2">
        <v>14940500000</v>
      </c>
      <c r="R13" s="2">
        <v>0</v>
      </c>
      <c r="S13" s="2">
        <v>0</v>
      </c>
      <c r="T13" s="2">
        <v>2</v>
      </c>
      <c r="U13" s="2">
        <v>26420700000000</v>
      </c>
      <c r="V13" s="2">
        <v>26983700000000</v>
      </c>
      <c r="W13" s="2">
        <v>26345500000000</v>
      </c>
      <c r="X13" s="2">
        <v>27731800000000</v>
      </c>
      <c r="Y13" s="2">
        <v>18585700000000</v>
      </c>
      <c r="AA13" s="2">
        <v>0.0119677</v>
      </c>
      <c r="AB13" s="2">
        <v>0.0124856</v>
      </c>
      <c r="AC13" s="2">
        <v>126727000000000</v>
      </c>
      <c r="AD13" s="2">
        <v>21211400000</v>
      </c>
      <c r="AE13" s="2">
        <v>0</v>
      </c>
      <c r="AF13" s="2">
        <v>0</v>
      </c>
      <c r="AG13" s="2">
        <v>2</v>
      </c>
      <c r="AH13" s="2">
        <v>27798100000000</v>
      </c>
      <c r="AI13" s="2">
        <v>28201100000000</v>
      </c>
      <c r="AJ13" s="2">
        <v>28200100000000</v>
      </c>
      <c r="AK13" s="2">
        <v>26905200000000</v>
      </c>
      <c r="AL13" s="2">
        <v>15616500000000</v>
      </c>
      <c r="AN13" s="2">
        <f t="shared" si="0"/>
        <v>0.0120005</v>
      </c>
      <c r="AO13" s="2">
        <f t="shared" si="1"/>
        <v>125953000000000</v>
      </c>
      <c r="AP13" s="2">
        <f t="shared" si="2"/>
        <v>125953000000000</v>
      </c>
      <c r="AQ13" s="2">
        <f t="shared" si="3"/>
        <v>126727000000000</v>
      </c>
      <c r="AR13" s="2">
        <f t="shared" si="4"/>
        <v>44200400000000</v>
      </c>
      <c r="AS13" s="2">
        <f t="shared" si="5"/>
        <v>15616500000000</v>
      </c>
      <c r="AT13" s="2">
        <f t="shared" si="6"/>
        <v>44200400000000</v>
      </c>
    </row>
    <row r="14" customHeight="1" spans="1:46">
      <c r="A14" s="2">
        <v>0.0131082</v>
      </c>
      <c r="B14" s="2">
        <v>0.0138076</v>
      </c>
      <c r="C14" s="2">
        <v>125417000000000</v>
      </c>
      <c r="D14" s="2">
        <v>20172400000</v>
      </c>
      <c r="E14" s="2">
        <v>0</v>
      </c>
      <c r="F14" s="2">
        <v>0</v>
      </c>
      <c r="G14" s="2">
        <v>2</v>
      </c>
      <c r="H14" s="2">
        <v>18429200000000</v>
      </c>
      <c r="I14" s="2">
        <v>19481400000000</v>
      </c>
      <c r="J14" s="2">
        <v>19821100000000</v>
      </c>
      <c r="K14" s="2">
        <v>18960900000000</v>
      </c>
      <c r="L14" s="2">
        <v>48722700000000</v>
      </c>
      <c r="N14" s="2">
        <v>0.0130452</v>
      </c>
      <c r="O14" s="2">
        <v>0.0137395</v>
      </c>
      <c r="P14" s="2">
        <v>126415000000000</v>
      </c>
      <c r="Q14" s="2">
        <v>15110900000</v>
      </c>
      <c r="R14" s="2">
        <v>0</v>
      </c>
      <c r="S14" s="2">
        <v>0</v>
      </c>
      <c r="T14" s="2">
        <v>2</v>
      </c>
      <c r="U14" s="2">
        <v>26294300000000</v>
      </c>
      <c r="V14" s="2">
        <v>26084600000000</v>
      </c>
      <c r="W14" s="2">
        <v>25038100000000</v>
      </c>
      <c r="X14" s="2">
        <v>26481100000000</v>
      </c>
      <c r="Y14" s="2">
        <v>22516500000000</v>
      </c>
      <c r="AA14" s="2">
        <v>0.0129759</v>
      </c>
      <c r="AB14" s="2">
        <v>0.0134945</v>
      </c>
      <c r="AC14" s="2">
        <v>126618000000000</v>
      </c>
      <c r="AD14" s="2">
        <v>25253700000</v>
      </c>
      <c r="AE14" s="2">
        <v>0</v>
      </c>
      <c r="AF14" s="2">
        <v>0</v>
      </c>
      <c r="AG14" s="2">
        <v>2</v>
      </c>
      <c r="AH14" s="2">
        <v>27293300000000</v>
      </c>
      <c r="AI14" s="2">
        <v>28184700000000</v>
      </c>
      <c r="AJ14" s="2">
        <v>28072300000000</v>
      </c>
      <c r="AK14" s="2">
        <v>27121800000000</v>
      </c>
      <c r="AL14" s="2">
        <v>15943200000000</v>
      </c>
      <c r="AN14" s="2">
        <f t="shared" si="0"/>
        <v>0.0131082</v>
      </c>
      <c r="AO14" s="2">
        <f t="shared" si="1"/>
        <v>125417000000000</v>
      </c>
      <c r="AP14" s="2">
        <f t="shared" si="2"/>
        <v>125417000000000</v>
      </c>
      <c r="AQ14" s="2">
        <f t="shared" si="3"/>
        <v>126618000000000</v>
      </c>
      <c r="AR14" s="2">
        <f t="shared" si="4"/>
        <v>48722700000000</v>
      </c>
      <c r="AS14" s="2">
        <f t="shared" si="5"/>
        <v>15943200000000</v>
      </c>
      <c r="AT14" s="2">
        <f t="shared" si="6"/>
        <v>48722700000000</v>
      </c>
    </row>
    <row r="15" customHeight="1" spans="1:46">
      <c r="A15" s="2">
        <v>0.0140191</v>
      </c>
      <c r="B15" s="2">
        <v>0.0146991</v>
      </c>
      <c r="C15" s="2">
        <v>126325000000000</v>
      </c>
      <c r="D15" s="2">
        <v>7867030000</v>
      </c>
      <c r="E15" s="2">
        <v>0</v>
      </c>
      <c r="F15" s="2">
        <v>0</v>
      </c>
      <c r="G15" s="2">
        <v>2</v>
      </c>
      <c r="H15" s="2">
        <v>18664500000000</v>
      </c>
      <c r="I15" s="2">
        <v>18756400000000</v>
      </c>
      <c r="J15" s="2">
        <v>19387100000000</v>
      </c>
      <c r="K15" s="2">
        <v>18634700000000</v>
      </c>
      <c r="L15" s="2">
        <v>50880900000000</v>
      </c>
      <c r="N15" s="2">
        <v>0.0139858</v>
      </c>
      <c r="O15" s="2">
        <v>0.0147061</v>
      </c>
      <c r="P15" s="2">
        <v>129295000000000</v>
      </c>
      <c r="Q15" s="2">
        <v>13851800000</v>
      </c>
      <c r="R15" s="2">
        <v>0</v>
      </c>
      <c r="S15" s="2">
        <v>0</v>
      </c>
      <c r="T15" s="2">
        <v>2</v>
      </c>
      <c r="U15" s="2">
        <v>27590900000000</v>
      </c>
      <c r="V15" s="2">
        <v>27284400000000</v>
      </c>
      <c r="W15" s="2">
        <v>26351800000000</v>
      </c>
      <c r="X15" s="2">
        <v>26880200000000</v>
      </c>
      <c r="Y15" s="2">
        <v>21188000000000</v>
      </c>
      <c r="AA15" s="2">
        <v>0.0141253</v>
      </c>
      <c r="AB15" s="2">
        <v>0.0146415</v>
      </c>
      <c r="AC15" s="2">
        <v>126654000000000</v>
      </c>
      <c r="AD15" s="2">
        <v>20911200000</v>
      </c>
      <c r="AE15" s="2">
        <v>0</v>
      </c>
      <c r="AF15" s="2">
        <v>0</v>
      </c>
      <c r="AG15" s="2">
        <v>2</v>
      </c>
      <c r="AH15" s="2">
        <v>26631000000000</v>
      </c>
      <c r="AI15" s="2">
        <v>28335000000000</v>
      </c>
      <c r="AJ15" s="2">
        <v>28622800000000</v>
      </c>
      <c r="AK15" s="2">
        <v>26551300000000</v>
      </c>
      <c r="AL15" s="2">
        <v>16514100000000</v>
      </c>
      <c r="AN15" s="2">
        <f t="shared" si="0"/>
        <v>0.0140191</v>
      </c>
      <c r="AO15" s="2">
        <f t="shared" si="1"/>
        <v>126325000000000</v>
      </c>
      <c r="AP15" s="2">
        <f t="shared" si="2"/>
        <v>126325000000000</v>
      </c>
      <c r="AQ15" s="2">
        <f t="shared" si="3"/>
        <v>129295000000000</v>
      </c>
      <c r="AR15" s="2">
        <f t="shared" si="4"/>
        <v>50880900000000</v>
      </c>
      <c r="AS15" s="2">
        <f t="shared" si="5"/>
        <v>16514100000000</v>
      </c>
      <c r="AT15" s="2">
        <f t="shared" si="6"/>
        <v>50880900000000</v>
      </c>
    </row>
    <row r="16" customHeight="1" spans="1:46">
      <c r="A16" s="2">
        <v>0.0150061</v>
      </c>
      <c r="B16" s="2">
        <v>0.0156756</v>
      </c>
      <c r="C16" s="2">
        <v>124151000000000</v>
      </c>
      <c r="D16" s="2">
        <v>4769880000</v>
      </c>
      <c r="E16" s="2">
        <v>0</v>
      </c>
      <c r="F16" s="2">
        <v>0</v>
      </c>
      <c r="G16" s="2">
        <v>2</v>
      </c>
      <c r="H16" s="2">
        <v>17133600000000</v>
      </c>
      <c r="I16" s="2">
        <v>16403600000000</v>
      </c>
      <c r="J16" s="2">
        <v>17032700000000</v>
      </c>
      <c r="K16" s="2">
        <v>16626700000000</v>
      </c>
      <c r="L16" s="2">
        <v>56937400000000</v>
      </c>
      <c r="N16" s="2">
        <v>0.0150132</v>
      </c>
      <c r="O16" s="2">
        <v>0.0156819</v>
      </c>
      <c r="P16" s="2">
        <v>129476000000000</v>
      </c>
      <c r="Q16" s="2">
        <v>14394300000</v>
      </c>
      <c r="R16" s="2">
        <v>0</v>
      </c>
      <c r="S16" s="2">
        <v>0</v>
      </c>
      <c r="T16" s="2">
        <v>2</v>
      </c>
      <c r="U16" s="2">
        <v>26706700000000</v>
      </c>
      <c r="V16" s="2">
        <v>26052000000000</v>
      </c>
      <c r="W16" s="2">
        <v>26042500000000</v>
      </c>
      <c r="X16" s="2">
        <v>26609700000000</v>
      </c>
      <c r="Y16" s="2">
        <v>24064700000000</v>
      </c>
      <c r="AA16" s="2">
        <v>0.0148874</v>
      </c>
      <c r="AB16" s="2">
        <v>0.0153843</v>
      </c>
      <c r="AC16" s="2">
        <v>126491000000000</v>
      </c>
      <c r="AD16" s="2">
        <v>2257200000</v>
      </c>
      <c r="AE16" s="2">
        <v>0</v>
      </c>
      <c r="AF16" s="2">
        <v>0</v>
      </c>
      <c r="AG16" s="2">
        <v>2</v>
      </c>
      <c r="AH16" s="2">
        <v>26412000000000</v>
      </c>
      <c r="AI16" s="2">
        <v>28395700000000</v>
      </c>
      <c r="AJ16" s="2">
        <v>28614900000000</v>
      </c>
      <c r="AK16" s="2">
        <v>26584100000000</v>
      </c>
      <c r="AL16" s="2">
        <v>16484400000000</v>
      </c>
      <c r="AN16" s="2">
        <f t="shared" si="0"/>
        <v>0.0150061</v>
      </c>
      <c r="AO16" s="2">
        <f t="shared" si="1"/>
        <v>124151000000000</v>
      </c>
      <c r="AP16" s="2">
        <f t="shared" si="2"/>
        <v>124151000000000</v>
      </c>
      <c r="AQ16" s="2">
        <f t="shared" si="3"/>
        <v>129476000000000</v>
      </c>
      <c r="AR16" s="2">
        <f t="shared" si="4"/>
        <v>56937400000000</v>
      </c>
      <c r="AS16" s="2">
        <f t="shared" si="5"/>
        <v>16484400000000</v>
      </c>
      <c r="AT16" s="2">
        <f t="shared" si="6"/>
        <v>56937400000000</v>
      </c>
    </row>
    <row r="17" customHeight="1" spans="1:46">
      <c r="A17" s="2">
        <v>0.0160272</v>
      </c>
      <c r="B17" s="2">
        <v>0.0166684</v>
      </c>
      <c r="C17" s="2">
        <v>122508000000000</v>
      </c>
      <c r="D17" s="2">
        <v>40905100000</v>
      </c>
      <c r="E17" s="2">
        <v>0</v>
      </c>
      <c r="F17" s="2">
        <v>0</v>
      </c>
      <c r="G17" s="2">
        <v>2</v>
      </c>
      <c r="H17" s="2">
        <v>14584100000000</v>
      </c>
      <c r="I17" s="2">
        <v>14653800000000</v>
      </c>
      <c r="J17" s="2">
        <v>14832800000000</v>
      </c>
      <c r="K17" s="2">
        <v>13769700000000</v>
      </c>
      <c r="L17" s="2">
        <v>64616400000000</v>
      </c>
      <c r="N17" s="2">
        <v>0.0160216</v>
      </c>
      <c r="O17" s="2">
        <v>0.0166962</v>
      </c>
      <c r="P17" s="2">
        <v>129645000000000</v>
      </c>
      <c r="Q17" s="2">
        <v>5150140000</v>
      </c>
      <c r="R17" s="2">
        <v>0</v>
      </c>
      <c r="S17" s="2">
        <v>0</v>
      </c>
      <c r="T17" s="2">
        <v>2</v>
      </c>
      <c r="U17" s="2">
        <v>25920400000000</v>
      </c>
      <c r="V17" s="2">
        <v>25025700000000</v>
      </c>
      <c r="W17" s="2">
        <v>24655500000000</v>
      </c>
      <c r="X17" s="2">
        <v>25270200000000</v>
      </c>
      <c r="Y17" s="2">
        <v>28768800000000</v>
      </c>
      <c r="AA17" s="2">
        <v>0.0161202</v>
      </c>
      <c r="AB17" s="2">
        <v>0.0165902</v>
      </c>
      <c r="AC17" s="2">
        <v>126137000000000</v>
      </c>
      <c r="AD17" s="2">
        <v>8003800000</v>
      </c>
      <c r="AE17" s="2">
        <v>0</v>
      </c>
      <c r="AF17" s="2">
        <v>0</v>
      </c>
      <c r="AG17" s="2">
        <v>2</v>
      </c>
      <c r="AH17" s="2">
        <v>26424900000000</v>
      </c>
      <c r="AI17" s="2">
        <v>28681200000000</v>
      </c>
      <c r="AJ17" s="2">
        <v>28893100000000</v>
      </c>
      <c r="AK17" s="2">
        <v>26595800000000</v>
      </c>
      <c r="AL17" s="2">
        <v>15542300000000</v>
      </c>
      <c r="AN17" s="2">
        <f t="shared" si="0"/>
        <v>0.0160272</v>
      </c>
      <c r="AO17" s="2">
        <f t="shared" si="1"/>
        <v>122508000000000</v>
      </c>
      <c r="AP17" s="2">
        <f t="shared" si="2"/>
        <v>122508000000000</v>
      </c>
      <c r="AQ17" s="2">
        <f t="shared" si="3"/>
        <v>129645000000000</v>
      </c>
      <c r="AR17" s="2">
        <f t="shared" si="4"/>
        <v>64616400000000</v>
      </c>
      <c r="AS17" s="2">
        <f t="shared" si="5"/>
        <v>15542300000000</v>
      </c>
      <c r="AT17" s="2">
        <f t="shared" si="6"/>
        <v>64616400000000</v>
      </c>
    </row>
    <row r="18" customHeight="1" spans="1:46">
      <c r="A18" s="2">
        <v>0.0169018</v>
      </c>
      <c r="B18" s="2">
        <v>0.0178401</v>
      </c>
      <c r="C18" s="2">
        <v>120506000000000</v>
      </c>
      <c r="D18" s="2">
        <v>79166000000</v>
      </c>
      <c r="E18" s="2">
        <v>0</v>
      </c>
      <c r="F18" s="2">
        <v>0</v>
      </c>
      <c r="G18" s="2">
        <v>2</v>
      </c>
      <c r="H18" s="2">
        <v>11750700000000</v>
      </c>
      <c r="I18" s="2">
        <v>12046000000000</v>
      </c>
      <c r="J18" s="2">
        <v>11435400000000</v>
      </c>
      <c r="K18" s="2">
        <v>10641500000000</v>
      </c>
      <c r="L18" s="2">
        <v>74592700000000</v>
      </c>
      <c r="N18" s="2">
        <v>0.0171345</v>
      </c>
      <c r="O18" s="2">
        <v>0.0177788</v>
      </c>
      <c r="P18" s="2">
        <v>130730000000000</v>
      </c>
      <c r="Q18" s="2">
        <v>4104060000</v>
      </c>
      <c r="R18" s="2">
        <v>0</v>
      </c>
      <c r="S18" s="2">
        <v>0</v>
      </c>
      <c r="T18" s="2">
        <v>2</v>
      </c>
      <c r="U18" s="2">
        <v>25225100000000</v>
      </c>
      <c r="V18" s="2">
        <v>23945200000000</v>
      </c>
      <c r="W18" s="2">
        <v>23601800000000</v>
      </c>
      <c r="X18" s="2">
        <v>25152300000000</v>
      </c>
      <c r="Y18" s="2">
        <v>32805500000000</v>
      </c>
      <c r="AA18" s="2">
        <v>0.0170747</v>
      </c>
      <c r="AB18" s="2">
        <v>0.0175328</v>
      </c>
      <c r="AC18" s="2">
        <v>126222000000000</v>
      </c>
      <c r="AD18" s="2">
        <v>35187700000</v>
      </c>
      <c r="AE18" s="2">
        <v>0</v>
      </c>
      <c r="AF18" s="2">
        <v>0</v>
      </c>
      <c r="AG18" s="2">
        <v>2</v>
      </c>
      <c r="AH18" s="2">
        <v>26439600000000</v>
      </c>
      <c r="AI18" s="2">
        <v>28859100000000</v>
      </c>
      <c r="AJ18" s="2">
        <v>28625700000000</v>
      </c>
      <c r="AK18" s="2">
        <v>26060700000000</v>
      </c>
      <c r="AL18" s="2">
        <v>16235700000000</v>
      </c>
      <c r="AN18" s="2">
        <f t="shared" si="0"/>
        <v>0.0169018</v>
      </c>
      <c r="AO18" s="2">
        <f t="shared" si="1"/>
        <v>120506000000000</v>
      </c>
      <c r="AP18" s="2">
        <f t="shared" si="2"/>
        <v>120506000000000</v>
      </c>
      <c r="AQ18" s="2">
        <f t="shared" si="3"/>
        <v>130730000000000</v>
      </c>
      <c r="AR18" s="2">
        <f t="shared" si="4"/>
        <v>74592700000000</v>
      </c>
      <c r="AS18" s="2">
        <f t="shared" si="5"/>
        <v>16235700000000</v>
      </c>
      <c r="AT18" s="2">
        <f t="shared" si="6"/>
        <v>74592700000000</v>
      </c>
    </row>
    <row r="19" customHeight="1" spans="1:46">
      <c r="A19" s="2">
        <v>0.0180332</v>
      </c>
      <c r="B19" s="2">
        <v>0.0188585</v>
      </c>
      <c r="C19" s="2">
        <v>121804000000000</v>
      </c>
      <c r="D19" s="2">
        <v>95043500000</v>
      </c>
      <c r="E19" s="2">
        <v>0</v>
      </c>
      <c r="F19" s="2">
        <v>0</v>
      </c>
      <c r="G19" s="2">
        <v>2</v>
      </c>
      <c r="H19" s="2">
        <v>13246900000000</v>
      </c>
      <c r="I19" s="2">
        <v>12739500000000</v>
      </c>
      <c r="J19" s="2">
        <v>10944400000000</v>
      </c>
      <c r="K19" s="2">
        <v>12517100000000</v>
      </c>
      <c r="L19" s="2">
        <v>72310600000000</v>
      </c>
      <c r="N19" s="2">
        <v>0.0180138</v>
      </c>
      <c r="O19" s="2">
        <v>0.0186823</v>
      </c>
      <c r="P19" s="2">
        <v>130928000000000</v>
      </c>
      <c r="Q19" s="2">
        <v>7281830000</v>
      </c>
      <c r="R19" s="2">
        <v>0</v>
      </c>
      <c r="S19" s="2">
        <v>0</v>
      </c>
      <c r="T19" s="2">
        <v>2</v>
      </c>
      <c r="U19" s="2">
        <v>24302000000000</v>
      </c>
      <c r="V19" s="2">
        <v>22467200000000</v>
      </c>
      <c r="W19" s="2">
        <v>23579300000000</v>
      </c>
      <c r="X19" s="2">
        <v>22995700000000</v>
      </c>
      <c r="Y19" s="2">
        <v>37583500000000</v>
      </c>
      <c r="AA19" s="2">
        <v>0.0179877</v>
      </c>
      <c r="AB19" s="2">
        <v>0.0184321</v>
      </c>
      <c r="AC19" s="2">
        <v>126143000000000</v>
      </c>
      <c r="AD19" s="2">
        <v>41906500000</v>
      </c>
      <c r="AE19" s="2">
        <v>0</v>
      </c>
      <c r="AF19" s="2">
        <v>0</v>
      </c>
      <c r="AG19" s="2">
        <v>2</v>
      </c>
      <c r="AH19" s="2">
        <v>26560400000000</v>
      </c>
      <c r="AI19" s="2">
        <v>29922200000000</v>
      </c>
      <c r="AJ19" s="2">
        <v>29250300000000</v>
      </c>
      <c r="AK19" s="2">
        <v>26424200000000</v>
      </c>
      <c r="AL19" s="2">
        <v>13985600000000</v>
      </c>
      <c r="AN19" s="2">
        <f t="shared" si="0"/>
        <v>0.0180332</v>
      </c>
      <c r="AO19" s="2">
        <f t="shared" si="1"/>
        <v>121804000000000</v>
      </c>
      <c r="AP19" s="2">
        <f t="shared" si="2"/>
        <v>121804000000000</v>
      </c>
      <c r="AQ19" s="2">
        <f t="shared" si="3"/>
        <v>130928000000000</v>
      </c>
      <c r="AR19" s="2">
        <f t="shared" si="4"/>
        <v>72310600000000</v>
      </c>
      <c r="AS19" s="2">
        <f t="shared" si="5"/>
        <v>13985600000000</v>
      </c>
      <c r="AT19" s="2">
        <f t="shared" si="6"/>
        <v>72310600000000</v>
      </c>
    </row>
    <row r="20" customHeight="1" spans="1:46">
      <c r="A20" s="2">
        <v>0.0189849</v>
      </c>
      <c r="B20" s="2">
        <v>0.0199253</v>
      </c>
      <c r="C20" s="2">
        <v>120502000000000</v>
      </c>
      <c r="D20" s="2">
        <v>25495900000</v>
      </c>
      <c r="E20" s="2">
        <v>0</v>
      </c>
      <c r="F20" s="2">
        <v>0</v>
      </c>
      <c r="G20" s="2">
        <v>2</v>
      </c>
      <c r="H20" s="2">
        <v>12178400000000</v>
      </c>
      <c r="I20" s="2">
        <v>11178100000000</v>
      </c>
      <c r="J20" s="2">
        <v>10069400000000</v>
      </c>
      <c r="K20" s="2">
        <v>12441000000000</v>
      </c>
      <c r="L20" s="2">
        <v>74490900000000</v>
      </c>
      <c r="N20" s="2">
        <v>0.0189339</v>
      </c>
      <c r="O20" s="2">
        <v>0.0195993</v>
      </c>
      <c r="P20" s="2">
        <v>132537000000000</v>
      </c>
      <c r="Q20" s="2">
        <v>6866040000</v>
      </c>
      <c r="R20" s="2">
        <v>0</v>
      </c>
      <c r="S20" s="2">
        <v>0</v>
      </c>
      <c r="T20" s="2">
        <v>2</v>
      </c>
      <c r="U20" s="2">
        <v>23702400000000</v>
      </c>
      <c r="V20" s="2">
        <v>21120300000000</v>
      </c>
      <c r="W20" s="2">
        <v>23391600000000</v>
      </c>
      <c r="X20" s="2">
        <v>22486400000000</v>
      </c>
      <c r="Y20" s="2">
        <v>41835400000000</v>
      </c>
      <c r="AA20" s="2">
        <v>0.0189791</v>
      </c>
      <c r="AB20" s="2">
        <v>0.0194153</v>
      </c>
      <c r="AC20" s="2">
        <v>126405000000000</v>
      </c>
      <c r="AD20" s="2">
        <v>2543480000</v>
      </c>
      <c r="AE20" s="2">
        <v>0</v>
      </c>
      <c r="AF20" s="2">
        <v>0</v>
      </c>
      <c r="AG20" s="2">
        <v>2</v>
      </c>
      <c r="AH20" s="2">
        <v>26436500000000</v>
      </c>
      <c r="AI20" s="2">
        <v>30116200000000</v>
      </c>
      <c r="AJ20" s="2">
        <v>29677600000000</v>
      </c>
      <c r="AK20" s="2">
        <v>26639700000000</v>
      </c>
      <c r="AL20" s="2">
        <v>13535100000000</v>
      </c>
      <c r="AN20" s="2">
        <f t="shared" si="0"/>
        <v>0.0189849</v>
      </c>
      <c r="AO20" s="2">
        <f t="shared" si="1"/>
        <v>120502000000000</v>
      </c>
      <c r="AP20" s="2">
        <f t="shared" si="2"/>
        <v>120502000000000</v>
      </c>
      <c r="AQ20" s="2">
        <f t="shared" si="3"/>
        <v>132537000000000</v>
      </c>
      <c r="AR20" s="2">
        <f t="shared" si="4"/>
        <v>74490900000000</v>
      </c>
      <c r="AS20" s="2">
        <f t="shared" si="5"/>
        <v>13535100000000</v>
      </c>
      <c r="AT20" s="2">
        <f t="shared" si="6"/>
        <v>74490900000000</v>
      </c>
    </row>
    <row r="21" customHeight="1" spans="1:46">
      <c r="A21" s="2">
        <v>0.0199998</v>
      </c>
      <c r="B21" s="2">
        <v>0.0207966</v>
      </c>
      <c r="C21" s="2">
        <v>121166000000000</v>
      </c>
      <c r="D21" s="2">
        <v>15598800000</v>
      </c>
      <c r="E21" s="2">
        <v>0</v>
      </c>
      <c r="F21" s="2">
        <v>0</v>
      </c>
      <c r="G21" s="2">
        <v>2</v>
      </c>
      <c r="H21" s="2">
        <v>12996200000000</v>
      </c>
      <c r="I21" s="2">
        <v>11389600000000</v>
      </c>
      <c r="J21" s="2">
        <v>9994480000000</v>
      </c>
      <c r="K21" s="2">
        <v>13967800000000</v>
      </c>
      <c r="L21" s="2">
        <v>72636700000000</v>
      </c>
      <c r="N21" s="2">
        <v>0.0200167</v>
      </c>
      <c r="O21" s="2">
        <v>0.0206056</v>
      </c>
      <c r="P21" s="2">
        <v>129019000000000</v>
      </c>
      <c r="Q21" s="2">
        <v>4531550000</v>
      </c>
      <c r="R21" s="2">
        <v>0</v>
      </c>
      <c r="S21" s="2">
        <v>0</v>
      </c>
      <c r="T21" s="2">
        <v>2</v>
      </c>
      <c r="U21" s="2">
        <v>20816100000000</v>
      </c>
      <c r="V21" s="2">
        <v>17873800000000</v>
      </c>
      <c r="W21" s="2">
        <v>20633100000000</v>
      </c>
      <c r="X21" s="2">
        <v>20954900000000</v>
      </c>
      <c r="Y21" s="2">
        <v>48738100000000</v>
      </c>
      <c r="AA21" s="2">
        <v>0.0199769</v>
      </c>
      <c r="AB21" s="2">
        <v>0.020399</v>
      </c>
      <c r="AC21" s="2">
        <v>126624000000000</v>
      </c>
      <c r="AD21" s="2">
        <v>17608700000</v>
      </c>
      <c r="AE21" s="2">
        <v>0</v>
      </c>
      <c r="AF21" s="2">
        <v>0</v>
      </c>
      <c r="AG21" s="2">
        <v>2</v>
      </c>
      <c r="AH21" s="2">
        <v>27081700000000</v>
      </c>
      <c r="AI21" s="2">
        <v>30024400000000</v>
      </c>
      <c r="AJ21" s="2">
        <v>30333900000000</v>
      </c>
      <c r="AK21" s="2">
        <v>27125200000000</v>
      </c>
      <c r="AL21" s="2">
        <v>12058600000000</v>
      </c>
      <c r="AN21" s="2">
        <f t="shared" si="0"/>
        <v>0.0199998</v>
      </c>
      <c r="AO21" s="2">
        <f t="shared" si="1"/>
        <v>121166000000000</v>
      </c>
      <c r="AP21" s="2">
        <f t="shared" si="2"/>
        <v>121166000000000</v>
      </c>
      <c r="AQ21" s="2">
        <f t="shared" si="3"/>
        <v>129019000000000</v>
      </c>
      <c r="AR21" s="2">
        <f t="shared" si="4"/>
        <v>72636700000000</v>
      </c>
      <c r="AS21" s="2">
        <f t="shared" si="5"/>
        <v>12058600000000</v>
      </c>
      <c r="AT21" s="2">
        <f t="shared" si="6"/>
        <v>72636700000000</v>
      </c>
    </row>
    <row r="22" customHeight="1" spans="1:46">
      <c r="A22" s="2">
        <v>0.0207894</v>
      </c>
      <c r="B22" s="2">
        <v>0.0217047</v>
      </c>
      <c r="C22" s="2">
        <v>121921000000000</v>
      </c>
      <c r="D22" s="2">
        <v>6073420000</v>
      </c>
      <c r="E22" s="2">
        <v>0</v>
      </c>
      <c r="F22" s="2">
        <v>0</v>
      </c>
      <c r="G22" s="2">
        <v>2</v>
      </c>
      <c r="H22" s="2">
        <v>12346700000000</v>
      </c>
      <c r="I22" s="2">
        <v>11927000000000</v>
      </c>
      <c r="J22" s="2">
        <v>10602400000000</v>
      </c>
      <c r="K22" s="2">
        <v>14890400000000</v>
      </c>
      <c r="L22" s="2">
        <v>71944200000000</v>
      </c>
      <c r="N22" s="2">
        <v>0.0209944</v>
      </c>
      <c r="O22" s="2">
        <v>0.0216334</v>
      </c>
      <c r="P22" s="2">
        <v>127957000000000</v>
      </c>
      <c r="Q22" s="2">
        <v>41015000000</v>
      </c>
      <c r="R22" s="2">
        <v>0</v>
      </c>
      <c r="S22" s="2">
        <v>0</v>
      </c>
      <c r="T22" s="2">
        <v>2</v>
      </c>
      <c r="U22" s="2">
        <v>19056900000000</v>
      </c>
      <c r="V22" s="2">
        <v>18646700000000</v>
      </c>
      <c r="W22" s="2">
        <v>20403800000000</v>
      </c>
      <c r="X22" s="2">
        <v>18895000000000</v>
      </c>
      <c r="Y22" s="2">
        <v>50954300000000</v>
      </c>
      <c r="AA22" s="2">
        <v>0.0210492</v>
      </c>
      <c r="AB22" s="2">
        <v>0.0214475</v>
      </c>
      <c r="AC22" s="2">
        <v>126269000000000</v>
      </c>
      <c r="AD22" s="2">
        <v>8903550000</v>
      </c>
      <c r="AE22" s="2">
        <v>0</v>
      </c>
      <c r="AF22" s="2">
        <v>0</v>
      </c>
      <c r="AG22" s="2">
        <v>2</v>
      </c>
      <c r="AH22" s="2">
        <v>26991900000000</v>
      </c>
      <c r="AI22" s="2">
        <v>30051100000000</v>
      </c>
      <c r="AJ22" s="2">
        <v>30424600000000</v>
      </c>
      <c r="AK22" s="2">
        <v>26931300000000</v>
      </c>
      <c r="AL22" s="2">
        <v>11870300000000</v>
      </c>
      <c r="AN22" s="2">
        <f t="shared" si="0"/>
        <v>0.0207894</v>
      </c>
      <c r="AO22" s="2">
        <f t="shared" si="1"/>
        <v>121921000000000</v>
      </c>
      <c r="AP22" s="2">
        <f t="shared" si="2"/>
        <v>121921000000000</v>
      </c>
      <c r="AQ22" s="2">
        <f t="shared" si="3"/>
        <v>127957000000000</v>
      </c>
      <c r="AR22" s="2">
        <f t="shared" si="4"/>
        <v>71944200000000</v>
      </c>
      <c r="AS22" s="2">
        <f t="shared" si="5"/>
        <v>11870300000000</v>
      </c>
      <c r="AT22" s="2">
        <f t="shared" si="6"/>
        <v>71944200000000</v>
      </c>
    </row>
    <row r="23" customHeight="1" spans="1:46">
      <c r="A23" s="2">
        <v>0.0218755</v>
      </c>
      <c r="B23" s="2">
        <v>0.0227684</v>
      </c>
      <c r="C23" s="2">
        <v>121954000000000</v>
      </c>
      <c r="D23" s="2">
        <v>11438600000</v>
      </c>
      <c r="E23" s="2">
        <v>0</v>
      </c>
      <c r="F23" s="2">
        <v>0</v>
      </c>
      <c r="G23" s="2">
        <v>2</v>
      </c>
      <c r="H23" s="2">
        <v>12979300000000</v>
      </c>
      <c r="I23" s="2">
        <v>11904200000000</v>
      </c>
      <c r="J23" s="2">
        <v>11083500000000</v>
      </c>
      <c r="K23" s="2">
        <v>14253400000000</v>
      </c>
      <c r="L23" s="2">
        <v>71504400000000</v>
      </c>
      <c r="N23" s="2">
        <v>0.0220424</v>
      </c>
      <c r="O23" s="2">
        <v>0.0226586</v>
      </c>
      <c r="P23" s="2">
        <v>124914000000000</v>
      </c>
      <c r="Q23" s="2">
        <v>27573200000</v>
      </c>
      <c r="R23" s="2">
        <v>0</v>
      </c>
      <c r="S23" s="2">
        <v>0</v>
      </c>
      <c r="T23" s="2">
        <v>2</v>
      </c>
      <c r="U23" s="2">
        <v>17117700000000</v>
      </c>
      <c r="V23" s="2">
        <v>17056700000000</v>
      </c>
      <c r="W23" s="2">
        <v>17515600000000</v>
      </c>
      <c r="X23" s="2">
        <v>16737200000000</v>
      </c>
      <c r="Y23" s="2">
        <v>56485600000000</v>
      </c>
      <c r="AA23" s="2">
        <v>0.0220476</v>
      </c>
      <c r="AB23" s="2">
        <v>0.0224647</v>
      </c>
      <c r="AC23" s="2">
        <v>126299000000000</v>
      </c>
      <c r="AD23" s="2">
        <v>16319600000</v>
      </c>
      <c r="AE23" s="2">
        <v>0</v>
      </c>
      <c r="AF23" s="2">
        <v>0</v>
      </c>
      <c r="AG23" s="2">
        <v>2</v>
      </c>
      <c r="AH23" s="2">
        <v>27061300000000</v>
      </c>
      <c r="AI23" s="2">
        <v>29863300000000</v>
      </c>
      <c r="AJ23" s="2">
        <v>30235100000000</v>
      </c>
      <c r="AK23" s="2">
        <v>27127400000000</v>
      </c>
      <c r="AL23" s="2">
        <v>12011500000000</v>
      </c>
      <c r="AN23" s="2">
        <f t="shared" si="0"/>
        <v>0.0218755</v>
      </c>
      <c r="AO23" s="2">
        <f t="shared" si="1"/>
        <v>121954000000000</v>
      </c>
      <c r="AP23" s="2">
        <f t="shared" si="2"/>
        <v>121954000000000</v>
      </c>
      <c r="AQ23" s="2">
        <f t="shared" si="3"/>
        <v>126299000000000</v>
      </c>
      <c r="AR23" s="2">
        <f t="shared" si="4"/>
        <v>71504400000000</v>
      </c>
      <c r="AS23" s="2">
        <f t="shared" si="5"/>
        <v>12011500000000</v>
      </c>
      <c r="AT23" s="2">
        <f t="shared" si="6"/>
        <v>71504400000000</v>
      </c>
    </row>
    <row r="24" customHeight="1" spans="1:46">
      <c r="A24" s="2">
        <v>0.0228839</v>
      </c>
      <c r="B24" s="2">
        <v>0.0236744</v>
      </c>
      <c r="C24" s="2">
        <v>122211000000000</v>
      </c>
      <c r="D24" s="2">
        <v>46517400000</v>
      </c>
      <c r="E24" s="2">
        <v>0</v>
      </c>
      <c r="F24" s="2">
        <v>0</v>
      </c>
      <c r="G24" s="2">
        <v>2</v>
      </c>
      <c r="H24" s="2">
        <v>14217100000000</v>
      </c>
      <c r="I24" s="2">
        <v>12494200000000</v>
      </c>
      <c r="J24" s="2">
        <v>11632600000000</v>
      </c>
      <c r="K24" s="2">
        <v>14122800000000</v>
      </c>
      <c r="L24" s="2">
        <v>69527200000000</v>
      </c>
      <c r="N24" s="2">
        <v>0.0229543</v>
      </c>
      <c r="O24" s="2">
        <v>0.023588</v>
      </c>
      <c r="P24" s="2">
        <v>124033000000000</v>
      </c>
      <c r="Q24" s="2">
        <v>15573800000</v>
      </c>
      <c r="R24" s="2">
        <v>0</v>
      </c>
      <c r="S24" s="2">
        <v>0</v>
      </c>
      <c r="T24" s="2">
        <v>2</v>
      </c>
      <c r="U24" s="2">
        <v>15675700000000</v>
      </c>
      <c r="V24" s="2">
        <v>15143700000000</v>
      </c>
      <c r="W24" s="2">
        <v>16225000000000</v>
      </c>
      <c r="X24" s="2">
        <v>14907200000000</v>
      </c>
      <c r="Y24" s="2">
        <v>62064000000000</v>
      </c>
      <c r="AA24" s="2">
        <v>0.0229617</v>
      </c>
      <c r="AB24" s="2">
        <v>0.023406</v>
      </c>
      <c r="AC24" s="2">
        <v>126550000000000</v>
      </c>
      <c r="AD24" s="2">
        <v>20594700000</v>
      </c>
      <c r="AE24" s="2">
        <v>0</v>
      </c>
      <c r="AF24" s="2">
        <v>0</v>
      </c>
      <c r="AG24" s="2">
        <v>2</v>
      </c>
      <c r="AH24" s="2">
        <v>27161900000000</v>
      </c>
      <c r="AI24" s="2">
        <v>29779000000000</v>
      </c>
      <c r="AJ24" s="2">
        <v>30051900000000</v>
      </c>
      <c r="AK24" s="2">
        <v>27142400000000</v>
      </c>
      <c r="AL24" s="2">
        <v>12414800000000</v>
      </c>
      <c r="AN24" s="2">
        <f t="shared" si="0"/>
        <v>0.0228839</v>
      </c>
      <c r="AO24" s="2">
        <f t="shared" si="1"/>
        <v>122211000000000</v>
      </c>
      <c r="AP24" s="2">
        <f t="shared" si="2"/>
        <v>122211000000000</v>
      </c>
      <c r="AQ24" s="2">
        <f t="shared" si="3"/>
        <v>126550000000000</v>
      </c>
      <c r="AR24" s="2">
        <f t="shared" si="4"/>
        <v>69527200000000</v>
      </c>
      <c r="AS24" s="2">
        <f t="shared" si="5"/>
        <v>12414800000000</v>
      </c>
      <c r="AT24" s="2">
        <f t="shared" si="6"/>
        <v>69527200000000</v>
      </c>
    </row>
    <row r="25" customHeight="1" spans="1:46">
      <c r="A25" s="2">
        <v>0.0240288</v>
      </c>
      <c r="B25" s="2">
        <v>0.0246678</v>
      </c>
      <c r="C25" s="2">
        <v>123135000000000</v>
      </c>
      <c r="D25" s="2">
        <v>12470400000</v>
      </c>
      <c r="E25" s="2">
        <v>0</v>
      </c>
      <c r="F25" s="2">
        <v>0</v>
      </c>
      <c r="G25" s="2">
        <v>2</v>
      </c>
      <c r="H25" s="2">
        <v>15362500000000</v>
      </c>
      <c r="I25" s="2">
        <v>13893000000000</v>
      </c>
      <c r="J25" s="2">
        <v>13377500000000</v>
      </c>
      <c r="K25" s="2">
        <v>14652300000000</v>
      </c>
      <c r="L25" s="2">
        <v>65706800000000</v>
      </c>
      <c r="N25" s="2">
        <v>0.0238307</v>
      </c>
      <c r="O25" s="2">
        <v>0.0245893</v>
      </c>
      <c r="P25" s="2">
        <v>122187000000000</v>
      </c>
      <c r="Q25" s="2">
        <v>61215300000</v>
      </c>
      <c r="R25" s="2">
        <v>0</v>
      </c>
      <c r="S25" s="2">
        <v>0</v>
      </c>
      <c r="T25" s="2">
        <v>2</v>
      </c>
      <c r="U25" s="2">
        <v>13794200000000</v>
      </c>
      <c r="V25" s="2">
        <v>12603700000000</v>
      </c>
      <c r="W25" s="2">
        <v>14024200000000</v>
      </c>
      <c r="X25" s="2">
        <v>13297000000000</v>
      </c>
      <c r="Y25" s="2">
        <v>68372000000000</v>
      </c>
      <c r="AA25" s="2">
        <v>0.0240296</v>
      </c>
      <c r="AB25" s="2">
        <v>0.0244483</v>
      </c>
      <c r="AC25" s="2">
        <v>126985000000000</v>
      </c>
      <c r="AD25" s="2">
        <v>34882700000</v>
      </c>
      <c r="AE25" s="2">
        <v>0</v>
      </c>
      <c r="AF25" s="2">
        <v>0</v>
      </c>
      <c r="AG25" s="2">
        <v>2</v>
      </c>
      <c r="AH25" s="2">
        <v>27692400000000</v>
      </c>
      <c r="AI25" s="2">
        <v>30214200000000</v>
      </c>
      <c r="AJ25" s="2">
        <v>30197300000000</v>
      </c>
      <c r="AK25" s="2">
        <v>27391600000000</v>
      </c>
      <c r="AL25" s="2">
        <v>11488900000000</v>
      </c>
      <c r="AN25" s="2">
        <f t="shared" si="0"/>
        <v>0.0240288</v>
      </c>
      <c r="AO25" s="2">
        <f t="shared" si="1"/>
        <v>123135000000000</v>
      </c>
      <c r="AP25" s="2">
        <f t="shared" si="2"/>
        <v>122187000000000</v>
      </c>
      <c r="AQ25" s="2">
        <f t="shared" si="3"/>
        <v>126985000000000</v>
      </c>
      <c r="AR25" s="2">
        <f t="shared" si="4"/>
        <v>65706800000000</v>
      </c>
      <c r="AS25" s="2">
        <f t="shared" si="5"/>
        <v>11488900000000</v>
      </c>
      <c r="AT25" s="2">
        <f t="shared" si="6"/>
        <v>68372000000000</v>
      </c>
    </row>
    <row r="26" customHeight="1" spans="1:46">
      <c r="A26" s="2">
        <v>0.0249402</v>
      </c>
      <c r="B26" s="2">
        <v>0.0257533</v>
      </c>
      <c r="C26" s="2">
        <v>123295000000000</v>
      </c>
      <c r="D26" s="2">
        <v>15159700000</v>
      </c>
      <c r="E26" s="2">
        <v>0</v>
      </c>
      <c r="F26" s="2">
        <v>0</v>
      </c>
      <c r="G26" s="2">
        <v>2</v>
      </c>
      <c r="H26" s="2">
        <v>14200100000000</v>
      </c>
      <c r="I26" s="2">
        <v>14508600000000</v>
      </c>
      <c r="J26" s="2">
        <v>13906100000000</v>
      </c>
      <c r="K26" s="2">
        <v>13728600000000</v>
      </c>
      <c r="L26" s="2">
        <v>66876200000000</v>
      </c>
      <c r="N26" s="2">
        <v>0.0249625</v>
      </c>
      <c r="O26" s="2">
        <v>0.0258838</v>
      </c>
      <c r="P26" s="2">
        <v>121942000000000</v>
      </c>
      <c r="Q26" s="2">
        <v>118271000000</v>
      </c>
      <c r="R26" s="2">
        <v>0</v>
      </c>
      <c r="S26" s="2">
        <v>0</v>
      </c>
      <c r="T26" s="2">
        <v>2</v>
      </c>
      <c r="U26" s="2">
        <v>13244900000000</v>
      </c>
      <c r="V26" s="2">
        <v>12219200000000</v>
      </c>
      <c r="W26" s="2">
        <v>12944600000000</v>
      </c>
      <c r="X26" s="2">
        <v>14093400000000</v>
      </c>
      <c r="Y26" s="2">
        <v>69356100000000</v>
      </c>
      <c r="AA26" s="2">
        <v>0.0250661</v>
      </c>
      <c r="AB26" s="2">
        <v>0.0254909</v>
      </c>
      <c r="AC26" s="2">
        <v>127328000000000</v>
      </c>
      <c r="AD26" s="2">
        <v>11129400000</v>
      </c>
      <c r="AE26" s="2">
        <v>0</v>
      </c>
      <c r="AF26" s="2">
        <v>0</v>
      </c>
      <c r="AG26" s="2">
        <v>2</v>
      </c>
      <c r="AH26" s="2">
        <v>28010400000000</v>
      </c>
      <c r="AI26" s="2">
        <v>30603400000000</v>
      </c>
      <c r="AJ26" s="2">
        <v>30963100000000</v>
      </c>
      <c r="AK26" s="2">
        <v>28001200000000</v>
      </c>
      <c r="AL26" s="2">
        <v>9750100000000</v>
      </c>
      <c r="AN26" s="2">
        <f t="shared" si="0"/>
        <v>0.0249402</v>
      </c>
      <c r="AO26" s="2">
        <f t="shared" si="1"/>
        <v>123295000000000</v>
      </c>
      <c r="AP26" s="2">
        <f t="shared" si="2"/>
        <v>121942000000000</v>
      </c>
      <c r="AQ26" s="2">
        <f t="shared" si="3"/>
        <v>127328000000000</v>
      </c>
      <c r="AR26" s="2">
        <f t="shared" si="4"/>
        <v>66876200000000</v>
      </c>
      <c r="AS26" s="2">
        <f t="shared" si="5"/>
        <v>9750100000000</v>
      </c>
      <c r="AT26" s="2">
        <f t="shared" si="6"/>
        <v>69356100000000</v>
      </c>
    </row>
    <row r="27" customHeight="1" spans="1:46">
      <c r="A27" s="2">
        <v>0.0259639</v>
      </c>
      <c r="B27" s="2">
        <v>0.0267122</v>
      </c>
      <c r="C27" s="2">
        <v>123976000000000</v>
      </c>
      <c r="D27" s="2">
        <v>30717400000</v>
      </c>
      <c r="E27" s="2">
        <v>0</v>
      </c>
      <c r="F27" s="2">
        <v>0</v>
      </c>
      <c r="G27" s="2">
        <v>2</v>
      </c>
      <c r="H27" s="2">
        <v>15174900000000</v>
      </c>
      <c r="I27" s="2">
        <v>14980400000000</v>
      </c>
      <c r="J27" s="2">
        <v>14546300000000</v>
      </c>
      <c r="K27" s="2">
        <v>14630700000000</v>
      </c>
      <c r="L27" s="2">
        <v>64603700000000</v>
      </c>
      <c r="N27" s="2">
        <v>0.0260463</v>
      </c>
      <c r="O27" s="2">
        <v>0.0267858</v>
      </c>
      <c r="P27" s="2">
        <v>123145000000000</v>
      </c>
      <c r="Q27" s="2">
        <v>6897170000</v>
      </c>
      <c r="R27" s="2">
        <v>0</v>
      </c>
      <c r="S27" s="2">
        <v>0</v>
      </c>
      <c r="T27" s="2">
        <v>2</v>
      </c>
      <c r="U27" s="2">
        <v>14556300000000</v>
      </c>
      <c r="V27" s="2">
        <v>13251100000000</v>
      </c>
      <c r="W27" s="2">
        <v>13359200000000</v>
      </c>
      <c r="X27" s="2">
        <v>14618900000000</v>
      </c>
      <c r="Y27" s="2">
        <v>67244700000000</v>
      </c>
      <c r="AA27" s="2">
        <v>0.0259647</v>
      </c>
      <c r="AB27" s="2">
        <v>0.0263689</v>
      </c>
      <c r="AC27" s="2">
        <v>127150000000000</v>
      </c>
      <c r="AD27" s="2">
        <v>37024200000</v>
      </c>
      <c r="AE27" s="2">
        <v>0</v>
      </c>
      <c r="AF27" s="2">
        <v>0</v>
      </c>
      <c r="AG27" s="2">
        <v>2</v>
      </c>
      <c r="AH27" s="2">
        <v>27825300000000</v>
      </c>
      <c r="AI27" s="2">
        <v>30801100000000</v>
      </c>
      <c r="AJ27" s="2">
        <v>31053700000000</v>
      </c>
      <c r="AK27" s="2">
        <v>27750300000000</v>
      </c>
      <c r="AL27" s="2">
        <v>9719880000000</v>
      </c>
      <c r="AN27" s="2">
        <f t="shared" si="0"/>
        <v>0.0259639</v>
      </c>
      <c r="AO27" s="2">
        <f t="shared" si="1"/>
        <v>123976000000000</v>
      </c>
      <c r="AP27" s="2">
        <f t="shared" si="2"/>
        <v>123145000000000</v>
      </c>
      <c r="AQ27" s="2">
        <f t="shared" si="3"/>
        <v>127150000000000</v>
      </c>
      <c r="AR27" s="2">
        <f t="shared" si="4"/>
        <v>64603700000000</v>
      </c>
      <c r="AS27" s="2">
        <f t="shared" si="5"/>
        <v>9719880000000</v>
      </c>
      <c r="AT27" s="2">
        <f t="shared" si="6"/>
        <v>67244700000000</v>
      </c>
    </row>
    <row r="28" customHeight="1" spans="1:46">
      <c r="A28" s="2">
        <v>0.0269637</v>
      </c>
      <c r="B28" s="2">
        <v>0.0278059</v>
      </c>
      <c r="C28" s="2">
        <v>121279000000000</v>
      </c>
      <c r="D28" s="2">
        <v>9068360000</v>
      </c>
      <c r="E28" s="2">
        <v>0</v>
      </c>
      <c r="F28" s="2">
        <v>0</v>
      </c>
      <c r="G28" s="2">
        <v>2</v>
      </c>
      <c r="H28" s="2">
        <v>13043900000000</v>
      </c>
      <c r="I28" s="2">
        <v>12027800000000</v>
      </c>
      <c r="J28" s="2">
        <v>10982700000000</v>
      </c>
      <c r="K28" s="2">
        <v>12850300000000</v>
      </c>
      <c r="L28" s="2">
        <v>72296900000000</v>
      </c>
      <c r="N28" s="2">
        <v>0.0269885</v>
      </c>
      <c r="O28" s="2">
        <v>0.027681</v>
      </c>
      <c r="P28" s="2">
        <v>123503000000000</v>
      </c>
      <c r="Q28" s="2">
        <v>8702430000</v>
      </c>
      <c r="R28" s="2">
        <v>0</v>
      </c>
      <c r="S28" s="2">
        <v>0</v>
      </c>
      <c r="T28" s="2">
        <v>2</v>
      </c>
      <c r="U28" s="2">
        <v>14944700000000</v>
      </c>
      <c r="V28" s="2">
        <v>13835600000000</v>
      </c>
      <c r="W28" s="2">
        <v>14091200000000</v>
      </c>
      <c r="X28" s="2">
        <v>14806700000000</v>
      </c>
      <c r="Y28" s="2">
        <v>65685200000000</v>
      </c>
      <c r="AA28" s="2">
        <v>0.0270004</v>
      </c>
      <c r="AB28" s="2">
        <v>0.0273913</v>
      </c>
      <c r="AC28" s="2">
        <v>126914000000000</v>
      </c>
      <c r="AD28" s="2">
        <v>4088190000</v>
      </c>
      <c r="AE28" s="2">
        <v>0</v>
      </c>
      <c r="AF28" s="2">
        <v>0</v>
      </c>
      <c r="AG28" s="2">
        <v>2</v>
      </c>
      <c r="AH28" s="2">
        <v>27684900000000</v>
      </c>
      <c r="AI28" s="2">
        <v>30619700000000</v>
      </c>
      <c r="AJ28" s="2">
        <v>31336800000000</v>
      </c>
      <c r="AK28" s="2">
        <v>27988000000000</v>
      </c>
      <c r="AL28" s="2">
        <v>9284870000000</v>
      </c>
      <c r="AN28" s="2">
        <f t="shared" si="0"/>
        <v>0.0269637</v>
      </c>
      <c r="AO28" s="2">
        <f t="shared" si="1"/>
        <v>121279000000000</v>
      </c>
      <c r="AP28" s="2">
        <f t="shared" si="2"/>
        <v>121279000000000</v>
      </c>
      <c r="AQ28" s="2">
        <f t="shared" si="3"/>
        <v>126914000000000</v>
      </c>
      <c r="AR28" s="2">
        <f t="shared" si="4"/>
        <v>72296900000000</v>
      </c>
      <c r="AS28" s="2">
        <f t="shared" si="5"/>
        <v>9284870000000</v>
      </c>
      <c r="AT28" s="2">
        <f t="shared" si="6"/>
        <v>72296900000000</v>
      </c>
    </row>
    <row r="29" customHeight="1" spans="1:46">
      <c r="A29" s="2">
        <v>0.0281025</v>
      </c>
      <c r="B29" s="2">
        <v>0.0288026</v>
      </c>
      <c r="C29" s="2">
        <v>123207000000000</v>
      </c>
      <c r="D29" s="2">
        <v>14636000000</v>
      </c>
      <c r="E29" s="2">
        <v>0</v>
      </c>
      <c r="F29" s="2">
        <v>0</v>
      </c>
      <c r="G29" s="2">
        <v>2</v>
      </c>
      <c r="H29" s="2">
        <v>14827400000000</v>
      </c>
      <c r="I29" s="2">
        <v>12804400000000</v>
      </c>
      <c r="J29" s="2">
        <v>12448200000000</v>
      </c>
      <c r="K29" s="2">
        <v>15888900000000</v>
      </c>
      <c r="L29" s="2">
        <v>67157700000000</v>
      </c>
      <c r="N29" s="2">
        <v>0.0279744</v>
      </c>
      <c r="O29" s="2">
        <v>0.0288481</v>
      </c>
      <c r="P29" s="2">
        <v>122132000000000</v>
      </c>
      <c r="Q29" s="2">
        <v>22808200000</v>
      </c>
      <c r="R29" s="2">
        <v>0</v>
      </c>
      <c r="S29" s="2">
        <v>0</v>
      </c>
      <c r="T29" s="2">
        <v>2</v>
      </c>
      <c r="U29" s="2">
        <v>14123500000000</v>
      </c>
      <c r="V29" s="2">
        <v>12182400000000</v>
      </c>
      <c r="W29" s="2">
        <v>12663600000000</v>
      </c>
      <c r="X29" s="2">
        <v>12687900000000</v>
      </c>
      <c r="Y29" s="2">
        <v>70368800000000</v>
      </c>
      <c r="AN29" s="2">
        <f t="shared" si="0"/>
        <v>0.0281025</v>
      </c>
      <c r="AO29" s="2">
        <f t="shared" si="1"/>
        <v>123207000000000</v>
      </c>
      <c r="AP29" s="2">
        <f t="shared" si="2"/>
        <v>122132000000000</v>
      </c>
      <c r="AQ29" s="2">
        <f t="shared" si="3"/>
        <v>123207000000000</v>
      </c>
      <c r="AR29" s="2">
        <f t="shared" si="4"/>
        <v>67157700000000</v>
      </c>
      <c r="AS29" s="2">
        <f t="shared" si="5"/>
        <v>67157700000000</v>
      </c>
      <c r="AT29" s="2">
        <f t="shared" si="6"/>
        <v>70368800000000</v>
      </c>
    </row>
    <row r="30" customHeight="1" spans="1:46">
      <c r="A30" s="2">
        <v>0.0289868</v>
      </c>
      <c r="B30" s="2">
        <v>0.0297027</v>
      </c>
      <c r="C30" s="2">
        <v>122664000000000</v>
      </c>
      <c r="D30" s="2">
        <v>12460700000</v>
      </c>
      <c r="E30" s="2">
        <v>0</v>
      </c>
      <c r="F30" s="2">
        <v>0</v>
      </c>
      <c r="G30" s="2">
        <v>2</v>
      </c>
      <c r="H30" s="2">
        <v>13944700000000</v>
      </c>
      <c r="I30" s="2">
        <v>13730800000000</v>
      </c>
      <c r="J30" s="2">
        <v>13215600000000</v>
      </c>
      <c r="K30" s="2">
        <v>13881000000000</v>
      </c>
      <c r="L30" s="2">
        <v>67795300000000</v>
      </c>
      <c r="AN30" s="2">
        <f t="shared" si="0"/>
        <v>0.0289868</v>
      </c>
      <c r="AO30" s="2">
        <f t="shared" si="1"/>
        <v>122664000000000</v>
      </c>
      <c r="AP30" s="2">
        <f t="shared" si="2"/>
        <v>122664000000000</v>
      </c>
      <c r="AQ30" s="2">
        <f t="shared" si="3"/>
        <v>122664000000000</v>
      </c>
      <c r="AR30" s="2">
        <f t="shared" si="4"/>
        <v>67795300000000</v>
      </c>
      <c r="AS30" s="2">
        <f t="shared" si="5"/>
        <v>67795300000000</v>
      </c>
      <c r="AT30" s="2">
        <f t="shared" si="6"/>
        <v>67795300000000</v>
      </c>
    </row>
    <row r="31" customHeight="1" spans="1:4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AN31" s="2">
        <f t="shared" si="0"/>
        <v>0</v>
      </c>
      <c r="AO31" s="2">
        <f t="shared" si="1"/>
        <v>0</v>
      </c>
      <c r="AP31" s="2">
        <f t="shared" si="2"/>
        <v>0</v>
      </c>
      <c r="AQ31" s="2">
        <f t="shared" si="3"/>
        <v>0</v>
      </c>
      <c r="AR31" s="2">
        <f t="shared" si="4"/>
        <v>0</v>
      </c>
      <c r="AS31" s="2">
        <f t="shared" si="5"/>
        <v>0</v>
      </c>
      <c r="AT31" s="2">
        <f t="shared" si="6"/>
        <v>0</v>
      </c>
    </row>
    <row r="32" customHeight="1" spans="40:46">
      <c r="AN32" s="2"/>
      <c r="AO32" s="2"/>
      <c r="AP32" s="2"/>
      <c r="AQ32" s="2"/>
      <c r="AR32" s="2"/>
      <c r="AS32" s="2"/>
      <c r="AT32" s="2"/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workbookViewId="0">
      <selection activeCell="M16" sqref="M16"/>
    </sheetView>
  </sheetViews>
  <sheetFormatPr defaultColWidth="9.00740740740741" defaultRowHeight="15" customHeight="1"/>
  <cols>
    <col min="10" max="10" width="10.2814814814815" style="7" customWidth="1"/>
    <col min="11" max="11" width="12.437037037037" style="7" customWidth="1"/>
    <col min="12" max="12" width="12.2814814814815" style="7" customWidth="1"/>
  </cols>
  <sheetData>
    <row r="1" customHeight="1" spans="1:20">
      <c r="A1" s="17" t="s">
        <v>11</v>
      </c>
      <c r="B1" s="17"/>
      <c r="D1" s="17" t="s">
        <v>12</v>
      </c>
      <c r="E1" s="17"/>
      <c r="G1" s="17" t="s">
        <v>3</v>
      </c>
      <c r="H1" s="17"/>
      <c r="K1" s="17" t="s">
        <v>13</v>
      </c>
      <c r="L1" s="17"/>
      <c r="O1" s="4"/>
      <c r="P1" s="4"/>
      <c r="T1" s="4"/>
    </row>
    <row r="2" customHeight="1" spans="1:19">
      <c r="A2" s="2">
        <v>0.000974606</v>
      </c>
      <c r="B2" s="2">
        <v>110579000</v>
      </c>
      <c r="D2" s="2">
        <v>0.000990369</v>
      </c>
      <c r="E2" s="2">
        <v>99805500</v>
      </c>
      <c r="G2" s="2">
        <v>0.000989107</v>
      </c>
      <c r="H2" s="2">
        <v>106808000</v>
      </c>
      <c r="K2" s="7" t="s">
        <v>14</v>
      </c>
      <c r="L2" s="7" t="s">
        <v>15</v>
      </c>
      <c r="M2" s="7" t="s">
        <v>16</v>
      </c>
      <c r="N2" s="4" t="s">
        <v>17</v>
      </c>
      <c r="O2" s="4" t="s">
        <v>18</v>
      </c>
      <c r="P2" s="1" t="s">
        <v>19</v>
      </c>
      <c r="Q2" s="1" t="s">
        <v>20</v>
      </c>
      <c r="R2" s="1" t="s">
        <v>21</v>
      </c>
      <c r="S2" s="4" t="s">
        <v>22</v>
      </c>
    </row>
    <row r="3" customHeight="1" spans="1:19">
      <c r="A3" s="2">
        <v>0.00204321</v>
      </c>
      <c r="B3" s="2">
        <v>99151100</v>
      </c>
      <c r="D3" s="2">
        <v>0.002124</v>
      </c>
      <c r="E3" s="2">
        <v>98356300</v>
      </c>
      <c r="G3" s="2">
        <v>0.00201989</v>
      </c>
      <c r="H3" s="2">
        <v>115151000</v>
      </c>
      <c r="J3" s="1" t="s">
        <v>1</v>
      </c>
      <c r="K3" s="1">
        <f>AVERAGE(B25:B30)/1000000</f>
        <v>155.941333333333</v>
      </c>
      <c r="L3" s="19">
        <f>AVERAGE('400K_SR20'!L28:L32)</f>
        <v>69083300000000</v>
      </c>
      <c r="M3" s="19">
        <f>AVERAGE('400K_SR20'!C28:C32)</f>
        <v>122383333333333</v>
      </c>
      <c r="N3" s="3">
        <f>Graphs!$B$1*80.9*0.248*SQRT(L3)/1000000</f>
        <v>54.1963577505903</v>
      </c>
      <c r="O3" s="3">
        <f>Graphs!$B$2*80.9*0.248*SQRT(M3)/1000000</f>
        <v>11.0976582246442</v>
      </c>
      <c r="P3" s="1">
        <f>SQRT(N3^2+O3^2)</f>
        <v>55.3209111593526</v>
      </c>
      <c r="Q3" s="1">
        <f>K3*0.4707</f>
        <v>73.4015856</v>
      </c>
      <c r="R3" s="1">
        <f>Q3/P3</f>
        <v>1.32683254960436</v>
      </c>
      <c r="S3" s="3">
        <f>L3/M3</f>
        <v>0.564482908892823</v>
      </c>
    </row>
    <row r="4" customHeight="1" spans="1:19">
      <c r="A4" s="2">
        <v>0.00297351</v>
      </c>
      <c r="B4" s="2">
        <v>105715000</v>
      </c>
      <c r="D4" s="2">
        <v>0.00306679</v>
      </c>
      <c r="E4" s="2">
        <v>86227800</v>
      </c>
      <c r="G4" s="2">
        <v>0.00323733</v>
      </c>
      <c r="H4" s="2">
        <v>120553000</v>
      </c>
      <c r="J4" s="1" t="s">
        <v>2</v>
      </c>
      <c r="K4" s="1">
        <f>AVERAGE(E25:E30)/1000000</f>
        <v>167.2634</v>
      </c>
      <c r="L4" s="19">
        <f>AVERAGE('400K_SR20'!Y28:Y32)</f>
        <v>68027000000000</v>
      </c>
      <c r="M4" s="19">
        <f>AVERAGE('400K_SR20'!P28:P32)</f>
        <v>122817500000000</v>
      </c>
      <c r="N4" s="3">
        <f>Graphs!$B$1*80.9*0.248*SQRT(L4)/1000000</f>
        <v>53.780424129602</v>
      </c>
      <c r="O4" s="3">
        <f>Graphs!$B$2*80.9*0.248*SQRT(M4)/1000000</f>
        <v>11.1173258028371</v>
      </c>
      <c r="P4" s="1">
        <f>SQRT(N4^2+O4^2)</f>
        <v>54.9174740184425</v>
      </c>
      <c r="Q4" s="1">
        <f>K4*0.4707</f>
        <v>78.73088238</v>
      </c>
      <c r="R4" s="1">
        <f>Q4/P4</f>
        <v>1.43362169850639</v>
      </c>
      <c r="S4" s="3">
        <f>L4/M4</f>
        <v>0.55388686465691</v>
      </c>
    </row>
    <row r="5" customHeight="1" spans="1:19">
      <c r="A5" s="2">
        <v>0.00403768</v>
      </c>
      <c r="B5" s="2">
        <v>109610000</v>
      </c>
      <c r="D5" s="2">
        <v>0.00400013</v>
      </c>
      <c r="E5" s="2">
        <v>92019400</v>
      </c>
      <c r="G5" s="2">
        <v>0.00398168</v>
      </c>
      <c r="H5" s="2">
        <v>120121000</v>
      </c>
      <c r="J5" s="1" t="s">
        <v>3</v>
      </c>
      <c r="K5" s="1">
        <f>AVERAGE(H24:H28)/1000000</f>
        <v>87.40314</v>
      </c>
      <c r="L5" s="19">
        <f>AVERAGE('400K_SR20'!AL28:AL32)</f>
        <v>9284870000000</v>
      </c>
      <c r="M5" s="19">
        <f>AVERAGE('400K_SR20'!AC28:AC32)</f>
        <v>126914000000000</v>
      </c>
      <c r="N5" s="3">
        <f>Graphs!$B$1*80.9*0.248*SQRT(L5)/1000000</f>
        <v>19.8687926330731</v>
      </c>
      <c r="O5" s="3">
        <f>Graphs!$B$2*80.9*0.248*SQRT(M5)/1000000</f>
        <v>11.3012107224155</v>
      </c>
      <c r="P5" s="1">
        <f>SQRT(N5^2+O5^2)</f>
        <v>22.8579588871907</v>
      </c>
      <c r="Q5" s="1">
        <f>K5*0.4707</f>
        <v>41.140657998</v>
      </c>
      <c r="R5" s="1">
        <f>Q5/P5</f>
        <v>1.7998395307752</v>
      </c>
      <c r="S5" s="3">
        <f>L5/M5</f>
        <v>0.0731587531714389</v>
      </c>
    </row>
    <row r="6" customHeight="1" spans="1:8">
      <c r="A6" s="2">
        <v>0.00499008</v>
      </c>
      <c r="B6" s="2">
        <v>114582000</v>
      </c>
      <c r="D6" s="2">
        <v>0.0050262</v>
      </c>
      <c r="E6" s="2">
        <v>89592500</v>
      </c>
      <c r="G6" s="2">
        <v>0.00498484</v>
      </c>
      <c r="H6" s="2">
        <v>115054000</v>
      </c>
    </row>
    <row r="7" customHeight="1" spans="1:8">
      <c r="A7" s="2">
        <v>0.00601634</v>
      </c>
      <c r="B7" s="2">
        <v>108370000</v>
      </c>
      <c r="D7" s="2">
        <v>0.00609306</v>
      </c>
      <c r="E7" s="2">
        <v>87400300</v>
      </c>
      <c r="G7" s="2">
        <v>0.00600329</v>
      </c>
      <c r="H7" s="2">
        <v>116893000</v>
      </c>
    </row>
    <row r="8" customHeight="1" spans="1:8">
      <c r="A8" s="2">
        <v>0.00699688</v>
      </c>
      <c r="B8" s="2">
        <v>117188000</v>
      </c>
      <c r="D8" s="2">
        <v>0.00699312</v>
      </c>
      <c r="E8" s="2">
        <v>83381600</v>
      </c>
      <c r="G8" s="2">
        <v>0.00695664</v>
      </c>
      <c r="H8" s="2">
        <v>104188000</v>
      </c>
    </row>
    <row r="9" customHeight="1" spans="1:8">
      <c r="A9" s="2">
        <v>0.00803321</v>
      </c>
      <c r="B9" s="2">
        <v>126894000</v>
      </c>
      <c r="D9" s="2">
        <v>0.0080631</v>
      </c>
      <c r="E9" s="2">
        <v>85785500</v>
      </c>
      <c r="G9" s="2">
        <v>0.00812375</v>
      </c>
      <c r="H9" s="2">
        <v>104007000</v>
      </c>
    </row>
    <row r="10" customHeight="1" spans="1:8">
      <c r="A10" s="2">
        <v>0.00900416</v>
      </c>
      <c r="B10" s="2">
        <v>125873000</v>
      </c>
      <c r="D10" s="2">
        <v>0.00900432</v>
      </c>
      <c r="E10" s="2">
        <v>81150900</v>
      </c>
      <c r="G10" s="2">
        <v>0.0090335</v>
      </c>
      <c r="H10" s="2">
        <v>105178000</v>
      </c>
    </row>
    <row r="11" customHeight="1" spans="1:19">
      <c r="A11" s="2">
        <v>0.0100131</v>
      </c>
      <c r="B11" s="2">
        <v>115600000</v>
      </c>
      <c r="D11" s="2">
        <v>0.0100997</v>
      </c>
      <c r="E11" s="2">
        <v>86188000</v>
      </c>
      <c r="G11" s="2">
        <v>0.0100048</v>
      </c>
      <c r="H11" s="2">
        <v>102231000</v>
      </c>
      <c r="J11" s="17" t="s">
        <v>23</v>
      </c>
      <c r="K11" s="17"/>
      <c r="L11" s="17"/>
      <c r="M11" s="17"/>
      <c r="N11" s="17"/>
      <c r="O11" s="17"/>
      <c r="P11" s="17"/>
      <c r="Q11" s="17"/>
      <c r="R11" s="17"/>
      <c r="S11" s="17"/>
    </row>
    <row r="12" customHeight="1" spans="1:19">
      <c r="A12" s="2">
        <v>0.0110256</v>
      </c>
      <c r="B12" s="2">
        <v>119675000</v>
      </c>
      <c r="D12" s="2">
        <v>0.0110179</v>
      </c>
      <c r="E12" s="2">
        <v>96758900</v>
      </c>
      <c r="G12" s="2">
        <v>0.0110689</v>
      </c>
      <c r="H12" s="2">
        <v>102355000</v>
      </c>
      <c r="K12" s="7" t="s">
        <v>14</v>
      </c>
      <c r="L12" s="7" t="s">
        <v>15</v>
      </c>
      <c r="M12" s="7" t="s">
        <v>16</v>
      </c>
      <c r="N12" s="4" t="s">
        <v>17</v>
      </c>
      <c r="O12" s="4" t="s">
        <v>18</v>
      </c>
      <c r="P12" s="1" t="s">
        <v>19</v>
      </c>
      <c r="Q12" s="1" t="s">
        <v>20</v>
      </c>
      <c r="R12" s="1" t="s">
        <v>21</v>
      </c>
      <c r="S12" s="4" t="s">
        <v>22</v>
      </c>
    </row>
    <row r="13" customHeight="1" spans="1:19">
      <c r="A13" s="2">
        <v>0.0120005</v>
      </c>
      <c r="B13" s="2">
        <v>132414000</v>
      </c>
      <c r="D13" s="2">
        <v>0.0120621</v>
      </c>
      <c r="E13" s="2">
        <v>124863000</v>
      </c>
      <c r="G13" s="2">
        <v>0.0119677</v>
      </c>
      <c r="H13" s="2">
        <v>108677000</v>
      </c>
      <c r="J13" s="1" t="s">
        <v>1</v>
      </c>
      <c r="K13" s="1">
        <f>AVERAGE(B12:B16)/1000000</f>
        <v>136.4098</v>
      </c>
      <c r="L13" s="19">
        <f>AVERAGE('400K_SR20'!L12:L16)</f>
        <v>47569620000000</v>
      </c>
      <c r="M13" s="19">
        <f>AVERAGE('400K_SR20'!C12:C16)</f>
        <v>125554400000000</v>
      </c>
      <c r="N13" s="3">
        <f>Graphs!$B$1*80.9*0.248*SQRT(L13)/1000000</f>
        <v>44.9726422856773</v>
      </c>
      <c r="O13" s="3">
        <f>Graphs!$B$2*80.9*0.248*SQRT(M13)/1000000</f>
        <v>11.2405141138658</v>
      </c>
      <c r="P13" s="1">
        <f>SQRT(N13^2+O13^2)</f>
        <v>46.356096812604</v>
      </c>
      <c r="Q13" s="1">
        <f>K13*0.4707</f>
        <v>64.20809286</v>
      </c>
      <c r="R13" s="1">
        <f>Q13/P13</f>
        <v>1.38510567702806</v>
      </c>
      <c r="S13" s="3">
        <f>L13/M13</f>
        <v>0.378876566651587</v>
      </c>
    </row>
    <row r="14" customHeight="1" spans="1:19">
      <c r="A14" s="2">
        <v>0.0131082</v>
      </c>
      <c r="B14" s="2">
        <v>146766000</v>
      </c>
      <c r="D14" s="2">
        <v>0.0130452</v>
      </c>
      <c r="E14" s="2">
        <v>145691000</v>
      </c>
      <c r="G14" s="2">
        <v>0.0129759</v>
      </c>
      <c r="H14" s="2">
        <v>108822000</v>
      </c>
      <c r="J14" s="1" t="s">
        <v>2</v>
      </c>
      <c r="K14" s="1">
        <f>AVERAGE(E12:E16)/1000000</f>
        <v>131.75038</v>
      </c>
      <c r="L14" s="19">
        <f>AVERAGE('400K_SR20'!Y12:Y16)</f>
        <v>20649040000000</v>
      </c>
      <c r="M14" s="19">
        <f>AVERAGE('400K_SR20'!P12:P16)</f>
        <v>127375000000000</v>
      </c>
      <c r="N14" s="3">
        <f>Graphs!$B$1*80.9*0.248*SQRT(L14)/1000000</f>
        <v>29.6301258572643</v>
      </c>
      <c r="O14" s="3">
        <f>Graphs!$B$2*80.9*0.248*SQRT(M14)/1000000</f>
        <v>11.321717268851</v>
      </c>
      <c r="P14" s="1">
        <f>SQRT(N14^2+O14^2)</f>
        <v>31.7194836060287</v>
      </c>
      <c r="Q14" s="1">
        <f>K14*0.4707</f>
        <v>62.014903866</v>
      </c>
      <c r="R14" s="1">
        <f>Q14/P14</f>
        <v>1.9551044599671</v>
      </c>
      <c r="S14" s="3">
        <f>L14/M14</f>
        <v>0.16211218842002</v>
      </c>
    </row>
    <row r="15" customHeight="1" spans="1:19">
      <c r="A15" s="2">
        <v>0.0140191</v>
      </c>
      <c r="B15" s="2">
        <v>142697000</v>
      </c>
      <c r="D15" s="2">
        <v>0.0139858</v>
      </c>
      <c r="E15" s="2">
        <v>151131000</v>
      </c>
      <c r="G15" s="2">
        <v>0.0141253</v>
      </c>
      <c r="H15" s="2">
        <v>108317000</v>
      </c>
      <c r="J15" s="1" t="s">
        <v>3</v>
      </c>
      <c r="K15" s="1">
        <f>AVERAGE(H12:H16)/1000000</f>
        <v>106.4906</v>
      </c>
      <c r="L15" s="19">
        <f>AVERAGE('400K_SR20'!AL12:AL16)</f>
        <v>15820340000000</v>
      </c>
      <c r="M15" s="19">
        <f>AVERAGE('400K_SR20'!AC12:AC16)</f>
        <v>126562200000000</v>
      </c>
      <c r="N15" s="3">
        <f>Graphs!$B$1*80.9*0.248*SQRT(L15)/1000000</f>
        <v>25.9353115781429</v>
      </c>
      <c r="O15" s="3">
        <f>Graphs!$B$2*80.9*0.248*SQRT(M15)/1000000</f>
        <v>11.2855366245254</v>
      </c>
      <c r="P15" s="1">
        <f>SQRT(N15^2+O15^2)</f>
        <v>28.2843370712283</v>
      </c>
      <c r="Q15" s="1">
        <f>K15*0.4707</f>
        <v>50.12512542</v>
      </c>
      <c r="R15" s="1">
        <f>Q15/P15</f>
        <v>1.77218668034432</v>
      </c>
      <c r="S15" s="3">
        <f>L15/M15</f>
        <v>0.125000513581464</v>
      </c>
    </row>
    <row r="16" customHeight="1" spans="1:8">
      <c r="A16" s="2">
        <v>0.0150061</v>
      </c>
      <c r="B16" s="2">
        <v>140497000</v>
      </c>
      <c r="D16" s="2">
        <v>0.0150132</v>
      </c>
      <c r="E16" s="2">
        <v>140308000</v>
      </c>
      <c r="G16" s="2">
        <v>0.0148874</v>
      </c>
      <c r="H16" s="2">
        <v>104282000</v>
      </c>
    </row>
    <row r="17" customHeight="1" spans="1:8">
      <c r="A17" s="2">
        <v>0.0160272</v>
      </c>
      <c r="B17" s="2">
        <v>134553000</v>
      </c>
      <c r="D17" s="2">
        <v>0.0160216</v>
      </c>
      <c r="E17" s="2">
        <v>141558000</v>
      </c>
      <c r="G17" s="2">
        <v>0.0161202</v>
      </c>
      <c r="H17" s="2">
        <v>98637500</v>
      </c>
    </row>
    <row r="18" customHeight="1" spans="1:8">
      <c r="A18" s="2">
        <v>0.0169018</v>
      </c>
      <c r="B18" s="2">
        <v>196898000</v>
      </c>
      <c r="D18" s="2">
        <v>0.0171345</v>
      </c>
      <c r="E18" s="2">
        <v>135206000</v>
      </c>
      <c r="G18" s="2">
        <v>0.0170747</v>
      </c>
      <c r="H18" s="2">
        <v>96121700</v>
      </c>
    </row>
    <row r="19" customHeight="1" spans="1:8">
      <c r="A19" s="2">
        <v>0.0180332</v>
      </c>
      <c r="B19" s="2">
        <v>173200000</v>
      </c>
      <c r="D19" s="2">
        <v>0.0180138</v>
      </c>
      <c r="E19" s="2">
        <v>140272000</v>
      </c>
      <c r="G19" s="2">
        <v>0.0179877</v>
      </c>
      <c r="H19" s="2">
        <v>93269500</v>
      </c>
    </row>
    <row r="20" customHeight="1" spans="1:8">
      <c r="A20" s="2">
        <v>0.0189849</v>
      </c>
      <c r="B20" s="2">
        <v>197333000</v>
      </c>
      <c r="D20" s="2">
        <v>0.0189339</v>
      </c>
      <c r="E20" s="2">
        <v>139626000</v>
      </c>
      <c r="G20" s="2">
        <v>0.0189791</v>
      </c>
      <c r="H20" s="2">
        <v>91531900</v>
      </c>
    </row>
    <row r="21" customHeight="1" spans="1:8">
      <c r="A21" s="2">
        <v>0.0199998</v>
      </c>
      <c r="B21" s="2">
        <v>167221000</v>
      </c>
      <c r="D21" s="2">
        <v>0.0200167</v>
      </c>
      <c r="E21" s="2">
        <v>123552000</v>
      </c>
      <c r="G21" s="2">
        <v>0.0199769</v>
      </c>
      <c r="H21" s="2">
        <v>88576400</v>
      </c>
    </row>
    <row r="22" customHeight="1" spans="1:8">
      <c r="A22" s="2">
        <v>0.0207894</v>
      </c>
      <c r="B22" s="2">
        <v>192091000</v>
      </c>
      <c r="D22" s="2">
        <v>0.0209944</v>
      </c>
      <c r="E22" s="2">
        <v>134096000</v>
      </c>
      <c r="G22" s="2">
        <v>0.0210492</v>
      </c>
      <c r="H22" s="2">
        <v>83583500</v>
      </c>
    </row>
    <row r="23" customHeight="1" spans="1:8">
      <c r="A23" s="2">
        <v>0.0218755</v>
      </c>
      <c r="B23" s="2">
        <v>187385000</v>
      </c>
      <c r="D23" s="2">
        <v>0.0220424</v>
      </c>
      <c r="E23" s="2">
        <v>129314000</v>
      </c>
      <c r="G23" s="2">
        <v>0.0220476</v>
      </c>
      <c r="H23" s="2">
        <v>87511800</v>
      </c>
    </row>
    <row r="24" customHeight="1" spans="1:8">
      <c r="A24" s="2">
        <v>0.0228839</v>
      </c>
      <c r="B24" s="2">
        <v>165898000</v>
      </c>
      <c r="D24" s="2">
        <v>0.0229543</v>
      </c>
      <c r="E24" s="2">
        <v>132968000</v>
      </c>
      <c r="G24" s="2">
        <v>0.0229617</v>
      </c>
      <c r="H24" s="2">
        <v>93218600</v>
      </c>
    </row>
    <row r="25" customHeight="1" spans="1:8">
      <c r="A25" s="2">
        <v>0.0240288</v>
      </c>
      <c r="B25" s="2">
        <v>134088000</v>
      </c>
      <c r="D25" s="2">
        <v>0.0238307</v>
      </c>
      <c r="E25" s="2">
        <v>159191000</v>
      </c>
      <c r="G25" s="2">
        <v>0.0240296</v>
      </c>
      <c r="H25" s="2">
        <v>87847100</v>
      </c>
    </row>
    <row r="26" customHeight="1" spans="1:8">
      <c r="A26" s="2">
        <v>0.0249402</v>
      </c>
      <c r="B26" s="2">
        <v>170641000</v>
      </c>
      <c r="D26" s="2">
        <v>0.0249625</v>
      </c>
      <c r="E26" s="2">
        <v>193321000</v>
      </c>
      <c r="G26" s="2">
        <v>0.0250661</v>
      </c>
      <c r="H26" s="2">
        <v>89130200</v>
      </c>
    </row>
    <row r="27" customHeight="1" spans="1:8">
      <c r="A27" s="2">
        <v>0.0259639</v>
      </c>
      <c r="B27" s="2">
        <v>157028000</v>
      </c>
      <c r="D27" s="2">
        <v>0.0260463</v>
      </c>
      <c r="E27" s="2">
        <v>155163000</v>
      </c>
      <c r="G27" s="2">
        <v>0.0259647</v>
      </c>
      <c r="H27" s="2">
        <v>84810000</v>
      </c>
    </row>
    <row r="28" customHeight="1" spans="1:8">
      <c r="A28" s="2">
        <v>0.0269637</v>
      </c>
      <c r="B28" s="2">
        <v>176730000</v>
      </c>
      <c r="D28" s="2">
        <v>0.0269885</v>
      </c>
      <c r="E28" s="2">
        <v>145296000</v>
      </c>
      <c r="G28" s="2">
        <v>0.0270004</v>
      </c>
      <c r="H28" s="2">
        <v>82009800</v>
      </c>
    </row>
    <row r="29" customHeight="1" spans="1:5">
      <c r="A29" s="2">
        <v>0.0281025</v>
      </c>
      <c r="B29" s="2">
        <v>146932000</v>
      </c>
      <c r="D29" s="2">
        <v>0.0279744</v>
      </c>
      <c r="E29" s="2">
        <v>183346000</v>
      </c>
    </row>
    <row r="30" customHeight="1" spans="1:2">
      <c r="A30" s="2">
        <v>0.0289868</v>
      </c>
      <c r="B30" s="2">
        <v>150229000</v>
      </c>
    </row>
    <row r="31" customHeight="1" spans="1:2">
      <c r="A31" s="2"/>
      <c r="B31" s="2"/>
    </row>
  </sheetData>
  <mergeCells count="5">
    <mergeCell ref="A1:B1"/>
    <mergeCell ref="D1:E1"/>
    <mergeCell ref="G1:H1"/>
    <mergeCell ref="K1:L1"/>
    <mergeCell ref="J11:S1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9"/>
  <sheetViews>
    <sheetView topLeftCell="G1" workbookViewId="0">
      <selection activeCell="AS13" sqref="AS13"/>
    </sheetView>
  </sheetViews>
  <sheetFormatPr defaultColWidth="9.00740740740741" defaultRowHeight="15" customHeight="1"/>
  <sheetData>
    <row r="1" customHeight="1" spans="1:46">
      <c r="A1" s="17" t="s">
        <v>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N1" s="17" t="s">
        <v>2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A1" s="17" t="s">
        <v>24</v>
      </c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N1" s="18" t="s">
        <v>4</v>
      </c>
      <c r="AO1" s="18" t="s">
        <v>5</v>
      </c>
      <c r="AP1" s="18" t="s">
        <v>6</v>
      </c>
      <c r="AQ1" s="18" t="s">
        <v>7</v>
      </c>
      <c r="AR1" s="1" t="s">
        <v>8</v>
      </c>
      <c r="AS1" s="1" t="s">
        <v>9</v>
      </c>
      <c r="AT1" s="1" t="s">
        <v>10</v>
      </c>
    </row>
    <row r="2" customHeight="1" spans="1:46">
      <c r="A2" s="2">
        <v>0.00092756</v>
      </c>
      <c r="B2" s="2">
        <v>0.00166508</v>
      </c>
      <c r="C2" s="2">
        <v>426798000000000</v>
      </c>
      <c r="D2" s="2">
        <v>103435000000</v>
      </c>
      <c r="E2" s="2">
        <v>0</v>
      </c>
      <c r="F2" s="2">
        <v>0</v>
      </c>
      <c r="G2" s="2">
        <v>2</v>
      </c>
      <c r="H2" s="2">
        <v>99987000000000</v>
      </c>
      <c r="I2" s="2">
        <v>100913000000000</v>
      </c>
      <c r="J2" s="2">
        <v>100151000000000</v>
      </c>
      <c r="K2" s="2">
        <v>102203000000000</v>
      </c>
      <c r="L2" s="2">
        <v>23543800000000</v>
      </c>
      <c r="N2" s="2">
        <v>0.00104593</v>
      </c>
      <c r="O2" s="2">
        <v>0.00160097</v>
      </c>
      <c r="P2" s="2">
        <v>426026000000000</v>
      </c>
      <c r="Q2" s="2">
        <v>101645000000</v>
      </c>
      <c r="R2" s="2">
        <v>0</v>
      </c>
      <c r="S2" s="2">
        <v>0</v>
      </c>
      <c r="T2" s="2">
        <v>2</v>
      </c>
      <c r="U2" s="2">
        <v>100682000000000</v>
      </c>
      <c r="V2" s="2">
        <v>102856000000000</v>
      </c>
      <c r="W2" s="2">
        <v>99339300000000</v>
      </c>
      <c r="X2" s="2">
        <v>101126000000000</v>
      </c>
      <c r="Y2" s="2">
        <v>22022500000000</v>
      </c>
      <c r="AA2" s="2">
        <v>0.000972836</v>
      </c>
      <c r="AB2" s="2">
        <v>0.00151735</v>
      </c>
      <c r="AC2" s="2">
        <v>426160000000000</v>
      </c>
      <c r="AD2" s="2">
        <v>121656000000</v>
      </c>
      <c r="AE2" s="2">
        <v>0</v>
      </c>
      <c r="AF2" s="2">
        <v>0</v>
      </c>
      <c r="AG2" s="2">
        <v>2</v>
      </c>
      <c r="AH2" s="2">
        <v>102358000000000</v>
      </c>
      <c r="AI2" s="2">
        <v>102693000000000</v>
      </c>
      <c r="AJ2" s="2">
        <v>102554000000000</v>
      </c>
      <c r="AK2" s="2">
        <v>102581000000000</v>
      </c>
      <c r="AL2" s="2">
        <v>15973500000000</v>
      </c>
      <c r="AN2" s="2">
        <f>A2</f>
        <v>0.00092756</v>
      </c>
      <c r="AO2" s="2">
        <f>(C2+P2+AC2)/3</f>
        <v>426328000000000</v>
      </c>
      <c r="AP2" s="2">
        <f>MIN(C2,P2,AC2)</f>
        <v>426026000000000</v>
      </c>
      <c r="AQ2" s="2">
        <f>MAX(C2,P2,AC2)</f>
        <v>426798000000000</v>
      </c>
      <c r="AR2" s="2">
        <f>(L2+Y2+AL2)/3</f>
        <v>20513266666666.7</v>
      </c>
      <c r="AS2" s="2">
        <f>MIN(L2,Y2,AL2)</f>
        <v>15973500000000</v>
      </c>
      <c r="AT2" s="2">
        <f>MAX(L2,Y2,AL2)</f>
        <v>23543800000000</v>
      </c>
    </row>
    <row r="3" customHeight="1" spans="1:46">
      <c r="A3" s="2">
        <v>0.00207021</v>
      </c>
      <c r="B3" s="2">
        <v>0.00289902</v>
      </c>
      <c r="C3" s="2">
        <v>426831000000000</v>
      </c>
      <c r="D3" s="2">
        <v>30039400000</v>
      </c>
      <c r="E3" s="2">
        <v>0</v>
      </c>
      <c r="F3" s="2">
        <v>0</v>
      </c>
      <c r="G3" s="2">
        <v>2</v>
      </c>
      <c r="H3" s="2">
        <v>94889400000000</v>
      </c>
      <c r="I3" s="2">
        <v>96215600000000</v>
      </c>
      <c r="J3" s="2">
        <v>94588200000000</v>
      </c>
      <c r="K3" s="2">
        <v>95483600000000</v>
      </c>
      <c r="L3" s="2">
        <v>45653700000000</v>
      </c>
      <c r="N3" s="2">
        <v>0.00200804</v>
      </c>
      <c r="O3" s="2">
        <v>0.00264248</v>
      </c>
      <c r="P3" s="2">
        <v>427597000000000</v>
      </c>
      <c r="Q3" s="2">
        <v>83562700000</v>
      </c>
      <c r="R3" s="2">
        <v>0</v>
      </c>
      <c r="S3" s="2">
        <v>0</v>
      </c>
      <c r="T3" s="2">
        <v>2</v>
      </c>
      <c r="U3" s="2">
        <v>100179000000000</v>
      </c>
      <c r="V3" s="2">
        <v>100055000000000</v>
      </c>
      <c r="W3" s="2">
        <v>98136000000000</v>
      </c>
      <c r="X3" s="2">
        <v>99920900000000</v>
      </c>
      <c r="Y3" s="2">
        <v>29306600000000</v>
      </c>
      <c r="AA3" s="2">
        <v>0.0019911</v>
      </c>
      <c r="AB3" s="2">
        <v>0.00254648</v>
      </c>
      <c r="AC3" s="2">
        <v>427028000000000</v>
      </c>
      <c r="AD3" s="2">
        <v>123708000000</v>
      </c>
      <c r="AE3" s="2">
        <v>0</v>
      </c>
      <c r="AF3" s="2">
        <v>0</v>
      </c>
      <c r="AG3" s="2">
        <v>2</v>
      </c>
      <c r="AH3" s="2">
        <v>101020000000000</v>
      </c>
      <c r="AI3" s="2">
        <v>102761000000000</v>
      </c>
      <c r="AJ3" s="2">
        <v>101580000000000</v>
      </c>
      <c r="AK3" s="2">
        <v>100279000000000</v>
      </c>
      <c r="AL3" s="2">
        <v>21387600000000</v>
      </c>
      <c r="AN3" s="2">
        <f>A3</f>
        <v>0.00207021</v>
      </c>
      <c r="AO3" s="2">
        <f>(C3+P3+AC3)/3</f>
        <v>427152000000000</v>
      </c>
      <c r="AP3" s="2">
        <f>MIN(C3,P3,AC3)</f>
        <v>426831000000000</v>
      </c>
      <c r="AQ3" s="2">
        <f>MAX(C3,P3,AC3)</f>
        <v>427597000000000</v>
      </c>
      <c r="AR3" s="2">
        <f>(L3+Y3+AL3)/3</f>
        <v>32115966666666.7</v>
      </c>
      <c r="AS3" s="2">
        <f>MIN(L3,Y3,AL3)</f>
        <v>21387600000000</v>
      </c>
      <c r="AT3" s="2">
        <f>MAX(L3,Y3,AL3)</f>
        <v>45653700000000</v>
      </c>
    </row>
    <row r="4" customHeight="1" spans="1:46">
      <c r="A4" s="2">
        <v>0.00294065</v>
      </c>
      <c r="B4" s="2">
        <v>0.00380009</v>
      </c>
      <c r="C4" s="2">
        <v>426001000000000</v>
      </c>
      <c r="D4" s="2">
        <v>140076000000</v>
      </c>
      <c r="E4" s="2">
        <v>0</v>
      </c>
      <c r="F4" s="2">
        <v>0</v>
      </c>
      <c r="G4" s="2">
        <v>2</v>
      </c>
      <c r="H4" s="2">
        <v>93912100000000</v>
      </c>
      <c r="I4" s="2">
        <v>93889200000000</v>
      </c>
      <c r="J4" s="2">
        <v>91761800000000</v>
      </c>
      <c r="K4" s="2">
        <v>94234600000000</v>
      </c>
      <c r="L4" s="2">
        <v>52203700000000</v>
      </c>
      <c r="N4" s="2">
        <v>0.00305486</v>
      </c>
      <c r="O4" s="2">
        <v>0.00375572</v>
      </c>
      <c r="P4" s="2">
        <v>429517000000000</v>
      </c>
      <c r="Q4" s="2">
        <v>24601400000</v>
      </c>
      <c r="R4" s="2">
        <v>0</v>
      </c>
      <c r="S4" s="2">
        <v>0</v>
      </c>
      <c r="T4" s="2">
        <v>2</v>
      </c>
      <c r="U4" s="2">
        <v>99012300000000</v>
      </c>
      <c r="V4" s="2">
        <v>99022600000000</v>
      </c>
      <c r="W4" s="2">
        <v>97028800000000</v>
      </c>
      <c r="X4" s="2">
        <v>98229700000000</v>
      </c>
      <c r="Y4" s="2">
        <v>36223300000000</v>
      </c>
      <c r="AA4" s="2">
        <v>0.00296189</v>
      </c>
      <c r="AB4" s="2">
        <v>0.00363299</v>
      </c>
      <c r="AC4" s="2">
        <v>428277000000000</v>
      </c>
      <c r="AD4" s="2">
        <v>72849900000</v>
      </c>
      <c r="AE4" s="2">
        <v>0</v>
      </c>
      <c r="AF4" s="2">
        <v>0</v>
      </c>
      <c r="AG4" s="2">
        <v>2</v>
      </c>
      <c r="AH4" s="2">
        <v>99034600000000</v>
      </c>
      <c r="AI4" s="2">
        <v>100426000000000</v>
      </c>
      <c r="AJ4" s="2">
        <v>98719700000000</v>
      </c>
      <c r="AK4" s="2">
        <v>96996800000000</v>
      </c>
      <c r="AL4" s="2">
        <v>33098500000000</v>
      </c>
      <c r="AN4" s="2">
        <f>A4</f>
        <v>0.00294065</v>
      </c>
      <c r="AO4" s="2">
        <f>(C4+P4+AC4)/3</f>
        <v>427931666666667</v>
      </c>
      <c r="AP4" s="2">
        <f>MIN(C4,P4,AC4)</f>
        <v>426001000000000</v>
      </c>
      <c r="AQ4" s="2">
        <f>MAX(C4,P4,AC4)</f>
        <v>429517000000000</v>
      </c>
      <c r="AR4" s="2">
        <f>(L4+Y4+AL4)/3</f>
        <v>40508500000000</v>
      </c>
      <c r="AS4" s="2">
        <f>MIN(L4,Y4,AL4)</f>
        <v>33098500000000</v>
      </c>
      <c r="AT4" s="2">
        <f>MAX(L4,Y4,AL4)</f>
        <v>52203700000000</v>
      </c>
    </row>
    <row r="5" customHeight="1" spans="1:46">
      <c r="A5" s="2">
        <v>0.00401055</v>
      </c>
      <c r="B5" s="2">
        <v>0.00484524</v>
      </c>
      <c r="C5" s="2">
        <v>426355000000000</v>
      </c>
      <c r="D5" s="2">
        <v>55627700000</v>
      </c>
      <c r="E5" s="2">
        <v>0</v>
      </c>
      <c r="F5" s="2">
        <v>0</v>
      </c>
      <c r="G5" s="2">
        <v>2</v>
      </c>
      <c r="H5" s="2">
        <v>92962800000000</v>
      </c>
      <c r="I5" s="2">
        <v>93047100000000</v>
      </c>
      <c r="J5" s="2">
        <v>91651700000000</v>
      </c>
      <c r="K5" s="2">
        <v>94209400000000</v>
      </c>
      <c r="L5" s="2">
        <v>54483800000000</v>
      </c>
      <c r="N5" s="2">
        <v>0.00403945</v>
      </c>
      <c r="O5" s="2">
        <v>0.00476058</v>
      </c>
      <c r="P5" s="2">
        <v>428513000000000</v>
      </c>
      <c r="Q5" s="2">
        <v>53663900000</v>
      </c>
      <c r="R5" s="2">
        <v>0</v>
      </c>
      <c r="S5" s="2">
        <v>0</v>
      </c>
      <c r="T5" s="2">
        <v>2</v>
      </c>
      <c r="U5" s="2">
        <v>97118400000000</v>
      </c>
      <c r="V5" s="2">
        <v>97896200000000</v>
      </c>
      <c r="W5" s="2">
        <v>94869100000000</v>
      </c>
      <c r="X5" s="2">
        <v>95304800000000</v>
      </c>
      <c r="Y5" s="2">
        <v>43324000000000</v>
      </c>
      <c r="AA5" s="2">
        <v>0.00400461</v>
      </c>
      <c r="AB5" s="2">
        <v>0.00465129</v>
      </c>
      <c r="AC5" s="2">
        <v>426357000000000</v>
      </c>
      <c r="AD5" s="2">
        <v>52615300000</v>
      </c>
      <c r="AE5" s="2">
        <v>0</v>
      </c>
      <c r="AF5" s="2">
        <v>0</v>
      </c>
      <c r="AG5" s="2">
        <v>2</v>
      </c>
      <c r="AH5" s="2">
        <v>96481000000000</v>
      </c>
      <c r="AI5" s="2">
        <v>97599600000000</v>
      </c>
      <c r="AJ5" s="2">
        <v>96109600000000</v>
      </c>
      <c r="AK5" s="2">
        <v>94279500000000</v>
      </c>
      <c r="AL5" s="2">
        <v>41887300000000</v>
      </c>
      <c r="AN5" s="2">
        <f>A5</f>
        <v>0.00401055</v>
      </c>
      <c r="AO5" s="2">
        <f>(C5+P5+AC5)/3</f>
        <v>427075000000000</v>
      </c>
      <c r="AP5" s="2">
        <f>MIN(C5,P5,AC5)</f>
        <v>426355000000000</v>
      </c>
      <c r="AQ5" s="2">
        <f>MAX(C5,P5,AC5)</f>
        <v>428513000000000</v>
      </c>
      <c r="AR5" s="2">
        <f>(L5+Y5+AL5)/3</f>
        <v>46565033333333.3</v>
      </c>
      <c r="AS5" s="2">
        <f>MIN(L5,Y5,AL5)</f>
        <v>41887300000000</v>
      </c>
      <c r="AT5" s="2">
        <f>MAX(L5,Y5,AL5)</f>
        <v>54483800000000</v>
      </c>
    </row>
    <row r="6" customHeight="1" spans="1:46">
      <c r="A6" s="2">
        <v>0.00498831</v>
      </c>
      <c r="B6" s="2">
        <v>0.00585458</v>
      </c>
      <c r="C6" s="2">
        <v>426586000000000</v>
      </c>
      <c r="D6" s="2">
        <v>61887700000</v>
      </c>
      <c r="E6" s="2">
        <v>0</v>
      </c>
      <c r="F6" s="2">
        <v>0</v>
      </c>
      <c r="G6" s="2">
        <v>2</v>
      </c>
      <c r="H6" s="2">
        <v>91619500000000</v>
      </c>
      <c r="I6" s="2">
        <v>92488000000000</v>
      </c>
      <c r="J6" s="2">
        <v>91200700000000</v>
      </c>
      <c r="K6" s="2">
        <v>93985400000000</v>
      </c>
      <c r="L6" s="2">
        <v>57291800000000</v>
      </c>
      <c r="N6" s="2">
        <v>0.00497604</v>
      </c>
      <c r="O6" s="2">
        <v>0.0057015</v>
      </c>
      <c r="P6" s="2">
        <v>429006000000000</v>
      </c>
      <c r="Q6" s="2">
        <v>18092400000</v>
      </c>
      <c r="R6" s="2">
        <v>0</v>
      </c>
      <c r="S6" s="2">
        <v>0</v>
      </c>
      <c r="T6" s="2">
        <v>2</v>
      </c>
      <c r="U6" s="2">
        <v>95566600000000</v>
      </c>
      <c r="V6" s="2">
        <v>97740600000000</v>
      </c>
      <c r="W6" s="2">
        <v>95787600000000</v>
      </c>
      <c r="X6" s="2">
        <v>95839400000000</v>
      </c>
      <c r="Y6" s="2">
        <v>44071500000000</v>
      </c>
      <c r="AA6" s="2">
        <v>0.00495574</v>
      </c>
      <c r="AB6" s="2">
        <v>0.00560869</v>
      </c>
      <c r="AC6" s="2">
        <v>426759000000000</v>
      </c>
      <c r="AD6" s="2">
        <v>117305000000</v>
      </c>
      <c r="AE6" s="2">
        <v>0</v>
      </c>
      <c r="AF6" s="2">
        <v>0</v>
      </c>
      <c r="AG6" s="2">
        <v>2</v>
      </c>
      <c r="AH6" s="2">
        <v>95478000000000</v>
      </c>
      <c r="AI6" s="2">
        <v>96463800000000</v>
      </c>
      <c r="AJ6" s="2">
        <v>94872000000000</v>
      </c>
      <c r="AK6" s="2">
        <v>93820500000000</v>
      </c>
      <c r="AL6" s="2">
        <v>46124500000000</v>
      </c>
      <c r="AN6" s="2">
        <f>A6</f>
        <v>0.00498831</v>
      </c>
      <c r="AO6" s="2">
        <f>(C6+P6+AC6)/3</f>
        <v>427450333333333</v>
      </c>
      <c r="AP6" s="2">
        <f>MIN(C6,P6,AC6)</f>
        <v>426586000000000</v>
      </c>
      <c r="AQ6" s="2">
        <f>MAX(C6,P6,AC6)</f>
        <v>429006000000000</v>
      </c>
      <c r="AR6" s="2">
        <f>(L6+Y6+AL6)/3</f>
        <v>49162600000000</v>
      </c>
      <c r="AS6" s="2">
        <f>MIN(L6,Y6,AL6)</f>
        <v>44071500000000</v>
      </c>
      <c r="AT6" s="2">
        <f>MAX(L6,Y6,AL6)</f>
        <v>57291800000000</v>
      </c>
    </row>
    <row r="7" customHeight="1" spans="1:46">
      <c r="A7" s="2">
        <v>0.00597565</v>
      </c>
      <c r="B7" s="2">
        <v>0.00683091</v>
      </c>
      <c r="C7" s="2">
        <v>427087000000000</v>
      </c>
      <c r="D7" s="2">
        <v>37621800000</v>
      </c>
      <c r="E7" s="2">
        <v>0</v>
      </c>
      <c r="F7" s="2">
        <v>0</v>
      </c>
      <c r="G7" s="2">
        <v>2</v>
      </c>
      <c r="H7" s="2">
        <v>90970300000000</v>
      </c>
      <c r="I7" s="2">
        <v>93348200000000</v>
      </c>
      <c r="J7" s="2">
        <v>91497000000000</v>
      </c>
      <c r="K7" s="2">
        <v>93046800000000</v>
      </c>
      <c r="L7" s="2">
        <v>58225000000000</v>
      </c>
      <c r="N7" s="2">
        <v>0.00601587</v>
      </c>
      <c r="O7" s="2">
        <v>0.00670384</v>
      </c>
      <c r="P7" s="2">
        <v>427680000000000</v>
      </c>
      <c r="Q7" s="2">
        <v>75848300000</v>
      </c>
      <c r="R7" s="2">
        <v>0</v>
      </c>
      <c r="S7" s="2">
        <v>0</v>
      </c>
      <c r="T7" s="2">
        <v>2</v>
      </c>
      <c r="U7" s="2">
        <v>94933100000000</v>
      </c>
      <c r="V7" s="2">
        <v>97067300000000</v>
      </c>
      <c r="W7" s="2">
        <v>93800700000000</v>
      </c>
      <c r="X7" s="2">
        <v>93655700000000</v>
      </c>
      <c r="Y7" s="2">
        <v>48223200000000</v>
      </c>
      <c r="AA7" s="2">
        <v>0.00603446</v>
      </c>
      <c r="AB7" s="2">
        <v>0.0066778</v>
      </c>
      <c r="AC7" s="2">
        <v>425971000000000</v>
      </c>
      <c r="AD7" s="2">
        <v>79127400000</v>
      </c>
      <c r="AE7" s="2">
        <v>0</v>
      </c>
      <c r="AF7" s="2">
        <v>0</v>
      </c>
      <c r="AG7" s="2">
        <v>2</v>
      </c>
      <c r="AH7" s="2">
        <v>94193500000000</v>
      </c>
      <c r="AI7" s="2">
        <v>96145500000000</v>
      </c>
      <c r="AJ7" s="2">
        <v>93100400000000</v>
      </c>
      <c r="AK7" s="2">
        <v>92193100000000</v>
      </c>
      <c r="AL7" s="2">
        <v>50334400000000</v>
      </c>
      <c r="AN7" s="2">
        <f>A7</f>
        <v>0.00597565</v>
      </c>
      <c r="AO7" s="2">
        <f>(C7+P7+AC7)/3</f>
        <v>426912666666667</v>
      </c>
      <c r="AP7" s="2">
        <f>MIN(C7,P7,AC7)</f>
        <v>425971000000000</v>
      </c>
      <c r="AQ7" s="2">
        <f>MAX(C7,P7,AC7)</f>
        <v>427680000000000</v>
      </c>
      <c r="AR7" s="2">
        <f>(L7+Y7+AL7)/3</f>
        <v>52260866666666.7</v>
      </c>
      <c r="AS7" s="2">
        <f>MIN(L7,Y7,AL7)</f>
        <v>48223200000000</v>
      </c>
      <c r="AT7" s="2">
        <f>MAX(L7,Y7,AL7)</f>
        <v>58225000000000</v>
      </c>
    </row>
    <row r="8" customHeight="1" spans="1:46">
      <c r="A8" s="2">
        <v>0.00709854</v>
      </c>
      <c r="B8" s="2">
        <v>0.00796757</v>
      </c>
      <c r="C8" s="2">
        <v>426872000000000</v>
      </c>
      <c r="D8" s="2">
        <v>40821900000</v>
      </c>
      <c r="E8" s="2">
        <v>0</v>
      </c>
      <c r="F8" s="2">
        <v>0</v>
      </c>
      <c r="G8" s="2">
        <v>2</v>
      </c>
      <c r="H8" s="2">
        <v>91191100000000</v>
      </c>
      <c r="I8" s="2">
        <v>91690300000000</v>
      </c>
      <c r="J8" s="2">
        <v>90807500000000</v>
      </c>
      <c r="K8" s="2">
        <v>92378500000000</v>
      </c>
      <c r="L8" s="2">
        <v>60804600000000</v>
      </c>
      <c r="N8" s="2">
        <v>0.00699331</v>
      </c>
      <c r="O8" s="2">
        <v>0.00771232</v>
      </c>
      <c r="P8" s="2">
        <v>427251000000000</v>
      </c>
      <c r="Q8" s="2">
        <v>72436200000</v>
      </c>
      <c r="R8" s="2">
        <v>0</v>
      </c>
      <c r="S8" s="2">
        <v>0</v>
      </c>
      <c r="T8" s="2">
        <v>2</v>
      </c>
      <c r="U8" s="2">
        <v>93130100000000</v>
      </c>
      <c r="V8" s="2">
        <v>95514300000000</v>
      </c>
      <c r="W8" s="2">
        <v>92190700000000</v>
      </c>
      <c r="X8" s="2">
        <v>92985700000000</v>
      </c>
      <c r="Y8" s="2">
        <v>53426800000000</v>
      </c>
      <c r="AA8" s="2">
        <v>0.00695306</v>
      </c>
      <c r="AB8" s="2">
        <v>0.00759704</v>
      </c>
      <c r="AC8" s="2">
        <v>425625000000000</v>
      </c>
      <c r="AD8" s="2">
        <v>134973000000</v>
      </c>
      <c r="AE8" s="2">
        <v>0</v>
      </c>
      <c r="AF8" s="2">
        <v>0</v>
      </c>
      <c r="AG8" s="2">
        <v>2</v>
      </c>
      <c r="AH8" s="2">
        <v>94199300000000</v>
      </c>
      <c r="AI8" s="2">
        <v>95708600000000</v>
      </c>
      <c r="AJ8" s="2">
        <v>91863300000000</v>
      </c>
      <c r="AK8" s="2">
        <v>91208200000000</v>
      </c>
      <c r="AL8" s="2">
        <v>52645600000000</v>
      </c>
      <c r="AN8" s="2">
        <f>A8</f>
        <v>0.00709854</v>
      </c>
      <c r="AO8" s="2">
        <f>(C8+P8+AC8)/3</f>
        <v>426582666666667</v>
      </c>
      <c r="AP8" s="2">
        <f>MIN(C8,P8,AC8)</f>
        <v>425625000000000</v>
      </c>
      <c r="AQ8" s="2">
        <f>MAX(C8,P8,AC8)</f>
        <v>427251000000000</v>
      </c>
      <c r="AR8" s="2">
        <f>(L8+Y8+AL8)/3</f>
        <v>55625666666666.7</v>
      </c>
      <c r="AS8" s="2">
        <f>MIN(L8,Y8,AL8)</f>
        <v>52645600000000</v>
      </c>
      <c r="AT8" s="2">
        <f>MAX(L8,Y8,AL8)</f>
        <v>60804600000000</v>
      </c>
    </row>
    <row r="9" customHeight="1" spans="1:46">
      <c r="A9" s="2">
        <v>0.00793644</v>
      </c>
      <c r="B9" s="2">
        <v>0.00881452</v>
      </c>
      <c r="C9" s="2">
        <v>427156000000000</v>
      </c>
      <c r="D9" s="2">
        <v>46980400000</v>
      </c>
      <c r="E9" s="2">
        <v>0</v>
      </c>
      <c r="F9" s="2">
        <v>0</v>
      </c>
      <c r="G9" s="2">
        <v>2</v>
      </c>
      <c r="H9" s="2">
        <v>91336700000000</v>
      </c>
      <c r="I9" s="2">
        <v>93902300000000</v>
      </c>
      <c r="J9" s="2">
        <v>90876500000000</v>
      </c>
      <c r="K9" s="2">
        <v>90173700000000</v>
      </c>
      <c r="L9" s="2">
        <v>60865100000000</v>
      </c>
      <c r="N9" s="2">
        <v>0.00792334</v>
      </c>
      <c r="O9" s="2">
        <v>0.0086905</v>
      </c>
      <c r="P9" s="2">
        <v>427637000000000</v>
      </c>
      <c r="Q9" s="2">
        <v>12962600000</v>
      </c>
      <c r="R9" s="2">
        <v>0</v>
      </c>
      <c r="S9" s="2">
        <v>0</v>
      </c>
      <c r="T9" s="2">
        <v>2</v>
      </c>
      <c r="U9" s="2">
        <v>91827900000000</v>
      </c>
      <c r="V9" s="2">
        <v>95326500000000</v>
      </c>
      <c r="W9" s="2">
        <v>92216800000000</v>
      </c>
      <c r="X9" s="2">
        <v>93851100000000</v>
      </c>
      <c r="Y9" s="2">
        <v>54414800000000</v>
      </c>
      <c r="AA9" s="2">
        <v>0.00806867</v>
      </c>
      <c r="AB9" s="2">
        <v>0.00865025</v>
      </c>
      <c r="AC9" s="2">
        <v>424781000000000</v>
      </c>
      <c r="AD9" s="2">
        <v>86132900000</v>
      </c>
      <c r="AE9" s="2">
        <v>0</v>
      </c>
      <c r="AF9" s="2">
        <v>0</v>
      </c>
      <c r="AG9" s="2">
        <v>2</v>
      </c>
      <c r="AH9" s="2">
        <v>93505700000000</v>
      </c>
      <c r="AI9" s="2">
        <v>95341400000000</v>
      </c>
      <c r="AJ9" s="2">
        <v>90613800000000</v>
      </c>
      <c r="AK9" s="2">
        <v>90906900000000</v>
      </c>
      <c r="AL9" s="2">
        <v>54412800000000</v>
      </c>
      <c r="AN9" s="2">
        <f>A9</f>
        <v>0.00793644</v>
      </c>
      <c r="AO9" s="2">
        <f>(C9+P9+AC9)/3</f>
        <v>426524666666667</v>
      </c>
      <c r="AP9" s="2">
        <f>MIN(C9,P9,AC9)</f>
        <v>424781000000000</v>
      </c>
      <c r="AQ9" s="2">
        <f>MAX(C9,P9,AC9)</f>
        <v>427637000000000</v>
      </c>
      <c r="AR9" s="2">
        <f>(L9+Y9+AL9)/3</f>
        <v>56564233333333.3</v>
      </c>
      <c r="AS9" s="2">
        <f>MIN(L9,Y9,AL9)</f>
        <v>54412800000000</v>
      </c>
      <c r="AT9" s="2">
        <f>MAX(L9,Y9,AL9)</f>
        <v>60865100000000</v>
      </c>
    </row>
    <row r="10" customHeight="1" spans="1:46">
      <c r="A10" s="2">
        <v>0.00903514</v>
      </c>
      <c r="B10" s="2">
        <v>0.0099377</v>
      </c>
      <c r="C10" s="2">
        <v>426093000000000</v>
      </c>
      <c r="D10" s="2">
        <v>45858100000</v>
      </c>
      <c r="E10" s="2">
        <v>0</v>
      </c>
      <c r="F10" s="2">
        <v>0</v>
      </c>
      <c r="G10" s="2">
        <v>2</v>
      </c>
      <c r="H10" s="2">
        <v>88392900000000</v>
      </c>
      <c r="I10" s="2">
        <v>90359800000000</v>
      </c>
      <c r="J10" s="2">
        <v>88978900000000</v>
      </c>
      <c r="K10" s="2">
        <v>89309100000000</v>
      </c>
      <c r="L10" s="2">
        <v>69051700000000</v>
      </c>
      <c r="N10" s="2">
        <v>0.00881076</v>
      </c>
      <c r="O10" s="2">
        <v>0.00953985</v>
      </c>
      <c r="P10" s="2">
        <v>426658000000000</v>
      </c>
      <c r="Q10" s="2">
        <v>37273800000</v>
      </c>
      <c r="R10" s="2">
        <v>0</v>
      </c>
      <c r="S10" s="2">
        <v>0</v>
      </c>
      <c r="T10" s="2">
        <v>2</v>
      </c>
      <c r="U10" s="2">
        <v>90765700000000</v>
      </c>
      <c r="V10" s="2">
        <v>96456200000000</v>
      </c>
      <c r="W10" s="2">
        <v>91880800000000</v>
      </c>
      <c r="X10" s="2">
        <v>94416400000000</v>
      </c>
      <c r="Y10" s="2">
        <v>53137700000000</v>
      </c>
      <c r="AA10" s="2">
        <v>0.00896638</v>
      </c>
      <c r="AB10" s="2">
        <v>0.00955562</v>
      </c>
      <c r="AC10" s="2">
        <v>425653000000000</v>
      </c>
      <c r="AD10" s="2">
        <v>65120500000</v>
      </c>
      <c r="AE10" s="2">
        <v>0</v>
      </c>
      <c r="AF10" s="2">
        <v>0</v>
      </c>
      <c r="AG10" s="2">
        <v>2</v>
      </c>
      <c r="AH10" s="2">
        <v>94338100000000</v>
      </c>
      <c r="AI10" s="2">
        <v>96431400000000</v>
      </c>
      <c r="AJ10" s="2">
        <v>92563200000000</v>
      </c>
      <c r="AK10" s="2">
        <v>91787200000000</v>
      </c>
      <c r="AL10" s="2">
        <v>50532900000000</v>
      </c>
      <c r="AN10" s="2">
        <f>A10</f>
        <v>0.00903514</v>
      </c>
      <c r="AO10" s="2">
        <f>(C10+P10+AC10)/3</f>
        <v>426134666666667</v>
      </c>
      <c r="AP10" s="2">
        <f>MIN(C10,P10,AC10)</f>
        <v>425653000000000</v>
      </c>
      <c r="AQ10" s="2">
        <f>MAX(C10,P10,AC10)</f>
        <v>426658000000000</v>
      </c>
      <c r="AR10" s="2">
        <f>(L10+Y10+AL10)/3</f>
        <v>57574100000000</v>
      </c>
      <c r="AS10" s="2">
        <f>MIN(L10,Y10,AL10)</f>
        <v>50532900000000</v>
      </c>
      <c r="AT10" s="2">
        <f>MAX(L10,Y10,AL10)</f>
        <v>69051700000000</v>
      </c>
    </row>
    <row r="11" customHeight="1" spans="1:46">
      <c r="A11" s="2">
        <v>0.00989916</v>
      </c>
      <c r="B11" s="2">
        <v>0.0109142</v>
      </c>
      <c r="C11" s="2">
        <v>424868000000000</v>
      </c>
      <c r="D11" s="2">
        <v>31072400000</v>
      </c>
      <c r="E11" s="2">
        <v>0</v>
      </c>
      <c r="F11" s="2">
        <v>0</v>
      </c>
      <c r="G11" s="2">
        <v>2</v>
      </c>
      <c r="H11" s="2">
        <v>86836800000000</v>
      </c>
      <c r="I11" s="2">
        <v>88812400000000</v>
      </c>
      <c r="J11" s="2">
        <v>87059200000000</v>
      </c>
      <c r="K11" s="2">
        <v>86278000000000</v>
      </c>
      <c r="L11" s="2">
        <v>75878400000000</v>
      </c>
      <c r="N11" s="2">
        <v>0.00995094</v>
      </c>
      <c r="O11" s="2">
        <v>0.0106353</v>
      </c>
      <c r="P11" s="2">
        <v>425045000000000</v>
      </c>
      <c r="Q11" s="2">
        <v>41526700000</v>
      </c>
      <c r="R11" s="2">
        <v>0</v>
      </c>
      <c r="S11" s="2">
        <v>0</v>
      </c>
      <c r="T11" s="2">
        <v>2</v>
      </c>
      <c r="U11" s="2">
        <v>89044600000000</v>
      </c>
      <c r="V11" s="2">
        <v>96576500000000</v>
      </c>
      <c r="W11" s="2">
        <v>90869500000000</v>
      </c>
      <c r="X11" s="2">
        <v>93370600000000</v>
      </c>
      <c r="Y11" s="2">
        <v>55183500000000</v>
      </c>
      <c r="AA11" s="2">
        <v>0.00999492</v>
      </c>
      <c r="AB11" s="2">
        <v>0.0105861</v>
      </c>
      <c r="AC11" s="2">
        <v>425339000000000</v>
      </c>
      <c r="AD11" s="2">
        <v>78018700000</v>
      </c>
      <c r="AE11" s="2">
        <v>0</v>
      </c>
      <c r="AF11" s="2">
        <v>0</v>
      </c>
      <c r="AG11" s="2">
        <v>2</v>
      </c>
      <c r="AH11" s="2">
        <v>93197800000000</v>
      </c>
      <c r="AI11" s="2">
        <v>95035800000000</v>
      </c>
      <c r="AJ11" s="2">
        <v>93049800000000</v>
      </c>
      <c r="AK11" s="2">
        <v>93479400000000</v>
      </c>
      <c r="AL11" s="2">
        <v>50575400000000</v>
      </c>
      <c r="AN11" s="2">
        <f>A11</f>
        <v>0.00989916</v>
      </c>
      <c r="AO11" s="2">
        <f>(C11+P11+AC11)/3</f>
        <v>425084000000000</v>
      </c>
      <c r="AP11" s="2">
        <f>MIN(C11,P11,AC11)</f>
        <v>424868000000000</v>
      </c>
      <c r="AQ11" s="2">
        <f>MAX(C11,P11,AC11)</f>
        <v>425339000000000</v>
      </c>
      <c r="AR11" s="2">
        <f>(L11+Y11+AL11)/3</f>
        <v>60545766666666.7</v>
      </c>
      <c r="AS11" s="2">
        <f>MIN(L11,Y11,AL11)</f>
        <v>50575400000000</v>
      </c>
      <c r="AT11" s="2">
        <f>MAX(L11,Y11,AL11)</f>
        <v>75878400000000</v>
      </c>
    </row>
    <row r="12" customHeight="1" spans="1:46">
      <c r="A12" s="2">
        <v>0.011033</v>
      </c>
      <c r="B12" s="2">
        <v>0.0120921</v>
      </c>
      <c r="C12" s="2">
        <v>427678000000000</v>
      </c>
      <c r="D12" s="2">
        <v>50264200000</v>
      </c>
      <c r="E12" s="2">
        <v>0</v>
      </c>
      <c r="F12" s="2">
        <v>0</v>
      </c>
      <c r="G12" s="2">
        <v>2</v>
      </c>
      <c r="H12" s="2">
        <v>87958100000000</v>
      </c>
      <c r="I12" s="2">
        <v>90160400000000</v>
      </c>
      <c r="J12" s="2">
        <v>88656400000000</v>
      </c>
      <c r="K12" s="2">
        <v>86907400000000</v>
      </c>
      <c r="L12" s="2">
        <v>73995900000000</v>
      </c>
      <c r="N12" s="2">
        <v>0.0109953</v>
      </c>
      <c r="O12" s="2">
        <v>0.0117122</v>
      </c>
      <c r="P12" s="2">
        <v>425881000000000</v>
      </c>
      <c r="Q12" s="2">
        <v>65118700000</v>
      </c>
      <c r="R12" s="2">
        <v>0</v>
      </c>
      <c r="S12" s="2">
        <v>0</v>
      </c>
      <c r="T12" s="2">
        <v>2</v>
      </c>
      <c r="U12" s="2">
        <v>88347300000000</v>
      </c>
      <c r="V12" s="2">
        <v>95216200000000</v>
      </c>
      <c r="W12" s="2">
        <v>90102300000000</v>
      </c>
      <c r="X12" s="2">
        <v>92238400000000</v>
      </c>
      <c r="Y12" s="2">
        <v>59976100000000</v>
      </c>
      <c r="AA12" s="2">
        <v>0.0109973</v>
      </c>
      <c r="AB12" s="2">
        <v>0.0116045</v>
      </c>
      <c r="AC12" s="2">
        <v>427468000000000</v>
      </c>
      <c r="AD12" s="2">
        <v>22279200000</v>
      </c>
      <c r="AE12" s="2">
        <v>0</v>
      </c>
      <c r="AF12" s="2">
        <v>0</v>
      </c>
      <c r="AG12" s="2">
        <v>2</v>
      </c>
      <c r="AH12" s="2">
        <v>94836500000000</v>
      </c>
      <c r="AI12" s="2">
        <v>95127500000000</v>
      </c>
      <c r="AJ12" s="2">
        <v>93659300000000</v>
      </c>
      <c r="AK12" s="2">
        <v>95043700000000</v>
      </c>
      <c r="AL12" s="2">
        <v>48800600000000</v>
      </c>
      <c r="AN12" s="2">
        <f>A12</f>
        <v>0.011033</v>
      </c>
      <c r="AO12" s="2">
        <f>(C12+P12+AC12)/3</f>
        <v>427009000000000</v>
      </c>
      <c r="AP12" s="2">
        <f>MIN(C12,P12,AC12)</f>
        <v>425881000000000</v>
      </c>
      <c r="AQ12" s="2">
        <f>MAX(C12,P12,AC12)</f>
        <v>427678000000000</v>
      </c>
      <c r="AR12" s="2">
        <f>(L12+Y12+AL12)/3</f>
        <v>60924200000000</v>
      </c>
      <c r="AS12" s="2">
        <f>MIN(L12,Y12,AL12)</f>
        <v>48800600000000</v>
      </c>
      <c r="AT12" s="2">
        <f>MAX(L12,Y12,AL12)</f>
        <v>73995900000000</v>
      </c>
    </row>
    <row r="13" customHeight="1" spans="1:46">
      <c r="A13" s="2">
        <v>0.0120692</v>
      </c>
      <c r="B13" s="2">
        <v>0.0130836</v>
      </c>
      <c r="C13" s="2">
        <v>433527000000000</v>
      </c>
      <c r="D13" s="2">
        <v>29086300000</v>
      </c>
      <c r="E13" s="2">
        <v>0</v>
      </c>
      <c r="F13" s="2">
        <v>0</v>
      </c>
      <c r="G13" s="2">
        <v>2</v>
      </c>
      <c r="H13" s="2">
        <v>88424300000000</v>
      </c>
      <c r="I13" s="2">
        <v>91809500000000</v>
      </c>
      <c r="J13" s="2">
        <v>90442700000000</v>
      </c>
      <c r="K13" s="2">
        <v>87539400000000</v>
      </c>
      <c r="L13" s="2">
        <v>75311300000000</v>
      </c>
      <c r="N13" s="2">
        <v>0.0119229</v>
      </c>
      <c r="O13" s="2">
        <v>0.0126483</v>
      </c>
      <c r="P13" s="2">
        <v>426680000000000</v>
      </c>
      <c r="Q13" s="2">
        <v>156475000000</v>
      </c>
      <c r="R13" s="2">
        <v>0</v>
      </c>
      <c r="S13" s="2">
        <v>0</v>
      </c>
      <c r="T13" s="2">
        <v>2</v>
      </c>
      <c r="U13" s="2">
        <v>87887000000000</v>
      </c>
      <c r="V13" s="2">
        <v>93503200000000</v>
      </c>
      <c r="W13" s="2">
        <v>91092900000000</v>
      </c>
      <c r="X13" s="2">
        <v>92625400000000</v>
      </c>
      <c r="Y13" s="2">
        <v>61571500000000</v>
      </c>
      <c r="AA13" s="2">
        <v>0.0118829</v>
      </c>
      <c r="AB13" s="2">
        <v>0.0124741</v>
      </c>
      <c r="AC13" s="2">
        <v>428948000000000</v>
      </c>
      <c r="AD13" s="2">
        <v>75337300000</v>
      </c>
      <c r="AE13" s="2">
        <v>0</v>
      </c>
      <c r="AF13" s="2">
        <v>0</v>
      </c>
      <c r="AG13" s="2">
        <v>2</v>
      </c>
      <c r="AH13" s="2">
        <v>95388000000000</v>
      </c>
      <c r="AI13" s="2">
        <v>95090500000000</v>
      </c>
      <c r="AJ13" s="2">
        <v>95047700000000</v>
      </c>
      <c r="AK13" s="2">
        <v>96825900000000</v>
      </c>
      <c r="AL13" s="2">
        <v>46595900000000</v>
      </c>
      <c r="AN13" s="2">
        <f>A13</f>
        <v>0.0120692</v>
      </c>
      <c r="AO13" s="2">
        <f>(C13+P13+AC13)/3</f>
        <v>429718333333333</v>
      </c>
      <c r="AP13" s="2">
        <f>MIN(C13,P13,AC13)</f>
        <v>426680000000000</v>
      </c>
      <c r="AQ13" s="2">
        <f>MAX(C13,P13,AC13)</f>
        <v>433527000000000</v>
      </c>
      <c r="AR13" s="2">
        <f>(L13+Y13+AL13)/3</f>
        <v>61159566666666.7</v>
      </c>
      <c r="AS13" s="2">
        <f>MIN(L13,Y13,AL13)</f>
        <v>46595900000000</v>
      </c>
      <c r="AT13" s="2">
        <f>MAX(L13,Y13,AL13)</f>
        <v>75311300000000</v>
      </c>
    </row>
    <row r="14" customHeight="1" spans="1:46">
      <c r="A14" s="2">
        <v>0.0129993</v>
      </c>
      <c r="B14" s="2">
        <v>0.0139225</v>
      </c>
      <c r="C14" s="2">
        <v>433934000000000</v>
      </c>
      <c r="D14" s="2">
        <v>36217400000</v>
      </c>
      <c r="E14" s="2">
        <v>0</v>
      </c>
      <c r="F14" s="2">
        <v>0</v>
      </c>
      <c r="G14" s="2">
        <v>2</v>
      </c>
      <c r="H14" s="2">
        <v>89026100000000</v>
      </c>
      <c r="I14" s="2">
        <v>93444400000000</v>
      </c>
      <c r="J14" s="2">
        <v>89837200000000</v>
      </c>
      <c r="K14" s="2">
        <v>87928600000000</v>
      </c>
      <c r="L14" s="2">
        <v>73697100000000</v>
      </c>
      <c r="N14" s="2">
        <v>0.0130019</v>
      </c>
      <c r="O14" s="2">
        <v>0.0137577</v>
      </c>
      <c r="P14" s="2">
        <v>430886000000000</v>
      </c>
      <c r="Q14" s="2">
        <v>36814800000</v>
      </c>
      <c r="R14" s="2">
        <v>0</v>
      </c>
      <c r="S14" s="2">
        <v>0</v>
      </c>
      <c r="T14" s="2">
        <v>2</v>
      </c>
      <c r="U14" s="2">
        <v>92247200000000</v>
      </c>
      <c r="V14" s="2">
        <v>95813900000000</v>
      </c>
      <c r="W14" s="2">
        <v>93682400000000</v>
      </c>
      <c r="X14" s="2">
        <v>96886800000000</v>
      </c>
      <c r="Y14" s="2">
        <v>52226900000000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N14" s="2"/>
      <c r="AO14" s="2"/>
      <c r="AP14" s="2"/>
      <c r="AQ14" s="2"/>
      <c r="AR14" s="2"/>
      <c r="AS14" s="2"/>
      <c r="AT14" s="2"/>
    </row>
    <row r="15" customHeight="1" spans="1:46">
      <c r="A15" s="2">
        <v>0.0139792</v>
      </c>
      <c r="B15" s="2">
        <v>0.0149485</v>
      </c>
      <c r="C15" s="2">
        <v>437935000000000</v>
      </c>
      <c r="D15" s="2">
        <v>245402000000</v>
      </c>
      <c r="E15" s="2">
        <v>0</v>
      </c>
      <c r="F15" s="2">
        <v>0</v>
      </c>
      <c r="G15" s="2">
        <v>2</v>
      </c>
      <c r="H15" s="2">
        <v>89858100000000</v>
      </c>
      <c r="I15" s="2">
        <v>93447800000000</v>
      </c>
      <c r="J15" s="2">
        <v>89342000000000</v>
      </c>
      <c r="K15" s="2">
        <v>89989300000000</v>
      </c>
      <c r="L15" s="2">
        <v>75290500000000</v>
      </c>
      <c r="N15" s="2">
        <v>0.0139389</v>
      </c>
      <c r="O15" s="2">
        <v>0.0146734</v>
      </c>
      <c r="P15" s="2">
        <v>433970000000000</v>
      </c>
      <c r="Q15" s="2">
        <v>42872200000</v>
      </c>
      <c r="R15" s="2">
        <v>0</v>
      </c>
      <c r="S15" s="2">
        <v>0</v>
      </c>
      <c r="T15" s="2">
        <v>2</v>
      </c>
      <c r="U15" s="2">
        <v>93550000000000</v>
      </c>
      <c r="V15" s="2">
        <v>95782000000000</v>
      </c>
      <c r="W15" s="2">
        <v>94483200000000</v>
      </c>
      <c r="X15" s="2">
        <v>98406200000000</v>
      </c>
      <c r="Y15" s="2">
        <v>51741000000000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N15" s="2"/>
      <c r="AO15" s="2"/>
      <c r="AP15" s="2"/>
      <c r="AQ15" s="2"/>
      <c r="AR15" s="2"/>
      <c r="AS15" s="2"/>
      <c r="AT15" s="2"/>
    </row>
    <row r="16" customHeight="1" spans="1:46">
      <c r="A16" s="2">
        <v>0.0149929</v>
      </c>
      <c r="B16" s="2">
        <v>0.0159238</v>
      </c>
      <c r="C16" s="2">
        <v>438146000000000</v>
      </c>
      <c r="D16" s="2">
        <v>98373300000</v>
      </c>
      <c r="E16" s="2">
        <v>0</v>
      </c>
      <c r="F16" s="2">
        <v>0</v>
      </c>
      <c r="G16" s="2">
        <v>2</v>
      </c>
      <c r="H16" s="2">
        <v>89877200000000</v>
      </c>
      <c r="I16" s="2">
        <v>93685600000000</v>
      </c>
      <c r="J16" s="2">
        <v>89656200000000</v>
      </c>
      <c r="K16" s="2">
        <v>88648900000000</v>
      </c>
      <c r="L16" s="2">
        <v>76230300000000</v>
      </c>
      <c r="N16" s="2">
        <v>0.0149368</v>
      </c>
      <c r="O16" s="2">
        <v>0.0155838</v>
      </c>
      <c r="P16" s="2">
        <v>430022000000000</v>
      </c>
      <c r="Q16" s="2">
        <v>38016700000</v>
      </c>
      <c r="R16" s="2">
        <v>0</v>
      </c>
      <c r="S16" s="2">
        <v>0</v>
      </c>
      <c r="T16" s="2">
        <v>2</v>
      </c>
      <c r="U16" s="2">
        <v>92280400000000</v>
      </c>
      <c r="V16" s="2">
        <v>95065800000000</v>
      </c>
      <c r="W16" s="2">
        <v>91801800000000</v>
      </c>
      <c r="X16" s="2">
        <v>99069500000000</v>
      </c>
      <c r="Y16" s="2">
        <v>51804000000000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N16" s="2"/>
      <c r="AO16" s="2"/>
      <c r="AP16" s="2"/>
      <c r="AQ16" s="2"/>
      <c r="AR16" s="2"/>
      <c r="AS16" s="2"/>
      <c r="AT16" s="2"/>
    </row>
    <row r="17" customHeight="1" spans="1:46">
      <c r="A17" s="2">
        <v>0.016016</v>
      </c>
      <c r="B17" s="2">
        <v>0.0169913</v>
      </c>
      <c r="C17" s="2">
        <v>438720000000000</v>
      </c>
      <c r="D17" s="2">
        <v>21216400000</v>
      </c>
      <c r="E17" s="2">
        <v>0</v>
      </c>
      <c r="F17" s="2">
        <v>0</v>
      </c>
      <c r="G17" s="2">
        <v>2</v>
      </c>
      <c r="H17" s="2">
        <v>91411400000000</v>
      </c>
      <c r="I17" s="2">
        <v>93361600000000</v>
      </c>
      <c r="J17" s="2">
        <v>88646200000000</v>
      </c>
      <c r="K17" s="2">
        <v>84640500000000</v>
      </c>
      <c r="L17" s="2">
        <v>80659200000000</v>
      </c>
      <c r="N17" s="2">
        <v>0.0159799</v>
      </c>
      <c r="O17" s="2">
        <v>0.0166055</v>
      </c>
      <c r="P17" s="2">
        <v>428223000000000</v>
      </c>
      <c r="Q17" s="2">
        <v>59568400000</v>
      </c>
      <c r="R17" s="2">
        <v>0</v>
      </c>
      <c r="S17" s="2">
        <v>0</v>
      </c>
      <c r="T17" s="2">
        <v>2</v>
      </c>
      <c r="U17" s="2">
        <v>92341000000000</v>
      </c>
      <c r="V17" s="2">
        <v>95749300000000</v>
      </c>
      <c r="W17" s="2">
        <v>92078700000000</v>
      </c>
      <c r="X17" s="2">
        <v>100293000000000</v>
      </c>
      <c r="Y17" s="2">
        <v>47759900000000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N17" s="2"/>
      <c r="AO17" s="2"/>
      <c r="AP17" s="2"/>
      <c r="AQ17" s="2"/>
      <c r="AR17" s="2"/>
      <c r="AS17" s="2"/>
      <c r="AT17" s="2"/>
    </row>
    <row r="18" customHeight="1" spans="1:46">
      <c r="A18" s="2">
        <v>0.0169786</v>
      </c>
      <c r="B18" s="2">
        <v>0.017931</v>
      </c>
      <c r="C18" s="2">
        <v>442566000000000</v>
      </c>
      <c r="D18" s="2">
        <v>21890200000</v>
      </c>
      <c r="E18" s="2">
        <v>0</v>
      </c>
      <c r="F18" s="2">
        <v>0</v>
      </c>
      <c r="G18" s="2">
        <v>2</v>
      </c>
      <c r="H18" s="2">
        <v>89228100000000</v>
      </c>
      <c r="I18" s="2">
        <v>94784700000000</v>
      </c>
      <c r="J18" s="2">
        <v>88200800000000</v>
      </c>
      <c r="K18" s="2">
        <v>82846100000000</v>
      </c>
      <c r="L18" s="2">
        <v>87504700000000</v>
      </c>
      <c r="N18" s="2">
        <v>0.0168151</v>
      </c>
      <c r="O18" s="2">
        <v>0.0174534</v>
      </c>
      <c r="P18" s="2">
        <v>426984000000000</v>
      </c>
      <c r="Q18" s="2">
        <v>27899900000</v>
      </c>
      <c r="R18" s="2">
        <v>0</v>
      </c>
      <c r="S18" s="2">
        <v>0</v>
      </c>
      <c r="T18" s="2">
        <v>2</v>
      </c>
      <c r="U18" s="2">
        <v>91930100000000</v>
      </c>
      <c r="V18" s="2">
        <v>95686500000000</v>
      </c>
      <c r="W18" s="2">
        <v>91560500000000</v>
      </c>
      <c r="X18" s="2">
        <v>99392900000000</v>
      </c>
      <c r="Y18" s="2">
        <v>48414200000000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N18" s="2"/>
      <c r="AO18" s="2"/>
      <c r="AP18" s="2"/>
      <c r="AQ18" s="2"/>
      <c r="AR18" s="2"/>
      <c r="AS18" s="2"/>
      <c r="AT18" s="2"/>
    </row>
    <row r="19" customHeight="1" spans="1:46">
      <c r="A19" s="2">
        <v>0.0179804</v>
      </c>
      <c r="B19" s="2">
        <v>0.0188459</v>
      </c>
      <c r="C19" s="2">
        <v>442975000000000</v>
      </c>
      <c r="D19" s="2">
        <v>104545000000</v>
      </c>
      <c r="E19" s="2">
        <v>0</v>
      </c>
      <c r="F19" s="2">
        <v>0</v>
      </c>
      <c r="G19" s="2">
        <v>2</v>
      </c>
      <c r="H19" s="2">
        <v>86272000000000</v>
      </c>
      <c r="I19" s="2">
        <v>94620500000000</v>
      </c>
      <c r="J19" s="2">
        <v>86475100000000</v>
      </c>
      <c r="K19" s="2">
        <v>81325900000000</v>
      </c>
      <c r="L19" s="2">
        <v>94280900000000</v>
      </c>
      <c r="N19" s="2">
        <v>0.0180751</v>
      </c>
      <c r="O19" s="2">
        <v>0.0186838</v>
      </c>
      <c r="P19" s="2">
        <v>426533000000000</v>
      </c>
      <c r="Q19" s="2">
        <v>28166200000</v>
      </c>
      <c r="R19" s="2">
        <v>0</v>
      </c>
      <c r="S19" s="2">
        <v>0</v>
      </c>
      <c r="T19" s="2">
        <v>2</v>
      </c>
      <c r="U19" s="2">
        <v>92185000000000</v>
      </c>
      <c r="V19" s="2">
        <v>96600800000000</v>
      </c>
      <c r="W19" s="2">
        <v>91485800000000</v>
      </c>
      <c r="X19" s="2">
        <v>99265300000000</v>
      </c>
      <c r="Y19" s="2">
        <v>46995700000000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N19" s="2"/>
      <c r="AO19" s="2"/>
      <c r="AP19" s="2"/>
      <c r="AQ19" s="2"/>
      <c r="AR19" s="2"/>
      <c r="AS19" s="2"/>
      <c r="AT19" s="2"/>
    </row>
    <row r="20" customHeight="1" spans="1:46">
      <c r="A20" s="2">
        <v>0.0189697</v>
      </c>
      <c r="B20" s="2">
        <v>0.0198232</v>
      </c>
      <c r="C20" s="2">
        <v>443934000000000</v>
      </c>
      <c r="D20" s="2">
        <v>195012000000</v>
      </c>
      <c r="E20" s="2">
        <v>0</v>
      </c>
      <c r="F20" s="2">
        <v>0</v>
      </c>
      <c r="G20" s="2">
        <v>2</v>
      </c>
      <c r="H20" s="2">
        <v>85765500000000</v>
      </c>
      <c r="I20" s="2">
        <v>91886900000000</v>
      </c>
      <c r="J20" s="2">
        <v>83678200000000</v>
      </c>
      <c r="K20" s="2">
        <v>76183200000000</v>
      </c>
      <c r="L20" s="2">
        <v>106419000000000</v>
      </c>
      <c r="N20" s="2">
        <v>0.0189972</v>
      </c>
      <c r="O20" s="2">
        <v>0.0195913</v>
      </c>
      <c r="P20" s="2">
        <v>426631000000000</v>
      </c>
      <c r="Q20" s="2">
        <v>59676400000</v>
      </c>
      <c r="R20" s="2">
        <v>0</v>
      </c>
      <c r="S20" s="2">
        <v>0</v>
      </c>
      <c r="T20" s="2">
        <v>2</v>
      </c>
      <c r="U20" s="2">
        <v>91134400000000</v>
      </c>
      <c r="V20" s="2">
        <v>97657500000000</v>
      </c>
      <c r="W20" s="2">
        <v>91501200000000</v>
      </c>
      <c r="X20" s="2">
        <v>99429800000000</v>
      </c>
      <c r="Y20" s="2">
        <v>46908000000000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N20" s="2"/>
      <c r="AO20" s="2"/>
      <c r="AP20" s="2"/>
      <c r="AQ20" s="2"/>
      <c r="AR20" s="2"/>
      <c r="AS20" s="2"/>
      <c r="AT20" s="2"/>
    </row>
    <row r="21" customHeight="1" spans="1:46">
      <c r="A21" s="2">
        <v>0.0199925</v>
      </c>
      <c r="B21" s="2">
        <v>0.0208121</v>
      </c>
      <c r="C21" s="2">
        <v>446450000000000</v>
      </c>
      <c r="D21" s="2">
        <v>18354900000</v>
      </c>
      <c r="E21" s="2">
        <v>0</v>
      </c>
      <c r="F21" s="2">
        <v>0</v>
      </c>
      <c r="G21" s="2">
        <v>2</v>
      </c>
      <c r="H21" s="2">
        <v>86340300000000</v>
      </c>
      <c r="I21" s="2">
        <v>89205800000000</v>
      </c>
      <c r="J21" s="2">
        <v>77236100000000</v>
      </c>
      <c r="K21" s="2">
        <v>70076000000000</v>
      </c>
      <c r="L21" s="2">
        <v>123591000000000</v>
      </c>
      <c r="N21" s="2">
        <v>0.0200119</v>
      </c>
      <c r="O21" s="2">
        <v>0.0206231</v>
      </c>
      <c r="P21" s="2">
        <v>426978000000000</v>
      </c>
      <c r="Q21" s="2">
        <v>43326700000</v>
      </c>
      <c r="R21" s="2">
        <v>0</v>
      </c>
      <c r="S21" s="2">
        <v>0</v>
      </c>
      <c r="T21" s="2">
        <v>2</v>
      </c>
      <c r="U21" s="2">
        <v>90872200000000</v>
      </c>
      <c r="V21" s="2">
        <v>98225900000000</v>
      </c>
      <c r="W21" s="2">
        <v>91372100000000</v>
      </c>
      <c r="X21" s="2">
        <v>100396000000000</v>
      </c>
      <c r="Y21" s="2">
        <v>46112700000000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N21" s="2"/>
      <c r="AO21" s="2"/>
      <c r="AP21" s="2"/>
      <c r="AQ21" s="2"/>
      <c r="AR21" s="2"/>
      <c r="AS21" s="2"/>
      <c r="AT21" s="2"/>
    </row>
    <row r="22" customHeight="1" spans="1:46">
      <c r="A22" s="2">
        <v>0.0210047</v>
      </c>
      <c r="B22" s="2">
        <v>0.0218439</v>
      </c>
      <c r="C22" s="2">
        <v>451170000000000</v>
      </c>
      <c r="D22" s="2">
        <v>21980600000</v>
      </c>
      <c r="E22" s="2">
        <v>0</v>
      </c>
      <c r="F22" s="2">
        <v>0</v>
      </c>
      <c r="G22" s="2">
        <v>2</v>
      </c>
      <c r="H22" s="2">
        <v>87844100000000</v>
      </c>
      <c r="I22" s="2">
        <v>89055900000000</v>
      </c>
      <c r="J22" s="2">
        <v>73307600000000</v>
      </c>
      <c r="K22" s="2">
        <v>64914900000000</v>
      </c>
      <c r="L22" s="2">
        <v>136047000000000</v>
      </c>
      <c r="N22" s="2">
        <v>0.0210762</v>
      </c>
      <c r="O22" s="2">
        <v>0.0216367</v>
      </c>
      <c r="P22" s="2">
        <v>426435000000000</v>
      </c>
      <c r="Q22" s="2">
        <v>63666200000</v>
      </c>
      <c r="R22" s="2">
        <v>0</v>
      </c>
      <c r="S22" s="2">
        <v>0</v>
      </c>
      <c r="T22" s="2">
        <v>2</v>
      </c>
      <c r="U22" s="2">
        <v>89991800000000</v>
      </c>
      <c r="V22" s="2">
        <v>98621900000000</v>
      </c>
      <c r="W22" s="2">
        <v>90651500000000</v>
      </c>
      <c r="X22" s="2">
        <v>100889000000000</v>
      </c>
      <c r="Y22" s="2">
        <v>46280700000000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N22" s="2"/>
      <c r="AO22" s="2"/>
      <c r="AP22" s="2"/>
      <c r="AQ22" s="2"/>
      <c r="AR22" s="2"/>
      <c r="AS22" s="2"/>
      <c r="AT22" s="2"/>
    </row>
    <row r="23" customHeight="1" spans="1:46">
      <c r="A23" s="2">
        <v>0.0219883</v>
      </c>
      <c r="B23" s="2">
        <v>0.0227907</v>
      </c>
      <c r="C23" s="2">
        <v>452909000000000</v>
      </c>
      <c r="D23" s="2">
        <v>19734300000</v>
      </c>
      <c r="E23" s="2">
        <v>0</v>
      </c>
      <c r="F23" s="2">
        <v>0</v>
      </c>
      <c r="G23" s="2">
        <v>2</v>
      </c>
      <c r="H23" s="2">
        <v>86265700000000</v>
      </c>
      <c r="I23" s="2">
        <v>88247400000000</v>
      </c>
      <c r="J23" s="2">
        <v>68153900000000</v>
      </c>
      <c r="K23" s="2">
        <v>59948400000000</v>
      </c>
      <c r="L23" s="2">
        <v>150291000000000</v>
      </c>
      <c r="N23" s="2">
        <v>0.0220045</v>
      </c>
      <c r="O23" s="2">
        <v>0.0226135</v>
      </c>
      <c r="P23" s="2">
        <v>426987000000000</v>
      </c>
      <c r="Q23" s="2">
        <v>29901200000</v>
      </c>
      <c r="R23" s="2">
        <v>0</v>
      </c>
      <c r="S23" s="2">
        <v>0</v>
      </c>
      <c r="T23" s="2">
        <v>2</v>
      </c>
      <c r="U23" s="2">
        <v>90821500000000</v>
      </c>
      <c r="V23" s="2">
        <v>98542400000000</v>
      </c>
      <c r="W23" s="2">
        <v>91856600000000</v>
      </c>
      <c r="X23" s="2">
        <v>101542000000000</v>
      </c>
      <c r="Y23" s="2">
        <v>44224500000000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N23" s="2"/>
      <c r="AO23" s="2"/>
      <c r="AP23" s="2"/>
      <c r="AQ23" s="2"/>
      <c r="AR23" s="2"/>
      <c r="AS23" s="2"/>
      <c r="AT23" s="2"/>
    </row>
    <row r="24" customHeight="1" spans="1:46">
      <c r="A24" s="2">
        <v>0.022975</v>
      </c>
      <c r="B24" s="2">
        <v>0.0237708</v>
      </c>
      <c r="C24" s="2">
        <v>450390000000000</v>
      </c>
      <c r="D24" s="2">
        <v>47770600000</v>
      </c>
      <c r="E24" s="2">
        <v>0</v>
      </c>
      <c r="F24" s="2">
        <v>0</v>
      </c>
      <c r="G24" s="2">
        <v>2</v>
      </c>
      <c r="H24" s="2">
        <v>83764400000000</v>
      </c>
      <c r="I24" s="2">
        <v>88461300000000</v>
      </c>
      <c r="J24" s="2">
        <v>65843100000000</v>
      </c>
      <c r="K24" s="2">
        <v>57156100000000</v>
      </c>
      <c r="L24" s="2">
        <v>155157000000000</v>
      </c>
      <c r="N24" s="2">
        <v>0.0230589</v>
      </c>
      <c r="O24" s="2">
        <v>0.0236232</v>
      </c>
      <c r="P24" s="2">
        <v>426639000000000</v>
      </c>
      <c r="Q24" s="2">
        <v>110103000000</v>
      </c>
      <c r="R24" s="2">
        <v>0</v>
      </c>
      <c r="S24" s="2">
        <v>0</v>
      </c>
      <c r="T24" s="2">
        <v>2</v>
      </c>
      <c r="U24" s="2">
        <v>90238400000000</v>
      </c>
      <c r="V24" s="2">
        <v>99244900000000</v>
      </c>
      <c r="W24" s="2">
        <v>91047600000000</v>
      </c>
      <c r="X24" s="2">
        <v>101630000000000</v>
      </c>
      <c r="Y24" s="2">
        <v>44478700000000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N24" s="2"/>
      <c r="AO24" s="2"/>
      <c r="AP24" s="2"/>
      <c r="AQ24" s="2"/>
      <c r="AR24" s="2"/>
      <c r="AS24" s="2"/>
      <c r="AT24" s="2"/>
    </row>
    <row r="25" customHeight="1" spans="1:46">
      <c r="A25" s="2">
        <v>0.0240369</v>
      </c>
      <c r="B25" s="2">
        <v>0.0248436</v>
      </c>
      <c r="C25" s="2">
        <v>450504000000000</v>
      </c>
      <c r="D25" s="2">
        <v>11123000000</v>
      </c>
      <c r="E25" s="2">
        <v>0</v>
      </c>
      <c r="F25" s="2">
        <v>0</v>
      </c>
      <c r="G25" s="2">
        <v>2</v>
      </c>
      <c r="H25" s="2">
        <v>82589100000000</v>
      </c>
      <c r="I25" s="2">
        <v>88940500000000</v>
      </c>
      <c r="J25" s="2">
        <v>64523400000000</v>
      </c>
      <c r="K25" s="2">
        <v>55824900000000</v>
      </c>
      <c r="L25" s="2">
        <v>158613000000000</v>
      </c>
      <c r="N25" s="2">
        <v>0.023955</v>
      </c>
      <c r="O25" s="2">
        <v>0.0245178</v>
      </c>
      <c r="P25" s="2">
        <v>425812000000000</v>
      </c>
      <c r="Q25" s="2">
        <v>48950700000</v>
      </c>
      <c r="R25" s="2">
        <v>0</v>
      </c>
      <c r="S25" s="2">
        <v>0</v>
      </c>
      <c r="T25" s="2">
        <v>2</v>
      </c>
      <c r="U25" s="2">
        <v>89974800000000</v>
      </c>
      <c r="V25" s="2">
        <v>99345900000000</v>
      </c>
      <c r="W25" s="2">
        <v>90318300000000</v>
      </c>
      <c r="X25" s="2">
        <v>100430000000000</v>
      </c>
      <c r="Y25" s="2">
        <v>45742200000000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N25" s="2"/>
      <c r="AO25" s="2"/>
      <c r="AP25" s="2"/>
      <c r="AQ25" s="2"/>
      <c r="AR25" s="2"/>
      <c r="AS25" s="2"/>
      <c r="AT25" s="2"/>
    </row>
    <row r="26" customHeight="1" spans="1:46">
      <c r="A26" s="2">
        <v>0.0249957</v>
      </c>
      <c r="B26" s="2">
        <v>0.0258231</v>
      </c>
      <c r="C26" s="2">
        <v>447228000000000</v>
      </c>
      <c r="D26" s="2">
        <v>7859280000</v>
      </c>
      <c r="E26" s="2">
        <v>0</v>
      </c>
      <c r="F26" s="2">
        <v>0</v>
      </c>
      <c r="G26" s="2">
        <v>2</v>
      </c>
      <c r="H26" s="2">
        <v>83496900000000</v>
      </c>
      <c r="I26" s="2">
        <v>88635500000000</v>
      </c>
      <c r="J26" s="2">
        <v>61993500000000</v>
      </c>
      <c r="K26" s="2">
        <v>54625500000000</v>
      </c>
      <c r="L26" s="2">
        <v>158416000000000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N26" s="2"/>
      <c r="AO26" s="2"/>
      <c r="AP26" s="2"/>
      <c r="AQ26" s="2"/>
      <c r="AR26" s="2"/>
      <c r="AS26" s="2"/>
      <c r="AT26" s="2"/>
    </row>
    <row r="27" customHeight="1" spans="1:46">
      <c r="A27" s="2">
        <v>0.0260109</v>
      </c>
      <c r="B27" s="2">
        <v>0.0268427</v>
      </c>
      <c r="C27" s="2">
        <v>448039000000000</v>
      </c>
      <c r="D27" s="2">
        <v>19420000000</v>
      </c>
      <c r="E27" s="2">
        <v>0</v>
      </c>
      <c r="F27" s="2">
        <v>0</v>
      </c>
      <c r="G27" s="2">
        <v>2</v>
      </c>
      <c r="H27" s="2">
        <v>84205700000000</v>
      </c>
      <c r="I27" s="2">
        <v>88948700000000</v>
      </c>
      <c r="J27" s="2">
        <v>61148400000000</v>
      </c>
      <c r="K27" s="2">
        <v>54657900000000</v>
      </c>
      <c r="L27" s="2">
        <v>158939000000000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N27" s="2"/>
      <c r="AO27" s="2"/>
      <c r="AP27" s="2"/>
      <c r="AQ27" s="2"/>
      <c r="AR27" s="2"/>
      <c r="AS27" s="2"/>
      <c r="AT27" s="2"/>
    </row>
    <row r="28" customHeight="1" spans="1:46">
      <c r="A28" s="2">
        <v>0.0270271</v>
      </c>
      <c r="B28" s="2">
        <v>0.0278565</v>
      </c>
      <c r="C28" s="2">
        <v>450273000000000</v>
      </c>
      <c r="D28" s="2">
        <v>4210070000</v>
      </c>
      <c r="E28" s="2">
        <v>0</v>
      </c>
      <c r="F28" s="2">
        <v>0</v>
      </c>
      <c r="G28" s="2">
        <v>2</v>
      </c>
      <c r="H28" s="2">
        <v>85141600000000</v>
      </c>
      <c r="I28" s="2">
        <v>91151100000000</v>
      </c>
      <c r="J28" s="2">
        <v>61786200000000</v>
      </c>
      <c r="K28" s="2">
        <v>55177100000000</v>
      </c>
      <c r="L28" s="2">
        <v>157005000000000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N28" s="2"/>
      <c r="AO28" s="2"/>
      <c r="AP28" s="2"/>
      <c r="AQ28" s="2"/>
      <c r="AR28" s="2"/>
      <c r="AS28" s="2"/>
      <c r="AT28" s="2"/>
    </row>
    <row r="29" customHeight="1" spans="1:46">
      <c r="A29" s="2">
        <v>0.0280122</v>
      </c>
      <c r="B29" s="2">
        <v>0.028878</v>
      </c>
      <c r="C29" s="2">
        <v>449674000000000</v>
      </c>
      <c r="D29" s="2">
        <v>6378550000</v>
      </c>
      <c r="E29" s="2">
        <v>0</v>
      </c>
      <c r="F29" s="2">
        <v>0</v>
      </c>
      <c r="G29" s="2">
        <v>2</v>
      </c>
      <c r="H29" s="2">
        <v>85567200000000</v>
      </c>
      <c r="I29" s="2">
        <v>92209200000000</v>
      </c>
      <c r="J29" s="2">
        <v>61021200000000</v>
      </c>
      <c r="K29" s="2">
        <v>53534400000000</v>
      </c>
      <c r="L29" s="2">
        <v>157327000000000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N29" s="2"/>
      <c r="AO29" s="2"/>
      <c r="AP29" s="2"/>
      <c r="AQ29" s="2"/>
      <c r="AR29" s="2"/>
      <c r="AS29" s="2"/>
      <c r="AT29" s="2"/>
    </row>
    <row r="30" customHeight="1" spans="1:46">
      <c r="A30" s="2">
        <v>0.0289998</v>
      </c>
      <c r="B30" s="2">
        <v>0.0299018</v>
      </c>
      <c r="C30" s="2">
        <v>450277000000000</v>
      </c>
      <c r="D30" s="2">
        <v>50948800000</v>
      </c>
      <c r="E30" s="2">
        <v>0</v>
      </c>
      <c r="F30" s="2">
        <v>0</v>
      </c>
      <c r="G30" s="2">
        <v>2</v>
      </c>
      <c r="H30" s="2">
        <v>84907000000000</v>
      </c>
      <c r="I30" s="2">
        <v>92204900000000</v>
      </c>
      <c r="J30" s="2">
        <v>60588500000000</v>
      </c>
      <c r="K30" s="2">
        <v>52855600000000</v>
      </c>
      <c r="L30" s="2">
        <v>159717000000000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N30" s="2"/>
      <c r="AO30" s="2"/>
      <c r="AP30" s="2"/>
      <c r="AQ30" s="2"/>
      <c r="AR30" s="2"/>
      <c r="AS30" s="2"/>
      <c r="AT30" s="2"/>
    </row>
    <row r="31" customHeight="1" spans="1:46">
      <c r="A31" s="2">
        <v>0.0300117</v>
      </c>
      <c r="B31" s="2">
        <v>0.0309265</v>
      </c>
      <c r="C31" s="2">
        <v>449963000000000</v>
      </c>
      <c r="D31" s="2">
        <v>61029700000</v>
      </c>
      <c r="E31" s="2">
        <v>0</v>
      </c>
      <c r="F31" s="2">
        <v>0</v>
      </c>
      <c r="G31" s="2">
        <v>2</v>
      </c>
      <c r="H31" s="2">
        <v>84101300000000</v>
      </c>
      <c r="I31" s="2">
        <v>90755000000000</v>
      </c>
      <c r="J31" s="2">
        <v>60213900000000</v>
      </c>
      <c r="K31" s="2">
        <v>51292800000000</v>
      </c>
      <c r="L31" s="2">
        <v>163595000000000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N31" s="2"/>
      <c r="AO31" s="2"/>
      <c r="AP31" s="2"/>
      <c r="AQ31" s="2"/>
      <c r="AR31" s="2"/>
      <c r="AS31" s="2"/>
      <c r="AT31" s="2"/>
    </row>
    <row r="32" customHeight="1" spans="1:25">
      <c r="A32" s="2">
        <v>0.0309902</v>
      </c>
      <c r="B32" s="2">
        <v>0.0318482</v>
      </c>
      <c r="C32" s="2">
        <v>450102000000000</v>
      </c>
      <c r="D32" s="2">
        <v>13332300000</v>
      </c>
      <c r="E32" s="2">
        <v>0</v>
      </c>
      <c r="F32" s="2">
        <v>0</v>
      </c>
      <c r="G32" s="2">
        <v>2</v>
      </c>
      <c r="H32" s="2">
        <v>85453600000000</v>
      </c>
      <c r="I32" s="2">
        <v>91333700000000</v>
      </c>
      <c r="J32" s="2">
        <v>61144700000000</v>
      </c>
      <c r="K32" s="2">
        <v>52329700000000</v>
      </c>
      <c r="L32" s="2">
        <v>159834000000000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Height="1" spans="1:25">
      <c r="A33" s="2">
        <v>0.0319913</v>
      </c>
      <c r="B33" s="2">
        <v>0.0328654</v>
      </c>
      <c r="C33" s="2">
        <v>445042000000000</v>
      </c>
      <c r="D33" s="2">
        <v>51051500000</v>
      </c>
      <c r="E33" s="2">
        <v>0</v>
      </c>
      <c r="F33" s="2">
        <v>0</v>
      </c>
      <c r="G33" s="2">
        <v>2</v>
      </c>
      <c r="H33" s="2">
        <v>83432200000000</v>
      </c>
      <c r="I33" s="2">
        <v>87390100000000</v>
      </c>
      <c r="J33" s="2">
        <v>60354800000000</v>
      </c>
      <c r="K33" s="2">
        <v>47303000000000</v>
      </c>
      <c r="L33" s="2">
        <v>166546000000000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Height="1" spans="1:25">
      <c r="A34" s="2">
        <v>0.0330492</v>
      </c>
      <c r="B34" s="2">
        <v>0.0339931</v>
      </c>
      <c r="C34" s="2">
        <v>441458000000000</v>
      </c>
      <c r="D34" s="2">
        <v>46896700000</v>
      </c>
      <c r="E34" s="2">
        <v>0</v>
      </c>
      <c r="F34" s="2">
        <v>0</v>
      </c>
      <c r="G34" s="2">
        <v>2</v>
      </c>
      <c r="H34" s="2">
        <v>83315400000000</v>
      </c>
      <c r="I34" s="2">
        <v>82751100000000</v>
      </c>
      <c r="J34" s="2">
        <v>62603200000000</v>
      </c>
      <c r="K34" s="2">
        <v>46143100000000</v>
      </c>
      <c r="L34" s="2">
        <v>166634000000000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Height="1" spans="1:25">
      <c r="A35" s="2">
        <v>0.0341097</v>
      </c>
      <c r="B35" s="2">
        <v>0.0350778</v>
      </c>
      <c r="C35" s="2">
        <v>438482000000000</v>
      </c>
      <c r="D35" s="2">
        <v>17911500000</v>
      </c>
      <c r="E35" s="2">
        <v>0</v>
      </c>
      <c r="F35" s="2">
        <v>0</v>
      </c>
      <c r="G35" s="2">
        <v>2</v>
      </c>
      <c r="H35" s="2">
        <v>82668600000000</v>
      </c>
      <c r="I35" s="2">
        <v>78574300000000</v>
      </c>
      <c r="J35" s="2">
        <v>60673500000000</v>
      </c>
      <c r="K35" s="2">
        <v>42424000000000</v>
      </c>
      <c r="L35" s="2">
        <v>174133000000000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Height="1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Height="1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Height="1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Height="1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Height="1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Height="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Height="1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Height="1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Height="1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Height="1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Height="1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Height="1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Height="1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Height="1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Height="1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Height="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Height="1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Height="1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Height="1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Height="1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Height="1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Height="1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Height="1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Height="1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1"/>
  <sheetViews>
    <sheetView workbookViewId="0">
      <selection activeCell="K94" sqref="K94"/>
    </sheetView>
  </sheetViews>
  <sheetFormatPr defaultColWidth="9.00740740740741" defaultRowHeight="15" customHeight="1"/>
  <cols>
    <col min="1" max="1" width="12.8592592592593" style="7" customWidth="1"/>
    <col min="4" max="4" width="14.562962962963" style="7" customWidth="1"/>
    <col min="7" max="7" width="13.562962962963" style="7" customWidth="1"/>
    <col min="11" max="11" width="17.2814814814815" style="7" customWidth="1"/>
    <col min="16" max="16" width="12.437037037037" style="7" customWidth="1"/>
    <col min="18" max="18" width="12.437037037037" style="7" customWidth="1"/>
    <col min="20" max="20" width="22.2814814814815" style="7" customWidth="1"/>
  </cols>
  <sheetData>
    <row r="1" customHeight="1" spans="1:19">
      <c r="A1" s="17" t="s">
        <v>25</v>
      </c>
      <c r="B1" s="17">
        <v>1</v>
      </c>
      <c r="D1" s="17" t="s">
        <v>12</v>
      </c>
      <c r="E1" s="17"/>
      <c r="G1" s="17" t="s">
        <v>24</v>
      </c>
      <c r="H1" s="17"/>
      <c r="J1" s="17" t="s">
        <v>13</v>
      </c>
      <c r="K1" s="17"/>
      <c r="N1" s="4"/>
      <c r="O1" s="4"/>
      <c r="S1" s="4"/>
    </row>
    <row r="2" customHeight="1" spans="1:19">
      <c r="A2" s="20">
        <v>0.00092756</v>
      </c>
      <c r="B2" s="19">
        <v>154770000</v>
      </c>
      <c r="C2" s="19"/>
      <c r="D2" s="19">
        <v>0.00104593</v>
      </c>
      <c r="E2" s="19">
        <v>116475000</v>
      </c>
      <c r="F2" s="19"/>
      <c r="G2" s="19">
        <v>0.000972836</v>
      </c>
      <c r="H2" s="19">
        <v>114268000</v>
      </c>
      <c r="I2" s="19"/>
      <c r="J2" s="19"/>
      <c r="K2" s="1" t="s">
        <v>14</v>
      </c>
      <c r="L2" s="1" t="s">
        <v>15</v>
      </c>
      <c r="M2" s="1" t="s">
        <v>16</v>
      </c>
      <c r="N2" s="4" t="s">
        <v>17</v>
      </c>
      <c r="O2" s="4" t="s">
        <v>18</v>
      </c>
      <c r="P2" s="1" t="s">
        <v>19</v>
      </c>
      <c r="Q2" s="1" t="s">
        <v>20</v>
      </c>
      <c r="R2" s="1" t="s">
        <v>21</v>
      </c>
      <c r="S2" s="4" t="s">
        <v>22</v>
      </c>
    </row>
    <row r="3" customHeight="1" spans="1:19">
      <c r="A3" s="20">
        <v>0.00207021</v>
      </c>
      <c r="B3" s="19">
        <v>173930000</v>
      </c>
      <c r="C3" s="19"/>
      <c r="D3" s="19">
        <v>0.00200804</v>
      </c>
      <c r="E3" s="19">
        <v>133135000</v>
      </c>
      <c r="F3" s="19"/>
      <c r="G3" s="19">
        <v>0.0019911</v>
      </c>
      <c r="H3" s="19">
        <v>116546000</v>
      </c>
      <c r="I3" s="19"/>
      <c r="J3" s="19" t="s">
        <v>26</v>
      </c>
      <c r="K3" s="1">
        <f>AVERAGE(B26:B31)/1000000</f>
        <v>180.861166666667</v>
      </c>
      <c r="L3" s="19">
        <f>AVERAGE('400K_SR40'!L28:L32)</f>
        <v>159495600000000</v>
      </c>
      <c r="M3" s="19">
        <f>AVERAGE('400K_SR40'!C28:C32)</f>
        <v>450057800000000</v>
      </c>
      <c r="N3" s="3">
        <f>Graphs!$B$1*80.9*0.248*SQRT(L3)/1000000</f>
        <v>82.3489216988655</v>
      </c>
      <c r="O3" s="3">
        <f>Graphs!$B$2*80.9*0.248*SQRT(M3)/1000000</f>
        <v>21.2816037786904</v>
      </c>
      <c r="P3" s="1">
        <f>SQRT(N3^2+O3^2)</f>
        <v>85.0544035565417</v>
      </c>
      <c r="Q3" s="1">
        <f>K3*0.4707</f>
        <v>85.13135115</v>
      </c>
      <c r="R3" s="1">
        <f>Q3/P3</f>
        <v>1.00090468676801</v>
      </c>
      <c r="S3" s="3">
        <f>L3/M3</f>
        <v>0.354389147349518</v>
      </c>
    </row>
    <row r="4" customHeight="1" spans="1:19">
      <c r="A4" s="20">
        <v>0.00294065</v>
      </c>
      <c r="B4" s="19">
        <v>180359000</v>
      </c>
      <c r="C4" s="19"/>
      <c r="D4" s="19">
        <v>0.00305486</v>
      </c>
      <c r="E4" s="19">
        <v>147073000</v>
      </c>
      <c r="F4" s="19"/>
      <c r="G4" s="19">
        <v>0.00296189</v>
      </c>
      <c r="H4" s="19">
        <v>140825000</v>
      </c>
      <c r="I4" s="19"/>
      <c r="J4" s="19" t="s">
        <v>27</v>
      </c>
      <c r="K4" s="1" t="e">
        <f>AVERAGE(E26:E31)/1000000</f>
        <v>#DIV/0!</v>
      </c>
      <c r="L4" s="19" t="e">
        <f>AVERAGE('400K_SR40'!Y28:Y32)</f>
        <v>#DIV/0!</v>
      </c>
      <c r="M4" s="19" t="e">
        <f>AVERAGE('400K_SR40'!P28:P32)</f>
        <v>#DIV/0!</v>
      </c>
      <c r="N4" s="3" t="e">
        <f>Graphs!$B$1*80.9*0.248*SQRT(L4)/1000000</f>
        <v>#DIV/0!</v>
      </c>
      <c r="O4" s="3" t="e">
        <f>Graphs!$B$2*80.9*0.248*SQRT(M4)/1000000</f>
        <v>#DIV/0!</v>
      </c>
      <c r="P4" s="1" t="e">
        <f>SQRT(N4^2+O4^2)</f>
        <v>#DIV/0!</v>
      </c>
      <c r="Q4" s="1" t="e">
        <f>K4*0.4707</f>
        <v>#DIV/0!</v>
      </c>
      <c r="R4" s="1" t="e">
        <f>Q4/P4</f>
        <v>#DIV/0!</v>
      </c>
      <c r="S4" s="3" t="e">
        <f>L4/M4</f>
        <v>#DIV/0!</v>
      </c>
    </row>
    <row r="5" customHeight="1" spans="1:19">
      <c r="A5" s="20">
        <v>0.00401055</v>
      </c>
      <c r="B5" s="19">
        <v>175163000</v>
      </c>
      <c r="C5" s="19"/>
      <c r="D5" s="19">
        <v>0.00403945</v>
      </c>
      <c r="E5" s="19">
        <v>151326000</v>
      </c>
      <c r="F5" s="19"/>
      <c r="G5" s="19">
        <v>0.00400461</v>
      </c>
      <c r="H5" s="19">
        <v>135698000</v>
      </c>
      <c r="I5" s="19"/>
      <c r="J5" s="19" t="s">
        <v>28</v>
      </c>
      <c r="K5" s="1" t="e">
        <f>AVERAGE(H26:H29)/1000000</f>
        <v>#DIV/0!</v>
      </c>
      <c r="L5" s="19" t="e">
        <f>AVERAGE('400K_SR40'!AL28:AL32)</f>
        <v>#DIV/0!</v>
      </c>
      <c r="M5" s="19" t="e">
        <f>AVERAGE('400K_SR40'!AC28:AC32)</f>
        <v>#DIV/0!</v>
      </c>
      <c r="N5" s="3" t="e">
        <f>Graphs!$B$1*80.9*0.248*SQRT(L5)/1000000</f>
        <v>#DIV/0!</v>
      </c>
      <c r="O5" s="3" t="e">
        <f>Graphs!$B$2*80.9*0.248*SQRT(M5)/1000000</f>
        <v>#DIV/0!</v>
      </c>
      <c r="P5" s="1" t="e">
        <f>SQRT(N5^2+O5^2)</f>
        <v>#DIV/0!</v>
      </c>
      <c r="Q5" s="1" t="e">
        <f>K5*0.4707</f>
        <v>#DIV/0!</v>
      </c>
      <c r="R5" s="1" t="e">
        <f>Q5/P5</f>
        <v>#DIV/0!</v>
      </c>
      <c r="S5" s="3" t="e">
        <f>L5/M5</f>
        <v>#DIV/0!</v>
      </c>
    </row>
    <row r="6" customHeight="1" spans="1:11">
      <c r="A6" s="20">
        <v>0.00498831</v>
      </c>
      <c r="B6" s="19">
        <v>181789000</v>
      </c>
      <c r="C6" s="19"/>
      <c r="D6" s="19">
        <v>0.00497604</v>
      </c>
      <c r="E6" s="19">
        <v>152235000</v>
      </c>
      <c r="F6" s="19"/>
      <c r="G6" s="19">
        <v>0.00495574</v>
      </c>
      <c r="H6" s="19">
        <v>137014000</v>
      </c>
      <c r="I6" s="19"/>
      <c r="J6" s="19"/>
      <c r="K6" s="19"/>
    </row>
    <row r="7" customHeight="1" spans="1:11">
      <c r="A7" s="20">
        <v>0.00597565</v>
      </c>
      <c r="B7" s="19">
        <v>179478000</v>
      </c>
      <c r="C7" s="19"/>
      <c r="D7" s="19">
        <v>0.00601587</v>
      </c>
      <c r="E7" s="19">
        <v>144367000</v>
      </c>
      <c r="F7" s="19"/>
      <c r="G7" s="19">
        <v>0.00603446</v>
      </c>
      <c r="H7" s="19">
        <v>134997000</v>
      </c>
      <c r="I7" s="19"/>
      <c r="J7" s="19"/>
      <c r="K7" s="19"/>
    </row>
    <row r="8" customHeight="1" spans="1:11">
      <c r="A8" s="20">
        <v>0.00709854</v>
      </c>
      <c r="B8" s="19">
        <v>182370000</v>
      </c>
      <c r="C8" s="19"/>
      <c r="D8" s="19">
        <v>0.00699331</v>
      </c>
      <c r="E8" s="19">
        <v>150875000</v>
      </c>
      <c r="F8" s="19"/>
      <c r="G8" s="19">
        <v>0.00695306</v>
      </c>
      <c r="H8" s="19">
        <v>135127000</v>
      </c>
      <c r="I8" s="19"/>
      <c r="J8" s="19"/>
      <c r="K8" s="19"/>
    </row>
    <row r="9" customHeight="1" spans="1:11">
      <c r="A9" s="20">
        <v>0.00793644</v>
      </c>
      <c r="B9" s="19">
        <v>184268000</v>
      </c>
      <c r="C9" s="19"/>
      <c r="D9" s="19">
        <v>0.00792334</v>
      </c>
      <c r="E9" s="19">
        <v>160983000</v>
      </c>
      <c r="F9" s="19"/>
      <c r="G9" s="19">
        <v>0.00806867</v>
      </c>
      <c r="H9" s="19">
        <v>122028000</v>
      </c>
      <c r="I9" s="19"/>
      <c r="J9" s="19"/>
      <c r="K9" s="19"/>
    </row>
    <row r="10" customHeight="1" spans="1:11">
      <c r="A10" s="20">
        <v>0.00903514</v>
      </c>
      <c r="B10" s="19">
        <v>189406000</v>
      </c>
      <c r="C10" s="19"/>
      <c r="D10" s="19">
        <v>0.00881076</v>
      </c>
      <c r="E10" s="19">
        <v>152994000</v>
      </c>
      <c r="F10" s="19"/>
      <c r="G10" s="19">
        <v>0.00896638</v>
      </c>
      <c r="H10" s="19">
        <v>123633000</v>
      </c>
      <c r="I10" s="19"/>
      <c r="J10" s="19"/>
      <c r="K10" s="19"/>
    </row>
    <row r="11" customHeight="1" spans="1:19">
      <c r="A11" s="20">
        <v>0.00989916</v>
      </c>
      <c r="B11" s="19">
        <v>213005000</v>
      </c>
      <c r="C11" s="19"/>
      <c r="D11" s="19">
        <v>0.00995094</v>
      </c>
      <c r="E11" s="19">
        <v>143607000</v>
      </c>
      <c r="F11" s="19"/>
      <c r="G11" s="19">
        <v>0.00999492</v>
      </c>
      <c r="H11" s="19">
        <v>124037000</v>
      </c>
      <c r="I11" s="19"/>
      <c r="J11" s="21" t="s">
        <v>23</v>
      </c>
      <c r="K11" s="21"/>
      <c r="L11" s="21"/>
      <c r="M11" s="21"/>
      <c r="N11" s="21"/>
      <c r="O11" s="21"/>
      <c r="P11" s="21"/>
      <c r="Q11" s="21"/>
      <c r="R11" s="21"/>
      <c r="S11" s="21"/>
    </row>
    <row r="12" customHeight="1" spans="1:19">
      <c r="A12" s="20">
        <v>0.011033</v>
      </c>
      <c r="B12" s="19">
        <v>222248000</v>
      </c>
      <c r="C12" s="19"/>
      <c r="D12" s="19">
        <v>0.0109953</v>
      </c>
      <c r="E12" s="19">
        <v>150443000</v>
      </c>
      <c r="F12" s="19"/>
      <c r="G12" s="19">
        <v>0.0109973</v>
      </c>
      <c r="H12" s="19">
        <v>127387000</v>
      </c>
      <c r="I12" s="19"/>
      <c r="J12" s="19" t="s">
        <v>26</v>
      </c>
      <c r="K12" s="1">
        <f>AVERAGE(B12:B16)/1000000</f>
        <v>205.5338</v>
      </c>
      <c r="L12" s="19">
        <f>AVERAGE('400K_SR40'!L12:L16)</f>
        <v>74905020000000</v>
      </c>
      <c r="M12" s="19">
        <f>AVERAGE('400K_SR40'!C12:C16)</f>
        <v>434244000000000</v>
      </c>
      <c r="N12" s="3">
        <f>Graphs!$B$1*80.9*0.248*SQRT(L12)/1000000</f>
        <v>56.4337650280321</v>
      </c>
      <c r="O12" s="3">
        <f>Graphs!$B$2*80.9*0.248*SQRT(M12)/1000000</f>
        <v>20.9043717501121</v>
      </c>
      <c r="P12" s="1">
        <f>SQRT(N12^2+O12^2)</f>
        <v>60.1810816910599</v>
      </c>
      <c r="Q12" s="1">
        <f>K12*0.4707</f>
        <v>96.74475966</v>
      </c>
      <c r="R12" s="1">
        <f>Q12/P12</f>
        <v>1.60756099660422</v>
      </c>
      <c r="S12" s="3">
        <f>L12/M12</f>
        <v>0.172495233094758</v>
      </c>
    </row>
    <row r="13" customHeight="1" spans="1:19">
      <c r="A13" s="20">
        <v>0.0120692</v>
      </c>
      <c r="B13" s="19">
        <v>212890000</v>
      </c>
      <c r="C13" s="19"/>
      <c r="D13" s="19">
        <v>0.0119229</v>
      </c>
      <c r="E13" s="19">
        <v>152218000</v>
      </c>
      <c r="F13" s="19"/>
      <c r="G13" s="19">
        <v>0.0118829</v>
      </c>
      <c r="H13" s="19">
        <v>124035000</v>
      </c>
      <c r="I13" s="19"/>
      <c r="J13" s="19" t="s">
        <v>27</v>
      </c>
      <c r="K13" s="1">
        <f>AVERAGE(E12:E16)/1000000</f>
        <v>150.2312</v>
      </c>
      <c r="L13" s="19">
        <f>AVERAGE('400K_SR40'!Y12:Y16)</f>
        <v>55463900000000</v>
      </c>
      <c r="M13" s="19">
        <f>AVERAGE('400K_SR40'!P12:P16)</f>
        <v>429487800000000</v>
      </c>
      <c r="N13" s="3">
        <f>Graphs!$B$1*80.9*0.248*SQRT(L13)/1000000</f>
        <v>48.561127924828</v>
      </c>
      <c r="O13" s="3">
        <f>Graphs!$B$2*80.9*0.248*SQRT(M13)/1000000</f>
        <v>20.7895755509673</v>
      </c>
      <c r="P13" s="1">
        <f>SQRT(N13^2+O13^2)</f>
        <v>52.8241383926031</v>
      </c>
      <c r="Q13" s="1">
        <f>K13*0.4707</f>
        <v>70.71382584</v>
      </c>
      <c r="R13" s="1">
        <f>Q13/P13</f>
        <v>1.3386650117118</v>
      </c>
      <c r="S13" s="3">
        <f>L13/M13</f>
        <v>0.129139640287803</v>
      </c>
    </row>
    <row r="14" customHeight="1" spans="1:19">
      <c r="A14" s="20">
        <v>0.0129993</v>
      </c>
      <c r="B14" s="19">
        <v>193745000</v>
      </c>
      <c r="C14" s="19"/>
      <c r="D14" s="19">
        <v>0.0130019</v>
      </c>
      <c r="E14" s="19">
        <v>158608000</v>
      </c>
      <c r="F14" s="19"/>
      <c r="G14" s="19"/>
      <c r="H14" s="19"/>
      <c r="I14" s="19"/>
      <c r="J14" s="19" t="s">
        <v>28</v>
      </c>
      <c r="K14" s="1">
        <f>AVERAGE(H12:H16)/1000000</f>
        <v>125.711</v>
      </c>
      <c r="L14" s="19">
        <f>AVERAGE('400K_SR40'!AL12:AL16)</f>
        <v>47698250000000</v>
      </c>
      <c r="M14" s="19">
        <f>AVERAGE('400K_SR40'!AC12:AC16)</f>
        <v>428208000000000</v>
      </c>
      <c r="N14" s="3">
        <f>Graphs!$B$1*80.9*0.248*SQRT(L14)/1000000</f>
        <v>45.0334050756326</v>
      </c>
      <c r="O14" s="3">
        <f>Graphs!$B$2*80.9*0.248*SQRT(M14)/1000000</f>
        <v>20.7585777565277</v>
      </c>
      <c r="P14" s="1">
        <f>SQRT(N14^2+O14^2)</f>
        <v>49.5875601656284</v>
      </c>
      <c r="Q14" s="1">
        <f>K14*0.4707</f>
        <v>59.1721677</v>
      </c>
      <c r="R14" s="1">
        <f>Q14/P14</f>
        <v>1.19328653199226</v>
      </c>
      <c r="S14" s="3">
        <f>L14/M14</f>
        <v>0.111390375705265</v>
      </c>
    </row>
    <row r="15" customHeight="1" spans="1:11">
      <c r="A15" s="20">
        <v>0.0139792</v>
      </c>
      <c r="B15" s="19">
        <v>203418000</v>
      </c>
      <c r="C15" s="19"/>
      <c r="D15" s="19">
        <v>0.0139389</v>
      </c>
      <c r="E15" s="19">
        <v>154115000</v>
      </c>
      <c r="F15" s="19"/>
      <c r="G15" s="19"/>
      <c r="H15" s="19"/>
      <c r="I15" s="19"/>
      <c r="J15" s="19"/>
      <c r="K15" s="19"/>
    </row>
    <row r="16" customHeight="1" spans="1:11">
      <c r="A16" s="20">
        <v>0.0149929</v>
      </c>
      <c r="B16" s="19">
        <v>195368000</v>
      </c>
      <c r="C16" s="19"/>
      <c r="D16" s="19">
        <v>0.0149368</v>
      </c>
      <c r="E16" s="19">
        <v>135772000</v>
      </c>
      <c r="F16" s="19"/>
      <c r="G16" s="19"/>
      <c r="H16" s="19"/>
      <c r="I16" s="19"/>
      <c r="J16" s="19"/>
      <c r="K16" s="19"/>
    </row>
    <row r="17" customHeight="1" spans="1:11">
      <c r="A17" s="20">
        <v>0.016016</v>
      </c>
      <c r="B17" s="19">
        <v>204682000</v>
      </c>
      <c r="C17" s="19"/>
      <c r="D17" s="19">
        <v>0.0159799</v>
      </c>
      <c r="E17" s="19">
        <v>131273000</v>
      </c>
      <c r="F17" s="19"/>
      <c r="G17" s="19"/>
      <c r="H17" s="19"/>
      <c r="I17" s="19"/>
      <c r="J17" s="19"/>
      <c r="K17" s="19"/>
    </row>
    <row r="18" customHeight="1" spans="1:11">
      <c r="A18" s="20">
        <v>0.0169786</v>
      </c>
      <c r="B18" s="19">
        <v>199871000</v>
      </c>
      <c r="C18" s="19"/>
      <c r="D18" s="19">
        <v>0.0168151</v>
      </c>
      <c r="E18" s="19">
        <v>133922000</v>
      </c>
      <c r="F18" s="19"/>
      <c r="G18" s="19"/>
      <c r="H18" s="19"/>
      <c r="I18" s="19"/>
      <c r="J18" s="19"/>
      <c r="K18" s="19"/>
    </row>
    <row r="19" customHeight="1" spans="1:11">
      <c r="A19" s="20">
        <v>0.0179804</v>
      </c>
      <c r="B19" s="19">
        <v>181629000</v>
      </c>
      <c r="C19" s="19"/>
      <c r="D19" s="19">
        <v>0.0180751</v>
      </c>
      <c r="E19" s="19">
        <v>127716000</v>
      </c>
      <c r="F19" s="19"/>
      <c r="G19" s="19"/>
      <c r="H19" s="19"/>
      <c r="I19" s="19"/>
      <c r="J19" s="19"/>
      <c r="K19" s="19"/>
    </row>
    <row r="20" customHeight="1" spans="1:11">
      <c r="A20" s="20">
        <v>0.0189697</v>
      </c>
      <c r="B20" s="19">
        <v>179109000</v>
      </c>
      <c r="C20" s="19"/>
      <c r="D20" s="19">
        <v>0.0189972</v>
      </c>
      <c r="E20" s="19">
        <v>124653000</v>
      </c>
      <c r="F20" s="19"/>
      <c r="G20" s="19"/>
      <c r="H20" s="19"/>
      <c r="I20" s="19"/>
      <c r="J20" s="19"/>
      <c r="K20" s="19"/>
    </row>
    <row r="21" customHeight="1" spans="1:11">
      <c r="A21" s="20">
        <v>0.0199925</v>
      </c>
      <c r="B21" s="19">
        <v>171997000</v>
      </c>
      <c r="C21" s="19"/>
      <c r="D21" s="19">
        <v>0.0200119</v>
      </c>
      <c r="E21" s="19">
        <v>128234000</v>
      </c>
      <c r="F21" s="19"/>
      <c r="G21" s="19"/>
      <c r="H21" s="19"/>
      <c r="I21" s="19"/>
      <c r="J21" s="19"/>
      <c r="K21" s="19"/>
    </row>
    <row r="22" customHeight="1" spans="1:11">
      <c r="A22" s="20">
        <v>0.0210047</v>
      </c>
      <c r="B22" s="19">
        <v>176103000</v>
      </c>
      <c r="C22" s="19"/>
      <c r="D22" s="19">
        <v>0.0210762</v>
      </c>
      <c r="E22" s="19">
        <v>117611000</v>
      </c>
      <c r="F22" s="19"/>
      <c r="G22" s="19"/>
      <c r="H22" s="19"/>
      <c r="I22" s="19"/>
      <c r="J22" s="19"/>
      <c r="K22" s="19"/>
    </row>
    <row r="23" customHeight="1" spans="1:11">
      <c r="A23" s="20">
        <v>0.0219883</v>
      </c>
      <c r="B23" s="19">
        <v>168376000</v>
      </c>
      <c r="C23" s="19"/>
      <c r="D23" s="19">
        <v>0.0220045</v>
      </c>
      <c r="E23" s="19">
        <v>127784000</v>
      </c>
      <c r="F23" s="19"/>
      <c r="G23" s="19"/>
      <c r="H23" s="19"/>
      <c r="I23" s="19"/>
      <c r="J23" s="19"/>
      <c r="K23" s="19"/>
    </row>
    <row r="24" customHeight="1" spans="1:11">
      <c r="A24" s="20">
        <v>0.022975</v>
      </c>
      <c r="B24" s="19">
        <v>166977000</v>
      </c>
      <c r="C24" s="19"/>
      <c r="D24" s="19">
        <v>0.0230589</v>
      </c>
      <c r="E24" s="19">
        <v>118395000</v>
      </c>
      <c r="F24" s="19"/>
      <c r="G24" s="19"/>
      <c r="H24" s="19"/>
      <c r="I24" s="19"/>
      <c r="J24" s="19"/>
      <c r="K24" s="19"/>
    </row>
    <row r="25" customHeight="1" spans="1:11">
      <c r="A25" s="20">
        <v>0.0240369</v>
      </c>
      <c r="B25" s="19">
        <v>169288000</v>
      </c>
      <c r="C25" s="19"/>
      <c r="D25" s="19">
        <v>0.023955</v>
      </c>
      <c r="E25" s="19">
        <v>118086000</v>
      </c>
      <c r="F25" s="19"/>
      <c r="G25" s="19"/>
      <c r="H25" s="19"/>
      <c r="I25" s="19"/>
      <c r="J25" s="19"/>
      <c r="K25" s="19"/>
    </row>
    <row r="26" customHeight="1" spans="1:11">
      <c r="A26" s="20">
        <v>0.0249957</v>
      </c>
      <c r="B26" s="19">
        <v>173641000</v>
      </c>
      <c r="C26" s="19"/>
      <c r="D26" s="19"/>
      <c r="E26" s="19"/>
      <c r="F26" s="19"/>
      <c r="G26" s="19"/>
      <c r="H26" s="19"/>
      <c r="I26" s="19"/>
      <c r="J26" s="19"/>
      <c r="K26" s="19"/>
    </row>
    <row r="27" customHeight="1" spans="1:11">
      <c r="A27" s="20">
        <v>0.0260109</v>
      </c>
      <c r="B27" s="19">
        <v>174550000</v>
      </c>
      <c r="C27" s="19"/>
      <c r="D27" s="19"/>
      <c r="E27" s="19"/>
      <c r="F27" s="19"/>
      <c r="G27" s="19"/>
      <c r="H27" s="19"/>
      <c r="I27" s="19"/>
      <c r="J27" s="19"/>
      <c r="K27" s="19"/>
    </row>
    <row r="28" customHeight="1" spans="1:11">
      <c r="A28" s="20">
        <v>0.0270271</v>
      </c>
      <c r="B28" s="19">
        <v>174051000</v>
      </c>
      <c r="C28" s="19"/>
      <c r="D28" s="19"/>
      <c r="E28" s="19"/>
      <c r="F28" s="19"/>
      <c r="G28" s="19"/>
      <c r="H28" s="19"/>
      <c r="I28" s="19"/>
      <c r="J28" s="19"/>
      <c r="K28" s="19"/>
    </row>
    <row r="29" customHeight="1" spans="1:11">
      <c r="A29" s="20">
        <v>0.0280122</v>
      </c>
      <c r="B29" s="19">
        <v>181680000</v>
      </c>
      <c r="C29" s="19"/>
      <c r="D29" s="19"/>
      <c r="E29" s="19"/>
      <c r="F29" s="19"/>
      <c r="G29" s="19"/>
      <c r="H29" s="19"/>
      <c r="I29" s="19"/>
      <c r="J29" s="19"/>
      <c r="K29" s="19"/>
    </row>
    <row r="30" customHeight="1" spans="1:11">
      <c r="A30" s="20">
        <v>0.0289998</v>
      </c>
      <c r="B30" s="19">
        <v>189277000</v>
      </c>
      <c r="C30" s="19"/>
      <c r="D30" s="19"/>
      <c r="E30" s="19"/>
      <c r="F30" s="19"/>
      <c r="G30" s="19"/>
      <c r="H30" s="19"/>
      <c r="I30" s="19"/>
      <c r="J30" s="19"/>
      <c r="K30" s="19"/>
    </row>
    <row r="31" customHeight="1" spans="1:11">
      <c r="A31" s="20">
        <v>0.0300117</v>
      </c>
      <c r="B31" s="19">
        <v>191968000</v>
      </c>
      <c r="C31" s="19"/>
      <c r="D31" s="19"/>
      <c r="E31" s="19"/>
      <c r="F31" s="19"/>
      <c r="G31" s="19"/>
      <c r="H31" s="19"/>
      <c r="I31" s="19"/>
      <c r="J31" s="19"/>
      <c r="K31" s="19"/>
    </row>
    <row r="32" customHeight="1" spans="1:11">
      <c r="A32" s="20">
        <v>0.0309902</v>
      </c>
      <c r="B32" s="19">
        <v>180057000</v>
      </c>
      <c r="C32" s="19"/>
      <c r="D32" s="19"/>
      <c r="E32" s="19"/>
      <c r="F32" s="19"/>
      <c r="G32" s="19"/>
      <c r="H32" s="19"/>
      <c r="I32" s="19"/>
      <c r="J32" s="19"/>
      <c r="K32" s="19"/>
    </row>
    <row r="33" customHeight="1" spans="1:11">
      <c r="A33" s="20">
        <v>0.0319913</v>
      </c>
      <c r="B33" s="19">
        <v>183432000</v>
      </c>
      <c r="C33" s="19"/>
      <c r="D33" s="19"/>
      <c r="E33" s="19"/>
      <c r="F33" s="19"/>
      <c r="G33" s="19"/>
      <c r="H33" s="19"/>
      <c r="I33" s="19"/>
      <c r="J33" s="19"/>
      <c r="K33" s="19"/>
    </row>
    <row r="34" customHeight="1" spans="1:11">
      <c r="A34" s="20">
        <v>0.0330492</v>
      </c>
      <c r="B34" s="19">
        <v>198092000</v>
      </c>
      <c r="C34" s="19"/>
      <c r="D34" s="19"/>
      <c r="E34" s="19"/>
      <c r="F34" s="19"/>
      <c r="G34" s="19"/>
      <c r="H34" s="19"/>
      <c r="I34" s="19"/>
      <c r="J34" s="19"/>
      <c r="K34" s="19"/>
    </row>
    <row r="35" customHeight="1" spans="1:11">
      <c r="A35" s="20">
        <v>0.0341097</v>
      </c>
      <c r="B35" s="19">
        <v>203168000</v>
      </c>
      <c r="C35" s="19"/>
      <c r="D35" s="19"/>
      <c r="E35" s="19"/>
      <c r="F35" s="19"/>
      <c r="G35" s="19"/>
      <c r="H35" s="19"/>
      <c r="I35" s="19"/>
      <c r="J35" s="19"/>
      <c r="K35" s="19"/>
    </row>
    <row r="36" customHeight="1" spans="1:1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customHeight="1" spans="1:1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customHeight="1" spans="1:1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customHeight="1" spans="1:1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customHeight="1" spans="1:1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customHeight="1" spans="1:1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customHeight="1" spans="1:1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customHeight="1" spans="1:1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customHeight="1" spans="1:1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customHeight="1" spans="1:1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customHeight="1" spans="1:1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customHeight="1" spans="1:1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customHeight="1" spans="1:1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customHeight="1" spans="1:1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customHeight="1" spans="1:1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customHeight="1" spans="1:1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customHeight="1" spans="1:1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customHeight="1" spans="1:1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customHeight="1" spans="1:1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customHeight="1" spans="1:1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customHeight="1" spans="1:1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customHeight="1" spans="1:1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customHeight="1" spans="1:1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customHeight="1" spans="1:1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customHeight="1" spans="1:1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customHeight="1" spans="1:1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</row>
  </sheetData>
  <mergeCells count="5">
    <mergeCell ref="A1:B1"/>
    <mergeCell ref="D1:E1"/>
    <mergeCell ref="G1:H1"/>
    <mergeCell ref="J1:K1"/>
    <mergeCell ref="J11:S11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"/>
  <sheetViews>
    <sheetView workbookViewId="0">
      <selection activeCell="M19" sqref="M19"/>
    </sheetView>
  </sheetViews>
  <sheetFormatPr defaultColWidth="9.00740740740741" defaultRowHeight="15" customHeight="1"/>
  <cols>
    <col min="11" max="11" width="12.437037037037" style="7" customWidth="1"/>
    <col min="12" max="12" width="22.2814814814815" style="7" customWidth="1"/>
    <col min="16" max="16" width="12.437037037037" style="7" customWidth="1"/>
    <col min="18" max="18" width="12.437037037037" style="7" customWidth="1"/>
  </cols>
  <sheetData>
    <row r="1" customHeight="1" spans="1:19">
      <c r="A1" s="17" t="s">
        <v>25</v>
      </c>
      <c r="B1" s="17">
        <v>1</v>
      </c>
      <c r="D1" s="17" t="s">
        <v>12</v>
      </c>
      <c r="E1" s="17"/>
      <c r="G1" s="17" t="s">
        <v>24</v>
      </c>
      <c r="H1" s="17"/>
      <c r="J1" s="17" t="s">
        <v>13</v>
      </c>
      <c r="K1" s="17"/>
      <c r="N1" s="4"/>
      <c r="O1" s="4"/>
      <c r="S1" s="4"/>
    </row>
    <row r="2" customHeight="1" spans="1:19">
      <c r="A2" s="2">
        <v>0.00100305</v>
      </c>
      <c r="B2" s="2">
        <v>133135000</v>
      </c>
      <c r="D2" s="2">
        <v>0.00096455</v>
      </c>
      <c r="E2" s="2">
        <v>141072000</v>
      </c>
      <c r="G2" s="2">
        <v>0.00100922</v>
      </c>
      <c r="H2" s="2">
        <v>145095000</v>
      </c>
      <c r="K2" s="1" t="s">
        <v>14</v>
      </c>
      <c r="L2" s="1" t="s">
        <v>15</v>
      </c>
      <c r="M2" s="1" t="s">
        <v>16</v>
      </c>
      <c r="N2" s="4" t="s">
        <v>17</v>
      </c>
      <c r="O2" s="4" t="s">
        <v>18</v>
      </c>
      <c r="P2" s="1" t="s">
        <v>19</v>
      </c>
      <c r="Q2" s="1" t="s">
        <v>20</v>
      </c>
      <c r="R2" s="1" t="s">
        <v>21</v>
      </c>
      <c r="S2" s="4" t="s">
        <v>22</v>
      </c>
    </row>
    <row r="3" customHeight="1" spans="1:19">
      <c r="A3" s="2">
        <v>0.00195105</v>
      </c>
      <c r="B3" s="2">
        <v>151436000</v>
      </c>
      <c r="D3" s="2">
        <v>0.00198499</v>
      </c>
      <c r="E3" s="2">
        <v>159861000</v>
      </c>
      <c r="G3" s="2">
        <v>0.00200223</v>
      </c>
      <c r="H3" s="2">
        <v>157343000</v>
      </c>
      <c r="J3" s="1" t="s">
        <v>26</v>
      </c>
      <c r="K3" s="1">
        <f>AVERAGE(B27:B31)/1000000</f>
        <v>134.5096</v>
      </c>
      <c r="L3" s="19">
        <f>AVERAGE('400K_SR100'!L28:L32)</f>
        <v>20713220000000</v>
      </c>
      <c r="M3" s="19">
        <f>AVERAGE('400K_SR100'!C28:C32)</f>
        <v>128675600000000</v>
      </c>
      <c r="N3" s="3">
        <f>Graphs!$B$1*80.9*0.248*SQRT(L3)/1000000</f>
        <v>29.6761373453138</v>
      </c>
      <c r="O3" s="3">
        <f>Graphs!$B$2*80.9*0.248*SQRT(M3)/1000000</f>
        <v>11.379372333089</v>
      </c>
      <c r="P3" s="1">
        <f>SQRT(N3^2+O3^2)</f>
        <v>31.7830653404136</v>
      </c>
      <c r="Q3" s="1">
        <f>K3*0.4707</f>
        <v>63.31366872</v>
      </c>
      <c r="R3" s="1">
        <f>Q3/P3</f>
        <v>1.99205671453892</v>
      </c>
      <c r="S3" s="3">
        <f>L3/M3</f>
        <v>0.160972398807544</v>
      </c>
    </row>
    <row r="4" customHeight="1" spans="1:19">
      <c r="A4" s="2">
        <v>0.00300435</v>
      </c>
      <c r="B4" s="2">
        <v>147107000</v>
      </c>
      <c r="D4" s="2">
        <v>0.00298361</v>
      </c>
      <c r="E4" s="2">
        <v>177334000</v>
      </c>
      <c r="G4" s="2">
        <v>0.00299889</v>
      </c>
      <c r="H4" s="2">
        <v>179079000</v>
      </c>
      <c r="J4" s="1" t="s">
        <v>27</v>
      </c>
      <c r="K4" s="1">
        <f>AVERAGE(E26:E31)/1000000</f>
        <v>111.4318</v>
      </c>
      <c r="L4" s="19">
        <f>AVERAGE('400K_SR100'!Y26:Y31)</f>
        <v>61122033333333.3</v>
      </c>
      <c r="M4" s="19">
        <f>AVERAGE('400K_SR100'!P21:P26)</f>
        <v>158345500000000</v>
      </c>
      <c r="N4" s="3">
        <f>Graphs!$B$1*80.9*0.248*SQRT(L4)/1000000</f>
        <v>50.9779609296649</v>
      </c>
      <c r="O4" s="3">
        <f>Graphs!$B$2*80.9*0.248*SQRT(M4)/1000000</f>
        <v>12.6233048261866</v>
      </c>
      <c r="P4" s="1">
        <f>SQRT(N4^2+O4^2)</f>
        <v>52.5176191890042</v>
      </c>
      <c r="Q4" s="1">
        <f>K4*0.4707</f>
        <v>52.45094826</v>
      </c>
      <c r="R4" s="1">
        <f>Q4/P4</f>
        <v>0.998730503590342</v>
      </c>
      <c r="S4" s="3">
        <f>L4/M4</f>
        <v>0.38600423335891</v>
      </c>
    </row>
    <row r="5" customHeight="1" spans="1:19">
      <c r="A5" s="2">
        <v>0.00406285</v>
      </c>
      <c r="B5" s="2">
        <v>152224000</v>
      </c>
      <c r="D5" s="2">
        <v>0.00405299</v>
      </c>
      <c r="E5" s="2">
        <v>189427000</v>
      </c>
      <c r="G5" s="2">
        <v>0.00401574</v>
      </c>
      <c r="H5" s="2">
        <v>173672000</v>
      </c>
      <c r="J5" s="1" t="s">
        <v>28</v>
      </c>
      <c r="K5" s="1">
        <f>AVERAGE(H27:H31)/1000000</f>
        <v>146.9014</v>
      </c>
      <c r="L5" s="19">
        <f>AVERAGE('400K_SR100'!AL28:AL32)</f>
        <v>39632140000000</v>
      </c>
      <c r="M5" s="19">
        <f>AVERAGE('400K_SR100'!AC28:AC32)</f>
        <v>172208400000000</v>
      </c>
      <c r="N5" s="3">
        <f>Graphs!$B$1*80.9*0.248*SQRT(L5)/1000000</f>
        <v>41.0494483457422</v>
      </c>
      <c r="O5" s="3">
        <f>Graphs!$B$2*80.9*0.248*SQRT(M5)/1000000</f>
        <v>13.1642879295539</v>
      </c>
      <c r="P5" s="1">
        <f>SQRT(N5^2+O5^2)</f>
        <v>43.1086497837958</v>
      </c>
      <c r="Q5" s="1">
        <f>K5*0.4707</f>
        <v>69.14648898</v>
      </c>
      <c r="R5" s="1">
        <f>Q5/P5</f>
        <v>1.60400498106047</v>
      </c>
      <c r="S5" s="3">
        <f>L5/M5</f>
        <v>0.230140573862831</v>
      </c>
    </row>
    <row r="6" customHeight="1" spans="1:8">
      <c r="A6" s="2">
        <v>0.00491866</v>
      </c>
      <c r="B6" s="2">
        <v>150657000</v>
      </c>
      <c r="D6" s="2">
        <v>0.00499286</v>
      </c>
      <c r="E6" s="2">
        <v>191513000</v>
      </c>
      <c r="G6" s="2">
        <v>0.00498702</v>
      </c>
      <c r="H6" s="2">
        <v>179048000</v>
      </c>
    </row>
    <row r="7" customHeight="1" spans="1:8">
      <c r="A7" s="2">
        <v>0.00588823</v>
      </c>
      <c r="B7" s="2">
        <v>152861000</v>
      </c>
      <c r="D7" s="2">
        <v>0.00596458</v>
      </c>
      <c r="E7" s="2">
        <v>188496000</v>
      </c>
      <c r="G7" s="2">
        <v>0.00606104</v>
      </c>
      <c r="H7" s="2">
        <v>166694000</v>
      </c>
    </row>
    <row r="8" customHeight="1" spans="1:8">
      <c r="A8" s="2">
        <v>0.00700253</v>
      </c>
      <c r="B8" s="2">
        <v>148531000</v>
      </c>
      <c r="D8" s="2">
        <v>0.00703084</v>
      </c>
      <c r="E8" s="2">
        <v>182395000</v>
      </c>
      <c r="G8" s="2">
        <v>0.00705237</v>
      </c>
      <c r="H8" s="2">
        <v>171296000</v>
      </c>
    </row>
    <row r="9" customHeight="1" spans="1:8">
      <c r="A9" s="2">
        <v>0.00808125</v>
      </c>
      <c r="B9" s="2">
        <v>157635000</v>
      </c>
      <c r="D9" s="2">
        <v>0.00797811</v>
      </c>
      <c r="E9" s="2">
        <v>177427000</v>
      </c>
      <c r="G9" s="2">
        <v>0.00808073</v>
      </c>
      <c r="H9" s="2">
        <v>171607000</v>
      </c>
    </row>
    <row r="10" customHeight="1" spans="1:8">
      <c r="A10" s="2">
        <v>0.00900344</v>
      </c>
      <c r="B10" s="2">
        <v>157475000</v>
      </c>
      <c r="D10" s="2">
        <v>0.00899288</v>
      </c>
      <c r="E10" s="2">
        <v>184501000</v>
      </c>
      <c r="G10" s="2">
        <v>0.00908066</v>
      </c>
      <c r="H10" s="2">
        <v>163539000</v>
      </c>
    </row>
    <row r="11" customHeight="1" spans="1:8">
      <c r="A11" s="2">
        <v>0.00983994</v>
      </c>
      <c r="B11" s="2">
        <v>159633000</v>
      </c>
      <c r="D11" s="2">
        <v>0.0099876</v>
      </c>
      <c r="E11" s="2">
        <v>183676000</v>
      </c>
      <c r="G11" s="2">
        <v>0.0100073</v>
      </c>
      <c r="H11" s="2">
        <v>165636000</v>
      </c>
    </row>
    <row r="12" customHeight="1" spans="1:8">
      <c r="A12" s="2">
        <v>0.0109546</v>
      </c>
      <c r="B12" s="2">
        <v>158334000</v>
      </c>
      <c r="D12" s="2">
        <v>0.0109844</v>
      </c>
      <c r="E12" s="2">
        <v>183431000</v>
      </c>
      <c r="G12" s="2">
        <v>0.0110286</v>
      </c>
      <c r="H12" s="2">
        <v>164523000</v>
      </c>
    </row>
    <row r="13" customHeight="1" spans="1:8">
      <c r="A13" s="2">
        <v>0.0120175</v>
      </c>
      <c r="B13" s="2">
        <v>148019000</v>
      </c>
      <c r="D13" s="2">
        <v>0.0119833</v>
      </c>
      <c r="E13" s="2">
        <v>177833000</v>
      </c>
      <c r="G13" s="2">
        <v>0.0120155</v>
      </c>
      <c r="H13" s="2">
        <v>163538000</v>
      </c>
    </row>
    <row r="14" customHeight="1" spans="1:8">
      <c r="A14" s="2">
        <v>0.0130162</v>
      </c>
      <c r="B14" s="2">
        <v>138985000</v>
      </c>
      <c r="D14" s="2">
        <v>0.0130141</v>
      </c>
      <c r="E14" s="2">
        <v>175879000</v>
      </c>
      <c r="G14" s="2">
        <v>0.0129099</v>
      </c>
      <c r="H14" s="2">
        <v>170562000</v>
      </c>
    </row>
    <row r="15" customHeight="1" spans="1:19">
      <c r="A15" s="2">
        <v>0.014014</v>
      </c>
      <c r="B15" s="2">
        <v>143794000</v>
      </c>
      <c r="D15" s="2">
        <v>0.0139991</v>
      </c>
      <c r="E15" s="2">
        <v>172847000</v>
      </c>
      <c r="G15" s="2">
        <v>0.0139741</v>
      </c>
      <c r="H15" s="2">
        <v>168225000</v>
      </c>
      <c r="J15" s="17" t="s">
        <v>23</v>
      </c>
      <c r="K15" s="17"/>
      <c r="L15" s="17"/>
      <c r="M15" s="17"/>
      <c r="N15" s="17"/>
      <c r="O15" s="17"/>
      <c r="P15" s="17"/>
      <c r="Q15" s="17"/>
      <c r="R15" s="17"/>
      <c r="S15" s="17"/>
    </row>
    <row r="16" customHeight="1" spans="1:19">
      <c r="A16" s="2">
        <v>0.015016</v>
      </c>
      <c r="B16" s="2">
        <v>150247000</v>
      </c>
      <c r="D16" s="2">
        <v>0.0149295</v>
      </c>
      <c r="E16" s="2">
        <v>193458000</v>
      </c>
      <c r="G16" s="2">
        <v>0.0150037</v>
      </c>
      <c r="H16" s="2">
        <v>152920000</v>
      </c>
      <c r="J16" s="1" t="s">
        <v>26</v>
      </c>
      <c r="K16" s="1">
        <f>AVERAGE(B12:B16)/1000000</f>
        <v>147.8758</v>
      </c>
      <c r="L16" s="19">
        <f>AVERAGE('400K_SR100'!L12:L16)</f>
        <v>18017560000000</v>
      </c>
      <c r="M16" s="19">
        <f>AVERAGE('400K_SR100'!C12:C16)</f>
        <v>128001000000000</v>
      </c>
      <c r="N16" s="3">
        <f>Graphs!$B$1*80.9*0.248*SQRT(L16)/1000000</f>
        <v>27.6777990513772</v>
      </c>
      <c r="O16" s="3">
        <f>Graphs!$B$2*80.9*0.248*SQRT(M16)/1000000</f>
        <v>11.3495041515824</v>
      </c>
      <c r="P16" s="1">
        <f>SQRT(N16^2+O16^2)</f>
        <v>29.9144079803563</v>
      </c>
      <c r="Q16" s="1">
        <f>K16*0.4707</f>
        <v>69.60513906</v>
      </c>
      <c r="R16" s="1">
        <f>Q16/P16</f>
        <v>2.32680984713812</v>
      </c>
      <c r="S16" s="3">
        <f>L16/M16</f>
        <v>0.140761087804002</v>
      </c>
    </row>
    <row r="17" customHeight="1" spans="1:19">
      <c r="A17" s="2">
        <v>0.0160033</v>
      </c>
      <c r="B17" s="2">
        <v>146068000</v>
      </c>
      <c r="D17" s="2">
        <v>0.0160176</v>
      </c>
      <c r="E17" s="2">
        <v>183819000</v>
      </c>
      <c r="G17" s="2">
        <v>0.0160084</v>
      </c>
      <c r="H17" s="2">
        <v>168054000</v>
      </c>
      <c r="J17" s="1" t="s">
        <v>27</v>
      </c>
      <c r="K17" s="1">
        <f>AVERAGE(E12:E16)/1000000</f>
        <v>180.6896</v>
      </c>
      <c r="L17" s="19">
        <f>AVERAGE('400K_SR100'!Y12:Y16)</f>
        <v>27495040000000</v>
      </c>
      <c r="M17" s="19">
        <f>AVERAGE('400K_SR100'!P12:P16)</f>
        <v>134356400000000</v>
      </c>
      <c r="N17" s="3">
        <f>Graphs!$B$1*80.9*0.248*SQRT(L17)/1000000</f>
        <v>34.1909164180666</v>
      </c>
      <c r="O17" s="3">
        <f>Graphs!$B$2*80.9*0.248*SQRT(M17)/1000000</f>
        <v>11.6278490735504</v>
      </c>
      <c r="P17" s="1">
        <f>SQRT(N17^2+O17^2)</f>
        <v>36.1140642905847</v>
      </c>
      <c r="Q17" s="1">
        <f>K17*0.4707</f>
        <v>85.05059472</v>
      </c>
      <c r="R17" s="1">
        <f>Q17/P17</f>
        <v>2.35505464119621</v>
      </c>
      <c r="S17" s="3">
        <f>L17/M17</f>
        <v>0.204642577502821</v>
      </c>
    </row>
    <row r="18" customHeight="1" spans="1:19">
      <c r="A18" s="2">
        <v>0.0169705</v>
      </c>
      <c r="B18" s="2">
        <v>141798000</v>
      </c>
      <c r="D18" s="2">
        <v>0.0169467</v>
      </c>
      <c r="E18" s="2">
        <v>206434000</v>
      </c>
      <c r="G18" s="2">
        <v>0.0169991</v>
      </c>
      <c r="H18" s="2">
        <v>165813000</v>
      </c>
      <c r="J18" s="1" t="s">
        <v>28</v>
      </c>
      <c r="K18" s="1">
        <f>AVERAGE(H12:H16)/1000000</f>
        <v>163.9536</v>
      </c>
      <c r="L18" s="19">
        <f>AVERAGE('400K_SR100'!AL12:AL16)</f>
        <v>18663160000000</v>
      </c>
      <c r="M18" s="19">
        <f>AVERAGE('400K_SR100'!AC12:AC16)</f>
        <v>130183200000000</v>
      </c>
      <c r="N18" s="3">
        <f>Graphs!$B$1*80.9*0.248*SQRT(L18)/1000000</f>
        <v>28.1693063601792</v>
      </c>
      <c r="O18" s="3">
        <f>Graphs!$B$2*80.9*0.248*SQRT(M18)/1000000</f>
        <v>11.4458401955192</v>
      </c>
      <c r="P18" s="1">
        <f>SQRT(N18^2+O18^2)</f>
        <v>30.4058724360114</v>
      </c>
      <c r="Q18" s="1">
        <f>K18*0.4707</f>
        <v>77.17295952</v>
      </c>
      <c r="R18" s="1">
        <f>Q18/P18</f>
        <v>2.53809390545886</v>
      </c>
      <c r="S18" s="3">
        <f>L18/M18</f>
        <v>0.143360740863644</v>
      </c>
    </row>
    <row r="19" customHeight="1" spans="1:19">
      <c r="A19" s="2">
        <v>0.017963</v>
      </c>
      <c r="B19" s="2">
        <v>140701000</v>
      </c>
      <c r="D19" s="2">
        <v>0.0179997</v>
      </c>
      <c r="E19" s="2">
        <v>201263000</v>
      </c>
      <c r="G19" s="2">
        <v>0.017996</v>
      </c>
      <c r="H19" s="2">
        <v>177351000</v>
      </c>
      <c r="K19" s="1"/>
      <c r="L19" s="19"/>
      <c r="M19" s="19"/>
      <c r="N19" s="3"/>
      <c r="O19" s="3"/>
      <c r="P19" s="1"/>
      <c r="Q19" s="1"/>
      <c r="R19" s="1"/>
      <c r="S19" s="3"/>
    </row>
    <row r="20" customHeight="1" spans="1:8">
      <c r="A20" s="2">
        <v>0.0190256</v>
      </c>
      <c r="B20" s="2">
        <v>139286000</v>
      </c>
      <c r="D20" s="2">
        <v>0.0190322</v>
      </c>
      <c r="E20" s="2">
        <v>178870000</v>
      </c>
      <c r="G20" s="2">
        <v>0.0189916</v>
      </c>
      <c r="H20" s="2">
        <v>173024000</v>
      </c>
    </row>
    <row r="21" customHeight="1" spans="1:8">
      <c r="A21" s="2">
        <v>0.0199899</v>
      </c>
      <c r="B21" s="2">
        <v>144587000</v>
      </c>
      <c r="D21" s="2">
        <v>0.0199931</v>
      </c>
      <c r="E21" s="2">
        <v>178253000</v>
      </c>
      <c r="G21" s="2">
        <v>0.0199893</v>
      </c>
      <c r="H21" s="2">
        <v>177340000</v>
      </c>
    </row>
    <row r="22" customHeight="1" spans="1:8">
      <c r="A22" s="2">
        <v>0.0210189</v>
      </c>
      <c r="B22" s="2">
        <v>136511000</v>
      </c>
      <c r="D22" s="2">
        <v>0.0209919</v>
      </c>
      <c r="E22" s="2">
        <v>179369000</v>
      </c>
      <c r="G22" s="2">
        <v>0.0210129</v>
      </c>
      <c r="H22" s="2">
        <v>177153000</v>
      </c>
    </row>
    <row r="23" customHeight="1" spans="1:8">
      <c r="A23" s="2">
        <v>0.0220262</v>
      </c>
      <c r="B23" s="2">
        <v>141857000</v>
      </c>
      <c r="D23" s="2">
        <v>0.0220331</v>
      </c>
      <c r="E23" s="2">
        <v>168658000</v>
      </c>
      <c r="G23" s="2">
        <v>0.0220072</v>
      </c>
      <c r="H23" s="2">
        <v>179877000</v>
      </c>
    </row>
    <row r="24" customHeight="1" spans="1:8">
      <c r="A24" s="2">
        <v>0.0230102</v>
      </c>
      <c r="B24" s="2">
        <v>141320000</v>
      </c>
      <c r="D24" s="2">
        <v>0.0229667</v>
      </c>
      <c r="E24" s="2">
        <v>159993000</v>
      </c>
      <c r="G24" s="2">
        <v>0.0229843</v>
      </c>
      <c r="H24" s="2">
        <v>180974000</v>
      </c>
    </row>
    <row r="25" customHeight="1" spans="1:8">
      <c r="A25" s="2">
        <v>0.0239974</v>
      </c>
      <c r="B25" s="2">
        <v>145505000</v>
      </c>
      <c r="D25" s="2">
        <v>0.0239774</v>
      </c>
      <c r="E25" s="2">
        <v>155129000</v>
      </c>
      <c r="G25" s="2">
        <v>0.0240046</v>
      </c>
      <c r="H25" s="2">
        <v>177700000</v>
      </c>
    </row>
    <row r="26" customHeight="1" spans="1:8">
      <c r="A26" s="2">
        <v>0.0248874</v>
      </c>
      <c r="B26" s="2">
        <v>143613000</v>
      </c>
      <c r="D26" s="2">
        <v>0.0250117</v>
      </c>
      <c r="E26" s="2">
        <v>138106000</v>
      </c>
      <c r="G26" s="2">
        <v>0.0250748</v>
      </c>
      <c r="H26" s="2">
        <v>162146000</v>
      </c>
    </row>
    <row r="27" customHeight="1" spans="1:8">
      <c r="A27" s="2">
        <v>0.0259781</v>
      </c>
      <c r="B27" s="2">
        <v>139523000</v>
      </c>
      <c r="D27" s="2">
        <v>0.0259907</v>
      </c>
      <c r="E27" s="2">
        <v>125283000</v>
      </c>
      <c r="G27" s="2">
        <v>0.0259812</v>
      </c>
      <c r="H27" s="2">
        <v>159914000</v>
      </c>
    </row>
    <row r="28" customHeight="1" spans="1:8">
      <c r="A28" s="2">
        <v>0.0270155</v>
      </c>
      <c r="B28" s="2">
        <v>131931000</v>
      </c>
      <c r="D28" s="2">
        <v>0.0269809</v>
      </c>
      <c r="E28" s="2">
        <v>115659000</v>
      </c>
      <c r="G28" s="2">
        <v>0.0269566</v>
      </c>
      <c r="H28" s="2">
        <v>161260000</v>
      </c>
    </row>
    <row r="29" customHeight="1" spans="1:8">
      <c r="A29" s="2">
        <v>0.0279952</v>
      </c>
      <c r="B29" s="2">
        <v>133028000</v>
      </c>
      <c r="D29" s="2">
        <v>0.0281636</v>
      </c>
      <c r="E29" s="2">
        <v>103274000</v>
      </c>
      <c r="G29" s="2">
        <v>0.0279655</v>
      </c>
      <c r="H29" s="2">
        <v>147524000</v>
      </c>
    </row>
    <row r="30" customHeight="1" spans="1:8">
      <c r="A30" s="2">
        <v>0.0290926</v>
      </c>
      <c r="B30" s="2">
        <v>135754000</v>
      </c>
      <c r="D30" s="2">
        <v>0.0289706</v>
      </c>
      <c r="E30" s="2">
        <v>96426500</v>
      </c>
      <c r="G30" s="2">
        <v>0.0289957</v>
      </c>
      <c r="H30" s="2">
        <v>140054000</v>
      </c>
    </row>
    <row r="31" customHeight="1" spans="1:8">
      <c r="A31" s="2">
        <v>0.0299866</v>
      </c>
      <c r="B31" s="2">
        <v>132312000</v>
      </c>
      <c r="D31" s="2">
        <v>0.0299872</v>
      </c>
      <c r="E31" s="2">
        <v>89842300</v>
      </c>
      <c r="G31" s="2">
        <v>0.0299948</v>
      </c>
      <c r="H31" s="2">
        <v>125755000</v>
      </c>
    </row>
    <row r="32" customHeight="1" spans="1:8">
      <c r="A32" s="2">
        <v>0.0310285</v>
      </c>
      <c r="B32" s="2">
        <v>132349000</v>
      </c>
      <c r="D32" s="2">
        <v>0.0310075</v>
      </c>
      <c r="E32" s="2">
        <v>84823400</v>
      </c>
      <c r="G32" s="2">
        <v>0.0310206</v>
      </c>
      <c r="H32" s="2">
        <v>112929000</v>
      </c>
    </row>
    <row r="33" customHeight="1" spans="1:8">
      <c r="A33" s="2">
        <v>0.0318894</v>
      </c>
      <c r="B33" s="2">
        <v>132765000</v>
      </c>
      <c r="D33" s="2">
        <v>0.0320211</v>
      </c>
      <c r="E33" s="2">
        <v>80287700</v>
      </c>
      <c r="G33" s="2">
        <v>0.0319805</v>
      </c>
      <c r="H33" s="2">
        <v>102075000</v>
      </c>
    </row>
    <row r="34" customHeight="1" spans="1:8">
      <c r="A34" s="2">
        <v>0.0329781</v>
      </c>
      <c r="B34" s="2">
        <v>126901000</v>
      </c>
      <c r="D34" s="2">
        <v>0.0330056</v>
      </c>
      <c r="E34" s="2">
        <v>75223100</v>
      </c>
      <c r="G34" s="2">
        <v>0.0329864</v>
      </c>
      <c r="H34" s="2">
        <v>93792000</v>
      </c>
    </row>
    <row r="35" customHeight="1" spans="1:8">
      <c r="A35" s="2">
        <v>0.0340371</v>
      </c>
      <c r="B35" s="2">
        <v>122021000</v>
      </c>
      <c r="D35" s="2">
        <v>0.0339336</v>
      </c>
      <c r="E35" s="2">
        <v>72612900</v>
      </c>
      <c r="G35" s="2">
        <v>0.0339954</v>
      </c>
      <c r="H35" s="2">
        <v>86564400</v>
      </c>
    </row>
    <row r="36" customHeight="1" spans="1:8">
      <c r="A36" s="2">
        <v>0.0349071</v>
      </c>
      <c r="B36" s="2">
        <v>120486000</v>
      </c>
      <c r="D36" s="2">
        <v>0.0349799</v>
      </c>
      <c r="E36" s="2">
        <v>67636900</v>
      </c>
      <c r="G36" s="2">
        <v>0.0350567</v>
      </c>
      <c r="H36" s="2">
        <v>79662700</v>
      </c>
    </row>
    <row r="37" customHeight="1" spans="1:8">
      <c r="A37" s="2">
        <v>0.0359954</v>
      </c>
      <c r="B37" s="2">
        <v>123107000</v>
      </c>
      <c r="D37" s="2">
        <v>0.0359858</v>
      </c>
      <c r="E37" s="2">
        <v>64497600</v>
      </c>
      <c r="G37" s="2">
        <v>0.0359689</v>
      </c>
      <c r="H37" s="2">
        <v>74547100</v>
      </c>
    </row>
    <row r="38" customHeight="1" spans="1:8">
      <c r="A38" s="2">
        <v>0.0370021</v>
      </c>
      <c r="B38" s="2">
        <v>118842000</v>
      </c>
      <c r="D38" s="2">
        <v>0.0370156</v>
      </c>
      <c r="E38" s="2">
        <v>63104800</v>
      </c>
      <c r="G38" s="2">
        <v>0.0369815</v>
      </c>
      <c r="H38" s="2">
        <v>68954500</v>
      </c>
    </row>
    <row r="39" customHeight="1" spans="1:8">
      <c r="A39" s="2">
        <v>0.0379667</v>
      </c>
      <c r="B39" s="2">
        <v>120527000</v>
      </c>
      <c r="D39" s="2">
        <v>0.0379832</v>
      </c>
      <c r="E39" s="2">
        <v>61166700</v>
      </c>
      <c r="G39" s="2">
        <v>0.0380006</v>
      </c>
      <c r="H39" s="2">
        <v>66630100</v>
      </c>
    </row>
    <row r="40" customHeight="1" spans="1:8">
      <c r="A40" s="2">
        <v>0.0390098</v>
      </c>
      <c r="B40" s="2">
        <v>110621000</v>
      </c>
      <c r="D40" s="2">
        <v>0.0389982</v>
      </c>
      <c r="E40" s="2">
        <v>59172300</v>
      </c>
      <c r="G40" s="2">
        <v>0.0389922</v>
      </c>
      <c r="H40" s="2">
        <v>62633700</v>
      </c>
    </row>
    <row r="41" customHeight="1" spans="1:8">
      <c r="A41" s="2">
        <v>0.040006</v>
      </c>
      <c r="B41" s="2">
        <v>102154000</v>
      </c>
      <c r="D41" s="2">
        <v>0.0400317</v>
      </c>
      <c r="E41" s="2">
        <v>56925300</v>
      </c>
      <c r="G41" s="2">
        <v>0.0399882</v>
      </c>
      <c r="H41" s="2">
        <v>59181000</v>
      </c>
    </row>
    <row r="42" customHeight="1" spans="1:8">
      <c r="A42" s="2">
        <v>0.0409747</v>
      </c>
      <c r="B42" s="2">
        <v>97724800</v>
      </c>
      <c r="D42" s="2">
        <v>0.0410036</v>
      </c>
      <c r="E42" s="2">
        <v>55122200</v>
      </c>
      <c r="G42" s="2">
        <v>0.0409985</v>
      </c>
      <c r="H42" s="2">
        <v>57589400</v>
      </c>
    </row>
    <row r="43" customHeight="1" spans="1:8">
      <c r="A43" s="2">
        <v>0.0420212</v>
      </c>
      <c r="B43" s="2">
        <v>97546100</v>
      </c>
      <c r="D43" s="2">
        <v>0.0419811</v>
      </c>
      <c r="E43" s="2">
        <v>52726300</v>
      </c>
      <c r="G43" s="2">
        <v>0.0420185</v>
      </c>
      <c r="H43" s="2">
        <v>54539000</v>
      </c>
    </row>
    <row r="44" customHeight="1" spans="1:8">
      <c r="A44" s="2">
        <v>0.0429143</v>
      </c>
      <c r="B44" s="2">
        <v>91560200</v>
      </c>
      <c r="D44" s="2">
        <v>0.0429805</v>
      </c>
      <c r="E44" s="2">
        <v>51406600</v>
      </c>
      <c r="G44" s="2">
        <v>0.0429729</v>
      </c>
      <c r="H44" s="2">
        <v>54421000</v>
      </c>
    </row>
    <row r="45" customHeight="1" spans="1:8">
      <c r="A45" s="2">
        <v>0.0440009</v>
      </c>
      <c r="B45" s="2">
        <v>88212600</v>
      </c>
      <c r="D45" s="2">
        <v>0.0440313</v>
      </c>
      <c r="E45" s="2">
        <v>49362000</v>
      </c>
      <c r="G45" s="2">
        <v>0.0440452</v>
      </c>
      <c r="H45" s="2">
        <v>51515200</v>
      </c>
    </row>
    <row r="46" customHeight="1" spans="1:8">
      <c r="A46" s="2">
        <v>0.0450019</v>
      </c>
      <c r="B46" s="2">
        <v>91367900</v>
      </c>
      <c r="D46" s="2">
        <v>0.0450174</v>
      </c>
      <c r="E46" s="2">
        <v>47961100</v>
      </c>
      <c r="G46" s="2">
        <v>0.0450626</v>
      </c>
      <c r="H46" s="2">
        <v>51207100</v>
      </c>
    </row>
    <row r="47" customHeight="1" spans="1:8">
      <c r="A47" s="2">
        <v>0.0460726</v>
      </c>
      <c r="B47" s="2">
        <v>87985000</v>
      </c>
      <c r="D47" s="2">
        <v>0.0458763</v>
      </c>
      <c r="E47" s="2">
        <v>46581200</v>
      </c>
      <c r="G47" s="2">
        <v>0.0459514</v>
      </c>
      <c r="H47" s="2">
        <v>48987100</v>
      </c>
    </row>
    <row r="48" customHeight="1" spans="1:8">
      <c r="A48" s="2">
        <v>0.0469727</v>
      </c>
      <c r="B48" s="2">
        <v>82759600</v>
      </c>
      <c r="G48" s="2">
        <v>0.0470057</v>
      </c>
      <c r="H48" s="2">
        <v>49622700</v>
      </c>
    </row>
    <row r="49" customHeight="1" spans="1:8">
      <c r="A49" s="2">
        <v>0.0479596</v>
      </c>
      <c r="B49" s="2">
        <v>81393400</v>
      </c>
      <c r="G49" s="2">
        <v>0.0480148</v>
      </c>
      <c r="H49" s="2">
        <v>46195800</v>
      </c>
    </row>
    <row r="50" customHeight="1" spans="1:8">
      <c r="A50" s="2">
        <v>0.0489212</v>
      </c>
      <c r="B50" s="2">
        <v>82852400</v>
      </c>
      <c r="G50" s="2">
        <v>0.0489706</v>
      </c>
      <c r="H50" s="2">
        <v>47272000</v>
      </c>
    </row>
    <row r="51" customHeight="1" spans="1:8">
      <c r="A51" s="2">
        <v>0.0499793</v>
      </c>
      <c r="B51" s="2">
        <v>82325900</v>
      </c>
      <c r="G51" s="2">
        <v>0.0499974</v>
      </c>
      <c r="H51" s="2">
        <v>46928000</v>
      </c>
    </row>
    <row r="52" customHeight="1" spans="1:2">
      <c r="A52" s="2">
        <v>0.0510426</v>
      </c>
      <c r="B52" s="2">
        <v>84656400</v>
      </c>
    </row>
    <row r="53" customHeight="1" spans="1:2">
      <c r="A53" s="2">
        <v>0.0520212</v>
      </c>
      <c r="B53" s="2">
        <v>86988100</v>
      </c>
    </row>
    <row r="54" customHeight="1" spans="1:2">
      <c r="A54" s="2">
        <v>0.0529936</v>
      </c>
      <c r="B54" s="2">
        <v>87179600</v>
      </c>
    </row>
    <row r="55" customHeight="1" spans="1:2">
      <c r="A55" s="2">
        <v>0.0540112</v>
      </c>
      <c r="B55" s="2">
        <v>85878100</v>
      </c>
    </row>
    <row r="56" customHeight="1" spans="1:2">
      <c r="A56" s="2">
        <v>0.0549946</v>
      </c>
      <c r="B56" s="2">
        <v>85071300</v>
      </c>
    </row>
    <row r="57" customHeight="1" spans="1:2">
      <c r="A57" s="2"/>
      <c r="B57" s="2"/>
    </row>
  </sheetData>
  <mergeCells count="5">
    <mergeCell ref="A1:B1"/>
    <mergeCell ref="D1:E1"/>
    <mergeCell ref="G1:H1"/>
    <mergeCell ref="J1:K1"/>
    <mergeCell ref="J15:S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7"/>
  <sheetViews>
    <sheetView workbookViewId="0">
      <selection activeCell="AA2" sqref="AA2"/>
    </sheetView>
  </sheetViews>
  <sheetFormatPr defaultColWidth="9.00740740740741" defaultRowHeight="15" customHeight="1"/>
  <sheetData>
    <row r="1" customHeight="1" spans="1:46">
      <c r="A1" s="17" t="s">
        <v>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N1" s="17" t="s">
        <v>2</v>
      </c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AA1" s="17" t="s">
        <v>24</v>
      </c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N1" s="18" t="s">
        <v>4</v>
      </c>
      <c r="AO1" s="18" t="s">
        <v>5</v>
      </c>
      <c r="AP1" s="18" t="s">
        <v>6</v>
      </c>
      <c r="AQ1" s="18" t="s">
        <v>7</v>
      </c>
      <c r="AR1" s="1" t="s">
        <v>8</v>
      </c>
      <c r="AS1" s="1" t="s">
        <v>9</v>
      </c>
      <c r="AT1" s="1" t="s">
        <v>10</v>
      </c>
    </row>
    <row r="2" customHeight="1" spans="1:46">
      <c r="A2" s="2">
        <v>0.00100305</v>
      </c>
      <c r="B2" s="2">
        <v>0.00163748</v>
      </c>
      <c r="C2" s="2">
        <v>127629000000000</v>
      </c>
      <c r="D2" s="2">
        <v>8499870000</v>
      </c>
      <c r="E2" s="2">
        <v>0</v>
      </c>
      <c r="F2" s="2">
        <v>0</v>
      </c>
      <c r="G2" s="2">
        <v>2</v>
      </c>
      <c r="H2" s="2">
        <v>30492100000000</v>
      </c>
      <c r="I2" s="2">
        <v>30102000000000</v>
      </c>
      <c r="J2" s="2">
        <v>29643300000000</v>
      </c>
      <c r="K2" s="2">
        <v>29842100000000</v>
      </c>
      <c r="L2" s="2">
        <v>7549640000000</v>
      </c>
      <c r="N2" s="2">
        <v>0.00096455</v>
      </c>
      <c r="O2" s="2">
        <v>0.0016368</v>
      </c>
      <c r="P2" s="2">
        <v>127824000000000</v>
      </c>
      <c r="Q2" s="2">
        <v>22194400000</v>
      </c>
      <c r="R2" s="2">
        <v>0</v>
      </c>
      <c r="S2" s="2">
        <v>0</v>
      </c>
      <c r="T2" s="2">
        <v>2</v>
      </c>
      <c r="U2" s="2">
        <v>29941100000000</v>
      </c>
      <c r="V2" s="2">
        <v>29694800000000</v>
      </c>
      <c r="W2" s="2">
        <v>29994600000000</v>
      </c>
      <c r="X2" s="2">
        <v>29531300000000</v>
      </c>
      <c r="Y2" s="2">
        <v>8662350000000</v>
      </c>
      <c r="AA2" s="2">
        <v>0.00100922</v>
      </c>
      <c r="AB2" s="2">
        <v>0.00170064</v>
      </c>
      <c r="AC2" s="2">
        <v>128466000000000</v>
      </c>
      <c r="AD2" s="2">
        <v>8021510000</v>
      </c>
      <c r="AE2" s="2">
        <v>0</v>
      </c>
      <c r="AF2" s="2">
        <v>0</v>
      </c>
      <c r="AG2" s="2">
        <v>2</v>
      </c>
      <c r="AH2" s="2">
        <v>30153800000000</v>
      </c>
      <c r="AI2" s="2">
        <v>30085700000000</v>
      </c>
      <c r="AJ2" s="2">
        <v>30148700000000</v>
      </c>
      <c r="AK2" s="2">
        <v>29875900000000</v>
      </c>
      <c r="AL2" s="2">
        <v>8201610000000</v>
      </c>
      <c r="AN2" s="2">
        <f t="shared" ref="AN2:AN31" si="0">A2</f>
        <v>0.00100305</v>
      </c>
      <c r="AO2" s="2">
        <f t="shared" ref="AO2:AO31" si="1">(C2+P2+AC2)/3</f>
        <v>127973000000000</v>
      </c>
      <c r="AP2" s="2">
        <f t="shared" ref="AP2:AP31" si="2">MIN(C2,P2,AC2)</f>
        <v>127629000000000</v>
      </c>
      <c r="AQ2" s="2">
        <f t="shared" ref="AQ2:AQ31" si="3">MAX(C2,P2,AC2)</f>
        <v>128466000000000</v>
      </c>
      <c r="AR2" s="2">
        <f t="shared" ref="AR2:AR31" si="4">(L2+Y2+AL2)/3</f>
        <v>8137866666666.67</v>
      </c>
      <c r="AS2" s="2">
        <f t="shared" ref="AS2:AS31" si="5">MIN(L2,Y2,AL2)</f>
        <v>7549640000000</v>
      </c>
      <c r="AT2" s="2">
        <f t="shared" ref="AT2:AT31" si="6">MAX(L2,Y2,AL2)</f>
        <v>8662350000000</v>
      </c>
    </row>
    <row r="3" customHeight="1" spans="1:46">
      <c r="A3" s="2">
        <v>0.00195105</v>
      </c>
      <c r="B3" s="2">
        <v>0.00267269</v>
      </c>
      <c r="C3" s="2">
        <v>128639000000000</v>
      </c>
      <c r="D3" s="2">
        <v>44111500000</v>
      </c>
      <c r="E3" s="2">
        <v>0</v>
      </c>
      <c r="F3" s="2">
        <v>0</v>
      </c>
      <c r="G3" s="2">
        <v>2</v>
      </c>
      <c r="H3" s="2">
        <v>29661300000000</v>
      </c>
      <c r="I3" s="2">
        <v>29281200000000</v>
      </c>
      <c r="J3" s="2">
        <v>29318300000000</v>
      </c>
      <c r="K3" s="2">
        <v>28976300000000</v>
      </c>
      <c r="L3" s="2">
        <v>11402100000000</v>
      </c>
      <c r="N3" s="2">
        <v>0.00198499</v>
      </c>
      <c r="O3" s="2">
        <v>0.00274677</v>
      </c>
      <c r="P3" s="2">
        <v>129130000000000</v>
      </c>
      <c r="Q3" s="2">
        <v>17786500000</v>
      </c>
      <c r="R3" s="2">
        <v>0</v>
      </c>
      <c r="S3" s="2">
        <v>0</v>
      </c>
      <c r="T3" s="2">
        <v>2</v>
      </c>
      <c r="U3" s="2">
        <v>27945600000000</v>
      </c>
      <c r="V3" s="2">
        <v>28637500000000</v>
      </c>
      <c r="W3" s="2">
        <v>27757000000000</v>
      </c>
      <c r="X3" s="2">
        <v>28040000000000</v>
      </c>
      <c r="Y3" s="2">
        <v>16749800000000</v>
      </c>
      <c r="AA3" s="2">
        <v>0.00200223</v>
      </c>
      <c r="AB3" s="2">
        <v>0.00275202</v>
      </c>
      <c r="AC3" s="2">
        <v>128441000000000</v>
      </c>
      <c r="AD3" s="2">
        <v>23279500000</v>
      </c>
      <c r="AE3" s="2">
        <v>0</v>
      </c>
      <c r="AF3" s="2">
        <v>0</v>
      </c>
      <c r="AG3" s="2">
        <v>2</v>
      </c>
      <c r="AH3" s="2">
        <v>28142900000000</v>
      </c>
      <c r="AI3" s="2">
        <v>28072200000000</v>
      </c>
      <c r="AJ3" s="2">
        <v>28585900000000</v>
      </c>
      <c r="AK3" s="2">
        <v>28289600000000</v>
      </c>
      <c r="AL3" s="2">
        <v>15350800000000</v>
      </c>
      <c r="AN3" s="2">
        <f t="shared" si="0"/>
        <v>0.00195105</v>
      </c>
      <c r="AO3" s="2">
        <f t="shared" si="1"/>
        <v>128736666666667</v>
      </c>
      <c r="AP3" s="2">
        <f t="shared" si="2"/>
        <v>128441000000000</v>
      </c>
      <c r="AQ3" s="2">
        <f t="shared" si="3"/>
        <v>129130000000000</v>
      </c>
      <c r="AR3" s="2">
        <f t="shared" si="4"/>
        <v>14500900000000</v>
      </c>
      <c r="AS3" s="2">
        <f t="shared" si="5"/>
        <v>11402100000000</v>
      </c>
      <c r="AT3" s="2">
        <f t="shared" si="6"/>
        <v>16749800000000</v>
      </c>
    </row>
    <row r="4" customHeight="1" spans="1:46">
      <c r="A4" s="2">
        <v>0.00300435</v>
      </c>
      <c r="B4" s="2">
        <v>0.00370536</v>
      </c>
      <c r="C4" s="2">
        <v>128629000000000</v>
      </c>
      <c r="D4" s="2">
        <v>7714150000</v>
      </c>
      <c r="E4" s="2">
        <v>0</v>
      </c>
      <c r="F4" s="2">
        <v>0</v>
      </c>
      <c r="G4" s="2">
        <v>2</v>
      </c>
      <c r="H4" s="2">
        <v>29047700000000</v>
      </c>
      <c r="I4" s="2">
        <v>28483900000000</v>
      </c>
      <c r="J4" s="2">
        <v>29001800000000</v>
      </c>
      <c r="K4" s="2">
        <v>28465900000000</v>
      </c>
      <c r="L4" s="2">
        <v>13627600000000</v>
      </c>
      <c r="N4" s="2">
        <v>0.00298361</v>
      </c>
      <c r="O4" s="2">
        <v>0.00382865</v>
      </c>
      <c r="P4" s="2">
        <v>129674000000000</v>
      </c>
      <c r="Q4" s="2">
        <v>12891600000</v>
      </c>
      <c r="R4" s="2">
        <v>0</v>
      </c>
      <c r="S4" s="2">
        <v>0</v>
      </c>
      <c r="T4" s="2">
        <v>2</v>
      </c>
      <c r="U4" s="2">
        <v>26564200000000</v>
      </c>
      <c r="V4" s="2">
        <v>27431800000000</v>
      </c>
      <c r="W4" s="2">
        <v>27337400000000</v>
      </c>
      <c r="X4" s="2">
        <v>26905400000000</v>
      </c>
      <c r="Y4" s="2">
        <v>21418300000000</v>
      </c>
      <c r="AA4" s="2">
        <v>0.00299889</v>
      </c>
      <c r="AB4" s="2">
        <v>0.00385225</v>
      </c>
      <c r="AC4" s="2">
        <v>129393000000000</v>
      </c>
      <c r="AD4" s="2">
        <v>63186600000</v>
      </c>
      <c r="AE4" s="2">
        <v>0</v>
      </c>
      <c r="AF4" s="2">
        <v>0</v>
      </c>
      <c r="AG4" s="2">
        <v>2</v>
      </c>
      <c r="AH4" s="2">
        <v>27686900000000</v>
      </c>
      <c r="AI4" s="2">
        <v>27293800000000</v>
      </c>
      <c r="AJ4" s="2">
        <v>27483300000000</v>
      </c>
      <c r="AK4" s="2">
        <v>27910400000000</v>
      </c>
      <c r="AL4" s="2">
        <v>18986000000000</v>
      </c>
      <c r="AN4" s="2">
        <f t="shared" si="0"/>
        <v>0.00300435</v>
      </c>
      <c r="AO4" s="2">
        <f t="shared" si="1"/>
        <v>129232000000000</v>
      </c>
      <c r="AP4" s="2">
        <f t="shared" si="2"/>
        <v>128629000000000</v>
      </c>
      <c r="AQ4" s="2">
        <f t="shared" si="3"/>
        <v>129674000000000</v>
      </c>
      <c r="AR4" s="2">
        <f t="shared" si="4"/>
        <v>18010633333333.3</v>
      </c>
      <c r="AS4" s="2">
        <f t="shared" si="5"/>
        <v>13627600000000</v>
      </c>
      <c r="AT4" s="2">
        <f t="shared" si="6"/>
        <v>21418300000000</v>
      </c>
    </row>
    <row r="5" customHeight="1" spans="1:46">
      <c r="A5" s="2">
        <v>0.00406285</v>
      </c>
      <c r="B5" s="2">
        <v>0.00478823</v>
      </c>
      <c r="C5" s="2">
        <v>128166000000000</v>
      </c>
      <c r="D5" s="2">
        <v>8892800000</v>
      </c>
      <c r="E5" s="2">
        <v>0</v>
      </c>
      <c r="F5" s="2">
        <v>0</v>
      </c>
      <c r="G5" s="2">
        <v>2</v>
      </c>
      <c r="H5" s="2">
        <v>28634400000000</v>
      </c>
      <c r="I5" s="2">
        <v>27704600000000</v>
      </c>
      <c r="J5" s="2">
        <v>28504900000000</v>
      </c>
      <c r="K5" s="2">
        <v>27771900000000</v>
      </c>
      <c r="L5" s="2">
        <v>15549400000000</v>
      </c>
      <c r="N5" s="2">
        <v>0.00405299</v>
      </c>
      <c r="O5" s="2">
        <v>0.00495565</v>
      </c>
      <c r="P5" s="2">
        <v>129396000000000</v>
      </c>
      <c r="Q5" s="2">
        <v>6767290000</v>
      </c>
      <c r="R5" s="2">
        <v>0</v>
      </c>
      <c r="S5" s="2">
        <v>0</v>
      </c>
      <c r="T5" s="2">
        <v>2</v>
      </c>
      <c r="U5" s="2">
        <v>25569800000000</v>
      </c>
      <c r="V5" s="2">
        <v>25660400000000</v>
      </c>
      <c r="W5" s="2">
        <v>26315900000000</v>
      </c>
      <c r="X5" s="2">
        <v>26651200000000</v>
      </c>
      <c r="Y5" s="2">
        <v>25195200000000</v>
      </c>
      <c r="AA5" s="2">
        <v>0.00401574</v>
      </c>
      <c r="AB5" s="2">
        <v>0.00484333</v>
      </c>
      <c r="AC5" s="2">
        <v>129350000000000</v>
      </c>
      <c r="AD5" s="2">
        <v>28444600000</v>
      </c>
      <c r="AE5" s="2">
        <v>0</v>
      </c>
      <c r="AF5" s="2">
        <v>0</v>
      </c>
      <c r="AG5" s="2">
        <v>2</v>
      </c>
      <c r="AH5" s="2">
        <v>27113400000000</v>
      </c>
      <c r="AI5" s="2">
        <v>26680100000000</v>
      </c>
      <c r="AJ5" s="2">
        <v>26700800000000</v>
      </c>
      <c r="AK5" s="2">
        <v>28131300000000</v>
      </c>
      <c r="AL5" s="2">
        <v>20724900000000</v>
      </c>
      <c r="AN5" s="2">
        <f t="shared" si="0"/>
        <v>0.00406285</v>
      </c>
      <c r="AO5" s="2">
        <f t="shared" si="1"/>
        <v>128970666666667</v>
      </c>
      <c r="AP5" s="2">
        <f t="shared" si="2"/>
        <v>128166000000000</v>
      </c>
      <c r="AQ5" s="2">
        <f t="shared" si="3"/>
        <v>129396000000000</v>
      </c>
      <c r="AR5" s="2">
        <f t="shared" si="4"/>
        <v>20489833333333.3</v>
      </c>
      <c r="AS5" s="2">
        <f t="shared" si="5"/>
        <v>15549400000000</v>
      </c>
      <c r="AT5" s="2">
        <f t="shared" si="6"/>
        <v>25195200000000</v>
      </c>
    </row>
    <row r="6" customHeight="1" spans="1:46">
      <c r="A6" s="2">
        <v>0.00491866</v>
      </c>
      <c r="B6" s="2">
        <v>0.00563657</v>
      </c>
      <c r="C6" s="2">
        <v>128204000000000</v>
      </c>
      <c r="D6" s="2">
        <v>32050000000</v>
      </c>
      <c r="E6" s="2">
        <v>0</v>
      </c>
      <c r="F6" s="2">
        <v>0</v>
      </c>
      <c r="G6" s="2">
        <v>2</v>
      </c>
      <c r="H6" s="2">
        <v>28456700000000</v>
      </c>
      <c r="I6" s="2">
        <v>27165200000000</v>
      </c>
      <c r="J6" s="2">
        <v>28315400000000</v>
      </c>
      <c r="K6" s="2">
        <v>27082100000000</v>
      </c>
      <c r="L6" s="2">
        <v>17184900000000</v>
      </c>
      <c r="N6" s="2">
        <v>0.00499286</v>
      </c>
      <c r="O6" s="2">
        <v>0.00590546</v>
      </c>
      <c r="P6" s="2">
        <v>131741000000000</v>
      </c>
      <c r="Q6" s="2">
        <v>13853100000</v>
      </c>
      <c r="R6" s="2">
        <v>0</v>
      </c>
      <c r="S6" s="2">
        <v>0</v>
      </c>
      <c r="T6" s="2">
        <v>2</v>
      </c>
      <c r="U6" s="2">
        <v>26305100000000</v>
      </c>
      <c r="V6" s="2">
        <v>25824200000000</v>
      </c>
      <c r="W6" s="2">
        <v>27228700000000</v>
      </c>
      <c r="X6" s="2">
        <v>26680000000000</v>
      </c>
      <c r="Y6" s="2">
        <v>25701700000000</v>
      </c>
      <c r="AA6" s="2">
        <v>0.00498702</v>
      </c>
      <c r="AB6" s="2">
        <v>0.00584023</v>
      </c>
      <c r="AC6" s="2">
        <v>129659000000000</v>
      </c>
      <c r="AD6" s="2">
        <v>9406510000</v>
      </c>
      <c r="AE6" s="2">
        <v>0</v>
      </c>
      <c r="AF6" s="2">
        <v>0</v>
      </c>
      <c r="AG6" s="2">
        <v>2</v>
      </c>
      <c r="AH6" s="2">
        <v>27893100000000</v>
      </c>
      <c r="AI6" s="2">
        <v>26846300000000</v>
      </c>
      <c r="AJ6" s="2">
        <v>26763100000000</v>
      </c>
      <c r="AK6" s="2">
        <v>27875100000000</v>
      </c>
      <c r="AL6" s="2">
        <v>20278600000000</v>
      </c>
      <c r="AN6" s="2">
        <f t="shared" si="0"/>
        <v>0.00491866</v>
      </c>
      <c r="AO6" s="2">
        <f t="shared" si="1"/>
        <v>129868000000000</v>
      </c>
      <c r="AP6" s="2">
        <f t="shared" si="2"/>
        <v>128204000000000</v>
      </c>
      <c r="AQ6" s="2">
        <f t="shared" si="3"/>
        <v>131741000000000</v>
      </c>
      <c r="AR6" s="2">
        <f t="shared" si="4"/>
        <v>21055066666666.7</v>
      </c>
      <c r="AS6" s="2">
        <f t="shared" si="5"/>
        <v>17184900000000</v>
      </c>
      <c r="AT6" s="2">
        <f t="shared" si="6"/>
        <v>25701700000000</v>
      </c>
    </row>
    <row r="7" customHeight="1" spans="1:46">
      <c r="A7" s="2">
        <v>0.00588823</v>
      </c>
      <c r="B7" s="2">
        <v>0.00661664</v>
      </c>
      <c r="C7" s="2">
        <v>128443000000000</v>
      </c>
      <c r="D7" s="2">
        <v>13647700000</v>
      </c>
      <c r="E7" s="2">
        <v>0</v>
      </c>
      <c r="F7" s="2">
        <v>0</v>
      </c>
      <c r="G7" s="2">
        <v>2</v>
      </c>
      <c r="H7" s="2">
        <v>28131300000000</v>
      </c>
      <c r="I7" s="2">
        <v>27272400000000</v>
      </c>
      <c r="J7" s="2">
        <v>27409500000000</v>
      </c>
      <c r="K7" s="2">
        <v>26986200000000</v>
      </c>
      <c r="L7" s="2">
        <v>18643400000000</v>
      </c>
      <c r="N7" s="2">
        <v>0.00596458</v>
      </c>
      <c r="O7" s="2">
        <v>0.00686281</v>
      </c>
      <c r="P7" s="2">
        <v>132850000000000</v>
      </c>
      <c r="Q7" s="2">
        <v>8569800000</v>
      </c>
      <c r="R7" s="2">
        <v>0</v>
      </c>
      <c r="S7" s="2">
        <v>0</v>
      </c>
      <c r="T7" s="2">
        <v>2</v>
      </c>
      <c r="U7" s="2">
        <v>26566000000000</v>
      </c>
      <c r="V7" s="2">
        <v>25774000000000</v>
      </c>
      <c r="W7" s="2">
        <v>26656300000000</v>
      </c>
      <c r="X7" s="2">
        <v>27550600000000</v>
      </c>
      <c r="Y7" s="2">
        <v>26302500000000</v>
      </c>
      <c r="AA7" s="2">
        <v>0.00606104</v>
      </c>
      <c r="AB7" s="2">
        <v>0.00685537</v>
      </c>
      <c r="AC7" s="2">
        <v>130213000000000</v>
      </c>
      <c r="AD7" s="2">
        <v>14406400000</v>
      </c>
      <c r="AE7" s="2">
        <v>0</v>
      </c>
      <c r="AF7" s="2">
        <v>0</v>
      </c>
      <c r="AG7" s="2">
        <v>2</v>
      </c>
      <c r="AH7" s="2">
        <v>27883100000000</v>
      </c>
      <c r="AI7" s="2">
        <v>27641000000000</v>
      </c>
      <c r="AJ7" s="2">
        <v>26810000000000</v>
      </c>
      <c r="AK7" s="2">
        <v>27761100000000</v>
      </c>
      <c r="AL7" s="2">
        <v>20115700000000</v>
      </c>
      <c r="AN7" s="2">
        <f t="shared" si="0"/>
        <v>0.00588823</v>
      </c>
      <c r="AO7" s="2">
        <f t="shared" si="1"/>
        <v>130502000000000</v>
      </c>
      <c r="AP7" s="2">
        <f t="shared" si="2"/>
        <v>128443000000000</v>
      </c>
      <c r="AQ7" s="2">
        <f t="shared" si="3"/>
        <v>132850000000000</v>
      </c>
      <c r="AR7" s="2">
        <f t="shared" si="4"/>
        <v>21687200000000</v>
      </c>
      <c r="AS7" s="2">
        <f t="shared" si="5"/>
        <v>18643400000000</v>
      </c>
      <c r="AT7" s="2">
        <f t="shared" si="6"/>
        <v>26302500000000</v>
      </c>
    </row>
    <row r="8" customHeight="1" spans="1:46">
      <c r="A8" s="2">
        <v>0.00700253</v>
      </c>
      <c r="B8" s="2">
        <v>0.00771032</v>
      </c>
      <c r="C8" s="2">
        <v>128655000000000</v>
      </c>
      <c r="D8" s="2">
        <v>37009300000</v>
      </c>
      <c r="E8" s="2">
        <v>0</v>
      </c>
      <c r="F8" s="2">
        <v>0</v>
      </c>
      <c r="G8" s="2">
        <v>2</v>
      </c>
      <c r="H8" s="2">
        <v>28075100000000</v>
      </c>
      <c r="I8" s="2">
        <v>26810900000000</v>
      </c>
      <c r="J8" s="2">
        <v>28166900000000</v>
      </c>
      <c r="K8" s="2">
        <v>27034800000000</v>
      </c>
      <c r="L8" s="2">
        <v>18567100000000</v>
      </c>
      <c r="N8" s="2">
        <v>0.00703084</v>
      </c>
      <c r="O8" s="2">
        <v>0.00789999</v>
      </c>
      <c r="P8" s="2">
        <v>131671000000000</v>
      </c>
      <c r="Q8" s="2">
        <v>199981000000</v>
      </c>
      <c r="R8" s="2">
        <v>0</v>
      </c>
      <c r="S8" s="2">
        <v>0</v>
      </c>
      <c r="T8" s="2">
        <v>2</v>
      </c>
      <c r="U8" s="2">
        <v>26467300000000</v>
      </c>
      <c r="V8" s="2">
        <v>24994900000000</v>
      </c>
      <c r="W8" s="2">
        <v>26125000000000</v>
      </c>
      <c r="X8" s="2">
        <v>26526300000000</v>
      </c>
      <c r="Y8" s="2">
        <v>27520500000000</v>
      </c>
      <c r="AA8" s="2">
        <v>0.00705237</v>
      </c>
      <c r="AB8" s="2">
        <v>0.00786864</v>
      </c>
      <c r="AC8" s="2">
        <v>130737000000000</v>
      </c>
      <c r="AD8" s="2">
        <v>9163660000</v>
      </c>
      <c r="AE8" s="2">
        <v>0</v>
      </c>
      <c r="AF8" s="2">
        <v>0</v>
      </c>
      <c r="AG8" s="2">
        <v>2</v>
      </c>
      <c r="AH8" s="2">
        <v>28016400000000</v>
      </c>
      <c r="AI8" s="2">
        <v>27814700000000</v>
      </c>
      <c r="AJ8" s="2">
        <v>27365200000000</v>
      </c>
      <c r="AK8" s="2">
        <v>27728100000000</v>
      </c>
      <c r="AL8" s="2">
        <v>19812200000000</v>
      </c>
      <c r="AN8" s="2">
        <f t="shared" si="0"/>
        <v>0.00700253</v>
      </c>
      <c r="AO8" s="2">
        <f t="shared" si="1"/>
        <v>130354333333333</v>
      </c>
      <c r="AP8" s="2">
        <f t="shared" si="2"/>
        <v>128655000000000</v>
      </c>
      <c r="AQ8" s="2">
        <f t="shared" si="3"/>
        <v>131671000000000</v>
      </c>
      <c r="AR8" s="2">
        <f t="shared" si="4"/>
        <v>21966600000000</v>
      </c>
      <c r="AS8" s="2">
        <f t="shared" si="5"/>
        <v>18567100000000</v>
      </c>
      <c r="AT8" s="2">
        <f t="shared" si="6"/>
        <v>27520500000000</v>
      </c>
    </row>
    <row r="9" customHeight="1" spans="1:46">
      <c r="A9" s="2">
        <v>0.00808125</v>
      </c>
      <c r="B9" s="2">
        <v>0.00883247</v>
      </c>
      <c r="C9" s="2">
        <v>128312000000000</v>
      </c>
      <c r="D9" s="2">
        <v>10869300000</v>
      </c>
      <c r="E9" s="2">
        <v>0</v>
      </c>
      <c r="F9" s="2">
        <v>0</v>
      </c>
      <c r="G9" s="2">
        <v>2</v>
      </c>
      <c r="H9" s="2">
        <v>28512500000000</v>
      </c>
      <c r="I9" s="2">
        <v>27226600000000</v>
      </c>
      <c r="J9" s="2">
        <v>28201100000000</v>
      </c>
      <c r="K9" s="2">
        <v>27486900000000</v>
      </c>
      <c r="L9" s="2">
        <v>16884800000000</v>
      </c>
      <c r="N9" s="2">
        <v>0.00797811</v>
      </c>
      <c r="O9" s="2">
        <v>0.00882359</v>
      </c>
      <c r="P9" s="2">
        <v>130929000000000</v>
      </c>
      <c r="Q9" s="2">
        <v>20329300000</v>
      </c>
      <c r="R9" s="2">
        <v>0</v>
      </c>
      <c r="S9" s="2">
        <v>0</v>
      </c>
      <c r="T9" s="2">
        <v>2</v>
      </c>
      <c r="U9" s="2">
        <v>26462100000000</v>
      </c>
      <c r="V9" s="2">
        <v>25520700000000</v>
      </c>
      <c r="W9" s="2">
        <v>26889800000000</v>
      </c>
      <c r="X9" s="2">
        <v>26876800000000</v>
      </c>
      <c r="Y9" s="2">
        <v>25164300000000</v>
      </c>
      <c r="AA9" s="2">
        <v>0.00808073</v>
      </c>
      <c r="AB9" s="2">
        <v>0.00889849</v>
      </c>
      <c r="AC9" s="2">
        <v>130386000000000</v>
      </c>
      <c r="AD9" s="2">
        <v>13772400000</v>
      </c>
      <c r="AE9" s="2">
        <v>0</v>
      </c>
      <c r="AF9" s="2">
        <v>0</v>
      </c>
      <c r="AG9" s="2">
        <v>2</v>
      </c>
      <c r="AH9" s="2">
        <v>28244800000000</v>
      </c>
      <c r="AI9" s="2">
        <v>27676000000000</v>
      </c>
      <c r="AJ9" s="2">
        <v>27600000000000</v>
      </c>
      <c r="AK9" s="2">
        <v>28314700000000</v>
      </c>
      <c r="AL9" s="2">
        <v>18549100000000</v>
      </c>
      <c r="AN9" s="2">
        <f t="shared" si="0"/>
        <v>0.00808125</v>
      </c>
      <c r="AO9" s="2">
        <f t="shared" si="1"/>
        <v>129875666666667</v>
      </c>
      <c r="AP9" s="2">
        <f t="shared" si="2"/>
        <v>128312000000000</v>
      </c>
      <c r="AQ9" s="2">
        <f t="shared" si="3"/>
        <v>130929000000000</v>
      </c>
      <c r="AR9" s="2">
        <f t="shared" si="4"/>
        <v>20199400000000</v>
      </c>
      <c r="AS9" s="2">
        <f t="shared" si="5"/>
        <v>16884800000000</v>
      </c>
      <c r="AT9" s="2">
        <f t="shared" si="6"/>
        <v>25164300000000</v>
      </c>
    </row>
    <row r="10" customHeight="1" spans="1:46">
      <c r="A10" s="2">
        <v>0.00900344</v>
      </c>
      <c r="B10" s="2">
        <v>0.00975394</v>
      </c>
      <c r="C10" s="2">
        <v>127876000000000</v>
      </c>
      <c r="D10" s="2">
        <v>15473000000</v>
      </c>
      <c r="E10" s="2">
        <v>0</v>
      </c>
      <c r="F10" s="2">
        <v>0</v>
      </c>
      <c r="G10" s="2">
        <v>2</v>
      </c>
      <c r="H10" s="2">
        <v>28569100000000</v>
      </c>
      <c r="I10" s="2">
        <v>27555100000000</v>
      </c>
      <c r="J10" s="2">
        <v>28091500000000</v>
      </c>
      <c r="K10" s="2">
        <v>26807900000000</v>
      </c>
      <c r="L10" s="2">
        <v>16852400000000</v>
      </c>
      <c r="N10" s="2">
        <v>0.00899288</v>
      </c>
      <c r="O10" s="2">
        <v>0.00987207</v>
      </c>
      <c r="P10" s="2">
        <v>130240000000000</v>
      </c>
      <c r="Q10" s="2">
        <v>10189600000</v>
      </c>
      <c r="R10" s="2">
        <v>0</v>
      </c>
      <c r="S10" s="2">
        <v>0</v>
      </c>
      <c r="T10" s="2">
        <v>2</v>
      </c>
      <c r="U10" s="2">
        <v>25245300000000</v>
      </c>
      <c r="V10" s="2">
        <v>25034200000000</v>
      </c>
      <c r="W10" s="2">
        <v>26509100000000</v>
      </c>
      <c r="X10" s="2">
        <v>27130100000000</v>
      </c>
      <c r="Y10" s="2">
        <v>26321500000000</v>
      </c>
      <c r="AA10" s="2">
        <v>0.00908066</v>
      </c>
      <c r="AB10" s="2">
        <v>0.00985999</v>
      </c>
      <c r="AC10" s="2">
        <v>130294000000000</v>
      </c>
      <c r="AD10" s="2">
        <v>52548600000</v>
      </c>
      <c r="AE10" s="2">
        <v>0</v>
      </c>
      <c r="AF10" s="2">
        <v>0</v>
      </c>
      <c r="AG10" s="2">
        <v>2</v>
      </c>
      <c r="AH10" s="2">
        <v>28597600000000</v>
      </c>
      <c r="AI10" s="2">
        <v>27353200000000</v>
      </c>
      <c r="AJ10" s="2">
        <v>27579100000000</v>
      </c>
      <c r="AK10" s="2">
        <v>27934500000000</v>
      </c>
      <c r="AL10" s="2">
        <v>18828400000000</v>
      </c>
      <c r="AN10" s="2">
        <f t="shared" si="0"/>
        <v>0.00900344</v>
      </c>
      <c r="AO10" s="2">
        <f t="shared" si="1"/>
        <v>129470000000000</v>
      </c>
      <c r="AP10" s="2">
        <f t="shared" si="2"/>
        <v>127876000000000</v>
      </c>
      <c r="AQ10" s="2">
        <f t="shared" si="3"/>
        <v>130294000000000</v>
      </c>
      <c r="AR10" s="2">
        <f t="shared" si="4"/>
        <v>20667433333333.3</v>
      </c>
      <c r="AS10" s="2">
        <f t="shared" si="5"/>
        <v>16852400000000</v>
      </c>
      <c r="AT10" s="2">
        <f t="shared" si="6"/>
        <v>26321500000000</v>
      </c>
    </row>
    <row r="11" customHeight="1" spans="1:46">
      <c r="A11" s="2">
        <v>0.00983994</v>
      </c>
      <c r="B11" s="2">
        <v>0.0106007</v>
      </c>
      <c r="C11" s="2">
        <v>127798000000000</v>
      </c>
      <c r="D11" s="2">
        <v>20887900000</v>
      </c>
      <c r="E11" s="2">
        <v>0</v>
      </c>
      <c r="F11" s="2">
        <v>0</v>
      </c>
      <c r="G11" s="2">
        <v>2</v>
      </c>
      <c r="H11" s="2">
        <v>28182300000000</v>
      </c>
      <c r="I11" s="2">
        <v>27005400000000</v>
      </c>
      <c r="J11" s="2">
        <v>27648200000000</v>
      </c>
      <c r="K11" s="2">
        <v>26171300000000</v>
      </c>
      <c r="L11" s="2">
        <v>18790200000000</v>
      </c>
      <c r="N11" s="2">
        <v>0.0099876</v>
      </c>
      <c r="O11" s="2">
        <v>0.0108629</v>
      </c>
      <c r="P11" s="2">
        <v>131620000000000</v>
      </c>
      <c r="Q11" s="2">
        <v>12422100000</v>
      </c>
      <c r="R11" s="2">
        <v>0</v>
      </c>
      <c r="S11" s="2">
        <v>0</v>
      </c>
      <c r="T11" s="2">
        <v>2</v>
      </c>
      <c r="U11" s="2">
        <v>25548800000000</v>
      </c>
      <c r="V11" s="2">
        <v>26161700000000</v>
      </c>
      <c r="W11" s="2">
        <v>26832700000000</v>
      </c>
      <c r="X11" s="2">
        <v>27507400000000</v>
      </c>
      <c r="Y11" s="2">
        <v>25566000000000</v>
      </c>
      <c r="AA11" s="2">
        <v>0.0100073</v>
      </c>
      <c r="AB11" s="2">
        <v>0.0107966</v>
      </c>
      <c r="AC11" s="2">
        <v>130647000000000</v>
      </c>
      <c r="AD11" s="2">
        <v>8177290000</v>
      </c>
      <c r="AE11" s="2">
        <v>0</v>
      </c>
      <c r="AF11" s="2">
        <v>0</v>
      </c>
      <c r="AG11" s="2">
        <v>2</v>
      </c>
      <c r="AH11" s="2">
        <v>28612300000000</v>
      </c>
      <c r="AI11" s="2">
        <v>28061200000000</v>
      </c>
      <c r="AJ11" s="2">
        <v>27725400000000</v>
      </c>
      <c r="AK11" s="2">
        <v>28548600000000</v>
      </c>
      <c r="AL11" s="2">
        <v>17689500000000</v>
      </c>
      <c r="AN11" s="2">
        <f t="shared" si="0"/>
        <v>0.00983994</v>
      </c>
      <c r="AO11" s="2">
        <f t="shared" si="1"/>
        <v>130021666666667</v>
      </c>
      <c r="AP11" s="2">
        <f t="shared" si="2"/>
        <v>127798000000000</v>
      </c>
      <c r="AQ11" s="2">
        <f t="shared" si="3"/>
        <v>131620000000000</v>
      </c>
      <c r="AR11" s="2">
        <f t="shared" si="4"/>
        <v>20681900000000</v>
      </c>
      <c r="AS11" s="2">
        <f t="shared" si="5"/>
        <v>17689500000000</v>
      </c>
      <c r="AT11" s="2">
        <f t="shared" si="6"/>
        <v>25566000000000</v>
      </c>
    </row>
    <row r="12" customHeight="1" spans="1:46">
      <c r="A12" s="2">
        <v>0.0109546</v>
      </c>
      <c r="B12" s="2">
        <v>0.0117092</v>
      </c>
      <c r="C12" s="2">
        <v>128406000000000</v>
      </c>
      <c r="D12" s="2">
        <v>14925200000</v>
      </c>
      <c r="E12" s="2">
        <v>0</v>
      </c>
      <c r="F12" s="2">
        <v>0</v>
      </c>
      <c r="G12" s="2">
        <v>2</v>
      </c>
      <c r="H12" s="2">
        <v>28958300000000</v>
      </c>
      <c r="I12" s="2">
        <v>27138600000000</v>
      </c>
      <c r="J12" s="2">
        <v>27857300000000</v>
      </c>
      <c r="K12" s="2">
        <v>26885000000000</v>
      </c>
      <c r="L12" s="2">
        <v>17566800000000</v>
      </c>
      <c r="N12" s="2">
        <v>0.0109844</v>
      </c>
      <c r="O12" s="2">
        <v>0.0118584</v>
      </c>
      <c r="P12" s="2">
        <v>133996000000000</v>
      </c>
      <c r="Q12" s="2">
        <v>15732300000</v>
      </c>
      <c r="R12" s="2">
        <v>0</v>
      </c>
      <c r="S12" s="2">
        <v>0</v>
      </c>
      <c r="T12" s="2">
        <v>2</v>
      </c>
      <c r="U12" s="2">
        <v>26013800000000</v>
      </c>
      <c r="V12" s="2">
        <v>28426200000000</v>
      </c>
      <c r="W12" s="2">
        <v>27617900000000</v>
      </c>
      <c r="X12" s="2">
        <v>28835200000000</v>
      </c>
      <c r="Y12" s="2">
        <v>23100800000000</v>
      </c>
      <c r="AA12" s="2">
        <v>0.0110286</v>
      </c>
      <c r="AB12" s="2">
        <v>0.0118127</v>
      </c>
      <c r="AC12" s="2">
        <v>130392000000000</v>
      </c>
      <c r="AD12" s="2">
        <v>10851000000</v>
      </c>
      <c r="AE12" s="2">
        <v>0</v>
      </c>
      <c r="AF12" s="2">
        <v>0</v>
      </c>
      <c r="AG12" s="2">
        <v>2</v>
      </c>
      <c r="AH12" s="2">
        <v>28177100000000</v>
      </c>
      <c r="AI12" s="2">
        <v>28240600000000</v>
      </c>
      <c r="AJ12" s="2">
        <v>27534300000000</v>
      </c>
      <c r="AK12" s="2">
        <v>28972200000000</v>
      </c>
      <c r="AL12" s="2">
        <v>17465600000000</v>
      </c>
      <c r="AN12" s="2">
        <f t="shared" si="0"/>
        <v>0.0109546</v>
      </c>
      <c r="AO12" s="2">
        <f t="shared" si="1"/>
        <v>130931333333333</v>
      </c>
      <c r="AP12" s="2">
        <f t="shared" si="2"/>
        <v>128406000000000</v>
      </c>
      <c r="AQ12" s="2">
        <f t="shared" si="3"/>
        <v>133996000000000</v>
      </c>
      <c r="AR12" s="2">
        <f t="shared" si="4"/>
        <v>19377733333333.3</v>
      </c>
      <c r="AS12" s="2">
        <f t="shared" si="5"/>
        <v>17465600000000</v>
      </c>
      <c r="AT12" s="2">
        <f t="shared" si="6"/>
        <v>23100800000000</v>
      </c>
    </row>
    <row r="13" customHeight="1" spans="1:46">
      <c r="A13" s="2">
        <v>0.0120175</v>
      </c>
      <c r="B13" s="2">
        <v>0.0127229</v>
      </c>
      <c r="C13" s="2">
        <v>128001000000000</v>
      </c>
      <c r="D13" s="2">
        <v>18592800000</v>
      </c>
      <c r="E13" s="2">
        <v>0</v>
      </c>
      <c r="F13" s="2">
        <v>0</v>
      </c>
      <c r="G13" s="2">
        <v>2</v>
      </c>
      <c r="H13" s="2">
        <v>28655200000000</v>
      </c>
      <c r="I13" s="2">
        <v>27224100000000</v>
      </c>
      <c r="J13" s="2">
        <v>27798700000000</v>
      </c>
      <c r="K13" s="2">
        <v>27387000000000</v>
      </c>
      <c r="L13" s="2">
        <v>16934600000000</v>
      </c>
      <c r="N13" s="2">
        <v>0.0119833</v>
      </c>
      <c r="O13" s="2">
        <v>0.0128307</v>
      </c>
      <c r="P13" s="2">
        <v>135111000000000</v>
      </c>
      <c r="Q13" s="2">
        <v>13181200000</v>
      </c>
      <c r="R13" s="2">
        <v>0</v>
      </c>
      <c r="S13" s="2">
        <v>0</v>
      </c>
      <c r="T13" s="2">
        <v>2</v>
      </c>
      <c r="U13" s="2">
        <v>26784800000000</v>
      </c>
      <c r="V13" s="2">
        <v>26818000000000</v>
      </c>
      <c r="W13" s="2">
        <v>27824800000000</v>
      </c>
      <c r="X13" s="2">
        <v>27954300000000</v>
      </c>
      <c r="Y13" s="2">
        <v>25728400000000</v>
      </c>
      <c r="AA13" s="2">
        <v>0.0120155</v>
      </c>
      <c r="AB13" s="2">
        <v>0.0127948</v>
      </c>
      <c r="AC13" s="2">
        <v>130519000000000</v>
      </c>
      <c r="AD13" s="2">
        <v>3482290000</v>
      </c>
      <c r="AE13" s="2">
        <v>0</v>
      </c>
      <c r="AF13" s="2">
        <v>0</v>
      </c>
      <c r="AG13" s="2">
        <v>2</v>
      </c>
      <c r="AH13" s="2">
        <v>28566600000000</v>
      </c>
      <c r="AI13" s="2">
        <v>27712300000000</v>
      </c>
      <c r="AJ13" s="2">
        <v>27841700000000</v>
      </c>
      <c r="AK13" s="2">
        <v>28372900000000</v>
      </c>
      <c r="AL13" s="2">
        <v>18019200000000</v>
      </c>
      <c r="AN13" s="2">
        <f t="shared" si="0"/>
        <v>0.0120175</v>
      </c>
      <c r="AO13" s="2">
        <f t="shared" si="1"/>
        <v>131210333333333</v>
      </c>
      <c r="AP13" s="2">
        <f t="shared" si="2"/>
        <v>128001000000000</v>
      </c>
      <c r="AQ13" s="2">
        <f t="shared" si="3"/>
        <v>135111000000000</v>
      </c>
      <c r="AR13" s="2">
        <f t="shared" si="4"/>
        <v>20227400000000</v>
      </c>
      <c r="AS13" s="2">
        <f t="shared" si="5"/>
        <v>16934600000000</v>
      </c>
      <c r="AT13" s="2">
        <f t="shared" si="6"/>
        <v>25728400000000</v>
      </c>
    </row>
    <row r="14" customHeight="1" spans="1:46">
      <c r="A14" s="2">
        <v>0.0130162</v>
      </c>
      <c r="B14" s="2">
        <v>0.0136786</v>
      </c>
      <c r="C14" s="2">
        <v>127573000000000</v>
      </c>
      <c r="D14" s="2">
        <v>51601000000</v>
      </c>
      <c r="E14" s="2">
        <v>0</v>
      </c>
      <c r="F14" s="2">
        <v>0</v>
      </c>
      <c r="G14" s="2">
        <v>2</v>
      </c>
      <c r="H14" s="2">
        <v>27938500000000</v>
      </c>
      <c r="I14" s="2">
        <v>27113900000000</v>
      </c>
      <c r="J14" s="2">
        <v>27657300000000</v>
      </c>
      <c r="K14" s="2">
        <v>26849800000000</v>
      </c>
      <c r="L14" s="2">
        <v>18010700000000</v>
      </c>
      <c r="N14" s="2">
        <v>0.0130141</v>
      </c>
      <c r="O14" s="2">
        <v>0.0138522</v>
      </c>
      <c r="P14" s="2">
        <v>135744000000000</v>
      </c>
      <c r="Q14" s="2">
        <v>16454700000</v>
      </c>
      <c r="R14" s="2">
        <v>0</v>
      </c>
      <c r="S14" s="2">
        <v>0</v>
      </c>
      <c r="T14" s="2">
        <v>2</v>
      </c>
      <c r="U14" s="2">
        <v>26125500000000</v>
      </c>
      <c r="V14" s="2">
        <v>25986300000000</v>
      </c>
      <c r="W14" s="2">
        <v>26950300000000</v>
      </c>
      <c r="X14" s="2">
        <v>28365300000000</v>
      </c>
      <c r="Y14" s="2">
        <v>28312300000000</v>
      </c>
      <c r="AA14" s="2">
        <v>0.0129099</v>
      </c>
      <c r="AB14" s="2">
        <v>0.0137227</v>
      </c>
      <c r="AC14" s="2">
        <v>130435000000000</v>
      </c>
      <c r="AD14" s="2">
        <v>20171900000</v>
      </c>
      <c r="AE14" s="2">
        <v>0</v>
      </c>
      <c r="AF14" s="2">
        <v>0</v>
      </c>
      <c r="AG14" s="2">
        <v>2</v>
      </c>
      <c r="AH14" s="2">
        <v>28264300000000</v>
      </c>
      <c r="AI14" s="2">
        <v>27359700000000</v>
      </c>
      <c r="AJ14" s="2">
        <v>27891500000000</v>
      </c>
      <c r="AK14" s="2">
        <v>27516300000000</v>
      </c>
      <c r="AL14" s="2">
        <v>19401000000000</v>
      </c>
      <c r="AN14" s="2">
        <f t="shared" si="0"/>
        <v>0.0130162</v>
      </c>
      <c r="AO14" s="2">
        <f t="shared" si="1"/>
        <v>131250666666667</v>
      </c>
      <c r="AP14" s="2">
        <f t="shared" si="2"/>
        <v>127573000000000</v>
      </c>
      <c r="AQ14" s="2">
        <f t="shared" si="3"/>
        <v>135744000000000</v>
      </c>
      <c r="AR14" s="2">
        <f t="shared" si="4"/>
        <v>21908000000000</v>
      </c>
      <c r="AS14" s="2">
        <f t="shared" si="5"/>
        <v>18010700000000</v>
      </c>
      <c r="AT14" s="2">
        <f t="shared" si="6"/>
        <v>28312300000000</v>
      </c>
    </row>
    <row r="15" customHeight="1" spans="1:46">
      <c r="A15" s="2">
        <v>0.014014</v>
      </c>
      <c r="B15" s="2">
        <v>0.0146993</v>
      </c>
      <c r="C15" s="2">
        <v>127810000000000</v>
      </c>
      <c r="D15" s="2">
        <v>16193500000</v>
      </c>
      <c r="E15" s="2">
        <v>0</v>
      </c>
      <c r="F15" s="2">
        <v>0</v>
      </c>
      <c r="G15" s="2">
        <v>2</v>
      </c>
      <c r="H15" s="2">
        <v>27498400000000</v>
      </c>
      <c r="I15" s="2">
        <v>26694100000000</v>
      </c>
      <c r="J15" s="2">
        <v>28090800000000</v>
      </c>
      <c r="K15" s="2">
        <v>26727200000000</v>
      </c>
      <c r="L15" s="2">
        <v>18799400000000</v>
      </c>
      <c r="N15" s="2">
        <v>0.0139991</v>
      </c>
      <c r="O15" s="2">
        <v>0.0148228</v>
      </c>
      <c r="P15" s="2">
        <v>132913000000000</v>
      </c>
      <c r="Q15" s="2">
        <v>14179500000</v>
      </c>
      <c r="R15" s="2">
        <v>0</v>
      </c>
      <c r="S15" s="2">
        <v>0</v>
      </c>
      <c r="T15" s="2">
        <v>2</v>
      </c>
      <c r="U15" s="2">
        <v>24521700000000</v>
      </c>
      <c r="V15" s="2">
        <v>24389500000000</v>
      </c>
      <c r="W15" s="2">
        <v>26958500000000</v>
      </c>
      <c r="X15" s="2">
        <v>27198300000000</v>
      </c>
      <c r="Y15" s="2">
        <v>29842700000000</v>
      </c>
      <c r="AA15" s="2">
        <v>0.0139741</v>
      </c>
      <c r="AB15" s="2">
        <v>0.0147758</v>
      </c>
      <c r="AC15" s="2">
        <v>130206000000000</v>
      </c>
      <c r="AD15" s="2">
        <v>38324800000</v>
      </c>
      <c r="AE15" s="2">
        <v>0</v>
      </c>
      <c r="AF15" s="2">
        <v>0</v>
      </c>
      <c r="AG15" s="2">
        <v>2</v>
      </c>
      <c r="AH15" s="2">
        <v>27964900000000</v>
      </c>
      <c r="AI15" s="2">
        <v>26779900000000</v>
      </c>
      <c r="AJ15" s="2">
        <v>27732500000000</v>
      </c>
      <c r="AK15" s="2">
        <v>27706300000000</v>
      </c>
      <c r="AL15" s="2">
        <v>20020900000000</v>
      </c>
      <c r="AN15" s="2">
        <f t="shared" si="0"/>
        <v>0.014014</v>
      </c>
      <c r="AO15" s="2">
        <f t="shared" si="1"/>
        <v>130309666666667</v>
      </c>
      <c r="AP15" s="2">
        <f t="shared" si="2"/>
        <v>127810000000000</v>
      </c>
      <c r="AQ15" s="2">
        <f t="shared" si="3"/>
        <v>132913000000000</v>
      </c>
      <c r="AR15" s="2">
        <f t="shared" si="4"/>
        <v>22887666666666.7</v>
      </c>
      <c r="AS15" s="2">
        <f t="shared" si="5"/>
        <v>18799400000000</v>
      </c>
      <c r="AT15" s="2">
        <f t="shared" si="6"/>
        <v>29842700000000</v>
      </c>
    </row>
    <row r="16" customHeight="1" spans="1:46">
      <c r="A16" s="2">
        <v>0.015016</v>
      </c>
      <c r="B16" s="2">
        <v>0.0157321</v>
      </c>
      <c r="C16" s="2">
        <v>128215000000000</v>
      </c>
      <c r="D16" s="2">
        <v>16114600000</v>
      </c>
      <c r="E16" s="2">
        <v>0</v>
      </c>
      <c r="F16" s="2">
        <v>0</v>
      </c>
      <c r="G16" s="2">
        <v>2</v>
      </c>
      <c r="H16" s="2">
        <v>27631700000000</v>
      </c>
      <c r="I16" s="2">
        <v>27069000000000</v>
      </c>
      <c r="J16" s="2">
        <v>28023400000000</v>
      </c>
      <c r="K16" s="2">
        <v>26714400000000</v>
      </c>
      <c r="L16" s="2">
        <v>18776300000000</v>
      </c>
      <c r="N16" s="2">
        <v>0.0149295</v>
      </c>
      <c r="O16" s="2">
        <v>0.0158514</v>
      </c>
      <c r="P16" s="2">
        <v>134018000000000</v>
      </c>
      <c r="Q16" s="2">
        <v>58911200000</v>
      </c>
      <c r="R16" s="2">
        <v>0</v>
      </c>
      <c r="S16" s="2">
        <v>0</v>
      </c>
      <c r="T16" s="2">
        <v>2</v>
      </c>
      <c r="U16" s="2">
        <v>23548700000000</v>
      </c>
      <c r="V16" s="2">
        <v>25022500000000</v>
      </c>
      <c r="W16" s="2">
        <v>26851500000000</v>
      </c>
      <c r="X16" s="2">
        <v>28102200000000</v>
      </c>
      <c r="Y16" s="2">
        <v>30491000000000</v>
      </c>
      <c r="AA16" s="2">
        <v>0.0150037</v>
      </c>
      <c r="AB16" s="2">
        <v>0.0157324</v>
      </c>
      <c r="AC16" s="2">
        <v>129364000000000</v>
      </c>
      <c r="AD16" s="2">
        <v>12905100000</v>
      </c>
      <c r="AE16" s="2">
        <v>0</v>
      </c>
      <c r="AF16" s="2">
        <v>0</v>
      </c>
      <c r="AG16" s="2">
        <v>2</v>
      </c>
      <c r="AH16" s="2">
        <v>28021700000000</v>
      </c>
      <c r="AI16" s="2">
        <v>27613700000000</v>
      </c>
      <c r="AJ16" s="2">
        <v>27935000000000</v>
      </c>
      <c r="AK16" s="2">
        <v>27383400000000</v>
      </c>
      <c r="AL16" s="2">
        <v>18409100000000</v>
      </c>
      <c r="AN16" s="2">
        <f t="shared" si="0"/>
        <v>0.015016</v>
      </c>
      <c r="AO16" s="2">
        <f t="shared" si="1"/>
        <v>130532333333333</v>
      </c>
      <c r="AP16" s="2">
        <f t="shared" si="2"/>
        <v>128215000000000</v>
      </c>
      <c r="AQ16" s="2">
        <f t="shared" si="3"/>
        <v>134018000000000</v>
      </c>
      <c r="AR16" s="2">
        <f t="shared" si="4"/>
        <v>22558800000000</v>
      </c>
      <c r="AS16" s="2">
        <f t="shared" si="5"/>
        <v>18409100000000</v>
      </c>
      <c r="AT16" s="2">
        <f t="shared" si="6"/>
        <v>30491000000000</v>
      </c>
    </row>
    <row r="17" customHeight="1" spans="1:46">
      <c r="A17" s="2">
        <v>0.0160033</v>
      </c>
      <c r="B17" s="2">
        <v>0.0166995</v>
      </c>
      <c r="C17" s="2">
        <v>128202000000000</v>
      </c>
      <c r="D17" s="2">
        <v>12341800000</v>
      </c>
      <c r="E17" s="2">
        <v>0</v>
      </c>
      <c r="F17" s="2">
        <v>0</v>
      </c>
      <c r="G17" s="2">
        <v>2</v>
      </c>
      <c r="H17" s="2">
        <v>27988200000000</v>
      </c>
      <c r="I17" s="2">
        <v>26451400000000</v>
      </c>
      <c r="J17" s="2">
        <v>27688000000000</v>
      </c>
      <c r="K17" s="2">
        <v>26856600000000</v>
      </c>
      <c r="L17" s="2">
        <v>19217300000000</v>
      </c>
      <c r="N17" s="2">
        <v>0.0160176</v>
      </c>
      <c r="O17" s="2">
        <v>0.0168936</v>
      </c>
      <c r="P17" s="2">
        <v>135917000000000</v>
      </c>
      <c r="Q17" s="2">
        <v>48449700000</v>
      </c>
      <c r="R17" s="2">
        <v>0</v>
      </c>
      <c r="S17" s="2">
        <v>0</v>
      </c>
      <c r="T17" s="2">
        <v>2</v>
      </c>
      <c r="U17" s="2">
        <v>23705200000000</v>
      </c>
      <c r="V17" s="2">
        <v>24492400000000</v>
      </c>
      <c r="W17" s="2">
        <v>27581700000000</v>
      </c>
      <c r="X17" s="2">
        <v>27599900000000</v>
      </c>
      <c r="Y17" s="2">
        <v>32535900000000</v>
      </c>
      <c r="AA17" s="2">
        <v>0.0160084</v>
      </c>
      <c r="AB17" s="2">
        <v>0.0168093</v>
      </c>
      <c r="AC17" s="2">
        <v>130111000000000</v>
      </c>
      <c r="AD17" s="2">
        <v>20967300000</v>
      </c>
      <c r="AE17" s="2">
        <v>0</v>
      </c>
      <c r="AF17" s="2">
        <v>0</v>
      </c>
      <c r="AG17" s="2">
        <v>2</v>
      </c>
      <c r="AH17" s="2">
        <v>29172200000000</v>
      </c>
      <c r="AI17" s="2">
        <v>28042100000000</v>
      </c>
      <c r="AJ17" s="2">
        <v>28231700000000</v>
      </c>
      <c r="AK17" s="2">
        <v>28253000000000</v>
      </c>
      <c r="AL17" s="2">
        <v>16411500000000</v>
      </c>
      <c r="AN17" s="2">
        <f t="shared" si="0"/>
        <v>0.0160033</v>
      </c>
      <c r="AO17" s="2">
        <f t="shared" si="1"/>
        <v>131410000000000</v>
      </c>
      <c r="AP17" s="2">
        <f t="shared" si="2"/>
        <v>128202000000000</v>
      </c>
      <c r="AQ17" s="2">
        <f t="shared" si="3"/>
        <v>135917000000000</v>
      </c>
      <c r="AR17" s="2">
        <f t="shared" si="4"/>
        <v>22721566666666.7</v>
      </c>
      <c r="AS17" s="2">
        <f t="shared" si="5"/>
        <v>16411500000000</v>
      </c>
      <c r="AT17" s="2">
        <f t="shared" si="6"/>
        <v>32535900000000</v>
      </c>
    </row>
    <row r="18" customHeight="1" spans="1:46">
      <c r="A18" s="2">
        <v>0.0169705</v>
      </c>
      <c r="B18" s="2">
        <v>0.0176463</v>
      </c>
      <c r="C18" s="2">
        <v>128385000000000</v>
      </c>
      <c r="D18" s="2">
        <v>5184610000</v>
      </c>
      <c r="E18" s="2">
        <v>0</v>
      </c>
      <c r="F18" s="2">
        <v>0</v>
      </c>
      <c r="G18" s="2">
        <v>2</v>
      </c>
      <c r="H18" s="2">
        <v>27817700000000</v>
      </c>
      <c r="I18" s="2">
        <v>26342500000000</v>
      </c>
      <c r="J18" s="2">
        <v>27369100000000</v>
      </c>
      <c r="K18" s="2">
        <v>26760000000000</v>
      </c>
      <c r="L18" s="2">
        <v>20095400000000</v>
      </c>
      <c r="N18" s="2">
        <v>0.0169467</v>
      </c>
      <c r="O18" s="2">
        <v>0.0179304</v>
      </c>
      <c r="P18" s="2">
        <v>138548000000000</v>
      </c>
      <c r="Q18" s="2">
        <v>18718100000</v>
      </c>
      <c r="R18" s="2">
        <v>0</v>
      </c>
      <c r="S18" s="2">
        <v>0</v>
      </c>
      <c r="T18" s="2">
        <v>2</v>
      </c>
      <c r="U18" s="2">
        <v>22591900000000</v>
      </c>
      <c r="V18" s="2">
        <v>24233700000000</v>
      </c>
      <c r="W18" s="2">
        <v>28310400000000</v>
      </c>
      <c r="X18" s="2">
        <v>28233000000000</v>
      </c>
      <c r="Y18" s="2">
        <v>35175000000000</v>
      </c>
      <c r="AA18" s="2">
        <v>0.0169991</v>
      </c>
      <c r="AB18" s="2">
        <v>0.0177893</v>
      </c>
      <c r="AC18" s="2">
        <v>130767000000000</v>
      </c>
      <c r="AD18" s="2">
        <v>45466500000</v>
      </c>
      <c r="AE18" s="2">
        <v>0</v>
      </c>
      <c r="AF18" s="2">
        <v>0</v>
      </c>
      <c r="AG18" s="2">
        <v>2</v>
      </c>
      <c r="AH18" s="2">
        <v>29699300000000</v>
      </c>
      <c r="AI18" s="2">
        <v>27682000000000</v>
      </c>
      <c r="AJ18" s="2">
        <v>27767100000000</v>
      </c>
      <c r="AK18" s="2">
        <v>28297400000000</v>
      </c>
      <c r="AL18" s="2">
        <v>17320400000000</v>
      </c>
      <c r="AN18" s="2">
        <f t="shared" si="0"/>
        <v>0.0169705</v>
      </c>
      <c r="AO18" s="2">
        <f t="shared" si="1"/>
        <v>132566666666667</v>
      </c>
      <c r="AP18" s="2">
        <f t="shared" si="2"/>
        <v>128385000000000</v>
      </c>
      <c r="AQ18" s="2">
        <f t="shared" si="3"/>
        <v>138548000000000</v>
      </c>
      <c r="AR18" s="2">
        <f t="shared" si="4"/>
        <v>24196933333333.3</v>
      </c>
      <c r="AS18" s="2">
        <f t="shared" si="5"/>
        <v>17320400000000</v>
      </c>
      <c r="AT18" s="2">
        <f t="shared" si="6"/>
        <v>35175000000000</v>
      </c>
    </row>
    <row r="19" customHeight="1" spans="1:46">
      <c r="A19" s="2">
        <v>0.017963</v>
      </c>
      <c r="B19" s="2">
        <v>0.0186336</v>
      </c>
      <c r="C19" s="2">
        <v>127624000000000</v>
      </c>
      <c r="D19" s="2">
        <v>24354900000</v>
      </c>
      <c r="E19" s="2">
        <v>0</v>
      </c>
      <c r="F19" s="2">
        <v>0</v>
      </c>
      <c r="G19" s="2">
        <v>2</v>
      </c>
      <c r="H19" s="2">
        <v>27454700000000</v>
      </c>
      <c r="I19" s="2">
        <v>26658400000000</v>
      </c>
      <c r="J19" s="2">
        <v>27507500000000</v>
      </c>
      <c r="K19" s="2">
        <v>26013500000000</v>
      </c>
      <c r="L19" s="2">
        <v>19989500000000</v>
      </c>
      <c r="N19" s="2">
        <v>0.0179997</v>
      </c>
      <c r="O19" s="2">
        <v>0.0189587</v>
      </c>
      <c r="P19" s="2">
        <v>141679000000000</v>
      </c>
      <c r="Q19" s="2">
        <v>13484900000</v>
      </c>
      <c r="R19" s="2">
        <v>0</v>
      </c>
      <c r="S19" s="2">
        <v>0</v>
      </c>
      <c r="T19" s="2">
        <v>2</v>
      </c>
      <c r="U19" s="2">
        <v>22216300000000</v>
      </c>
      <c r="V19" s="2">
        <v>22771900000000</v>
      </c>
      <c r="W19" s="2">
        <v>28431400000000</v>
      </c>
      <c r="X19" s="2">
        <v>28746800000000</v>
      </c>
      <c r="Y19" s="2">
        <v>39506000000000</v>
      </c>
      <c r="AA19" s="2">
        <v>0.017996</v>
      </c>
      <c r="AB19" s="2">
        <v>0.0188412</v>
      </c>
      <c r="AC19" s="2">
        <v>130526000000000</v>
      </c>
      <c r="AD19" s="2">
        <v>5309710000</v>
      </c>
      <c r="AE19" s="2">
        <v>0</v>
      </c>
      <c r="AF19" s="2">
        <v>0</v>
      </c>
      <c r="AG19" s="2">
        <v>2</v>
      </c>
      <c r="AH19" s="2">
        <v>28968300000000</v>
      </c>
      <c r="AI19" s="2">
        <v>26784600000000</v>
      </c>
      <c r="AJ19" s="2">
        <v>27181900000000</v>
      </c>
      <c r="AK19" s="2">
        <v>28213600000000</v>
      </c>
      <c r="AL19" s="2">
        <v>19377800000000</v>
      </c>
      <c r="AN19" s="2">
        <f t="shared" si="0"/>
        <v>0.017963</v>
      </c>
      <c r="AO19" s="2">
        <f t="shared" si="1"/>
        <v>133276333333333</v>
      </c>
      <c r="AP19" s="2">
        <f t="shared" si="2"/>
        <v>127624000000000</v>
      </c>
      <c r="AQ19" s="2">
        <f t="shared" si="3"/>
        <v>141679000000000</v>
      </c>
      <c r="AR19" s="2">
        <f t="shared" si="4"/>
        <v>26291100000000</v>
      </c>
      <c r="AS19" s="2">
        <f t="shared" si="5"/>
        <v>19377800000000</v>
      </c>
      <c r="AT19" s="2">
        <f t="shared" si="6"/>
        <v>39506000000000</v>
      </c>
    </row>
    <row r="20" customHeight="1" spans="1:46">
      <c r="A20" s="2">
        <v>0.0190256</v>
      </c>
      <c r="B20" s="2">
        <v>0.0196894</v>
      </c>
      <c r="C20" s="2">
        <v>127607000000000</v>
      </c>
      <c r="D20" s="2">
        <v>13665200000</v>
      </c>
      <c r="E20" s="2">
        <v>0</v>
      </c>
      <c r="F20" s="2">
        <v>0</v>
      </c>
      <c r="G20" s="2">
        <v>2</v>
      </c>
      <c r="H20" s="2">
        <v>27089400000000</v>
      </c>
      <c r="I20" s="2">
        <v>27037400000000</v>
      </c>
      <c r="J20" s="2">
        <v>27366600000000</v>
      </c>
      <c r="K20" s="2">
        <v>26014500000000</v>
      </c>
      <c r="L20" s="2">
        <v>20098900000000</v>
      </c>
      <c r="N20" s="2">
        <v>0.0190322</v>
      </c>
      <c r="O20" s="2">
        <v>0.0198845</v>
      </c>
      <c r="P20" s="2">
        <v>144993000000000</v>
      </c>
      <c r="Q20" s="2">
        <v>8893240000</v>
      </c>
      <c r="R20" s="2">
        <v>0</v>
      </c>
      <c r="S20" s="2">
        <v>0</v>
      </c>
      <c r="T20" s="2">
        <v>2</v>
      </c>
      <c r="U20" s="2">
        <v>22059500000000</v>
      </c>
      <c r="V20" s="2">
        <v>24498700000000</v>
      </c>
      <c r="W20" s="2">
        <v>31266400000000</v>
      </c>
      <c r="X20" s="2">
        <v>29763600000000</v>
      </c>
      <c r="Y20" s="2">
        <v>37404000000000</v>
      </c>
      <c r="AA20" s="2">
        <v>0.0189916</v>
      </c>
      <c r="AB20" s="2">
        <v>0.0198161</v>
      </c>
      <c r="AC20" s="2">
        <v>132511000000000</v>
      </c>
      <c r="AD20" s="2">
        <v>6215720000</v>
      </c>
      <c r="AE20" s="2">
        <v>0</v>
      </c>
      <c r="AF20" s="2">
        <v>0</v>
      </c>
      <c r="AG20" s="2">
        <v>2</v>
      </c>
      <c r="AH20" s="2">
        <v>28290000000000</v>
      </c>
      <c r="AI20" s="2">
        <v>27623400000000</v>
      </c>
      <c r="AJ20" s="2">
        <v>28170700000000</v>
      </c>
      <c r="AK20" s="2">
        <v>28297900000000</v>
      </c>
      <c r="AL20" s="2">
        <v>20127100000000</v>
      </c>
      <c r="AN20" s="2">
        <f t="shared" si="0"/>
        <v>0.0190256</v>
      </c>
      <c r="AO20" s="2">
        <f t="shared" si="1"/>
        <v>135037000000000</v>
      </c>
      <c r="AP20" s="2">
        <f t="shared" si="2"/>
        <v>127607000000000</v>
      </c>
      <c r="AQ20" s="2">
        <f t="shared" si="3"/>
        <v>144993000000000</v>
      </c>
      <c r="AR20" s="2">
        <f t="shared" si="4"/>
        <v>25876666666666.7</v>
      </c>
      <c r="AS20" s="2">
        <f t="shared" si="5"/>
        <v>20098900000000</v>
      </c>
      <c r="AT20" s="2">
        <f t="shared" si="6"/>
        <v>37404000000000</v>
      </c>
    </row>
    <row r="21" customHeight="1" spans="1:46">
      <c r="A21" s="2">
        <v>0.0199899</v>
      </c>
      <c r="B21" s="2">
        <v>0.020679</v>
      </c>
      <c r="C21" s="2">
        <v>128747000000000</v>
      </c>
      <c r="D21" s="2">
        <v>21760000000</v>
      </c>
      <c r="E21" s="2">
        <v>0</v>
      </c>
      <c r="F21" s="2">
        <v>0</v>
      </c>
      <c r="G21" s="2">
        <v>2</v>
      </c>
      <c r="H21" s="2">
        <v>27413900000000</v>
      </c>
      <c r="I21" s="2">
        <v>26905200000000</v>
      </c>
      <c r="J21" s="2">
        <v>27628200000000</v>
      </c>
      <c r="K21" s="2">
        <v>26925800000000</v>
      </c>
      <c r="L21" s="2">
        <v>19874000000000</v>
      </c>
      <c r="N21" s="2">
        <v>0.0199931</v>
      </c>
      <c r="O21" s="2">
        <v>0.0208425</v>
      </c>
      <c r="P21" s="2">
        <v>145853000000000</v>
      </c>
      <c r="Q21" s="2">
        <v>11942300000</v>
      </c>
      <c r="R21" s="2">
        <v>0</v>
      </c>
      <c r="S21" s="2">
        <v>0</v>
      </c>
      <c r="T21" s="2">
        <v>2</v>
      </c>
      <c r="U21" s="2">
        <v>19546200000000</v>
      </c>
      <c r="V21" s="2">
        <v>24594400000000</v>
      </c>
      <c r="W21" s="2">
        <v>31953000000000</v>
      </c>
      <c r="X21" s="2">
        <v>29138600000000</v>
      </c>
      <c r="Y21" s="2">
        <v>40619000000000</v>
      </c>
      <c r="AA21" s="2">
        <v>0.0199893</v>
      </c>
      <c r="AB21" s="2">
        <v>0.0208344</v>
      </c>
      <c r="AC21" s="2">
        <v>131506000000000</v>
      </c>
      <c r="AD21" s="2">
        <v>8962480000</v>
      </c>
      <c r="AE21" s="2">
        <v>0</v>
      </c>
      <c r="AF21" s="2">
        <v>0</v>
      </c>
      <c r="AG21" s="2">
        <v>2</v>
      </c>
      <c r="AH21" s="2">
        <v>27135400000000</v>
      </c>
      <c r="AI21" s="2">
        <v>27539600000000</v>
      </c>
      <c r="AJ21" s="2">
        <v>27823300000000</v>
      </c>
      <c r="AK21" s="2">
        <v>27858100000000</v>
      </c>
      <c r="AL21" s="2">
        <v>21148300000000</v>
      </c>
      <c r="AN21" s="2">
        <f t="shared" si="0"/>
        <v>0.0199899</v>
      </c>
      <c r="AO21" s="2">
        <f t="shared" si="1"/>
        <v>135368666666667</v>
      </c>
      <c r="AP21" s="2">
        <f t="shared" si="2"/>
        <v>128747000000000</v>
      </c>
      <c r="AQ21" s="2">
        <f t="shared" si="3"/>
        <v>145853000000000</v>
      </c>
      <c r="AR21" s="2">
        <f t="shared" si="4"/>
        <v>27213766666666.7</v>
      </c>
      <c r="AS21" s="2">
        <f t="shared" si="5"/>
        <v>19874000000000</v>
      </c>
      <c r="AT21" s="2">
        <f t="shared" si="6"/>
        <v>40619000000000</v>
      </c>
    </row>
    <row r="22" customHeight="1" spans="1:46">
      <c r="A22" s="2">
        <v>0.0210189</v>
      </c>
      <c r="B22" s="2">
        <v>0.0216695</v>
      </c>
      <c r="C22" s="2">
        <v>128912000000000</v>
      </c>
      <c r="D22" s="2">
        <v>9840910000</v>
      </c>
      <c r="E22" s="2">
        <v>0</v>
      </c>
      <c r="F22" s="2">
        <v>0</v>
      </c>
      <c r="G22" s="2">
        <v>2</v>
      </c>
      <c r="H22" s="2">
        <v>27226400000000</v>
      </c>
      <c r="I22" s="2">
        <v>26815700000000</v>
      </c>
      <c r="J22" s="2">
        <v>28045800000000</v>
      </c>
      <c r="K22" s="2">
        <v>26912600000000</v>
      </c>
      <c r="L22" s="2">
        <v>19911600000000</v>
      </c>
      <c r="N22" s="2">
        <v>0.0209919</v>
      </c>
      <c r="O22" s="2">
        <v>0.0218466</v>
      </c>
      <c r="P22" s="2">
        <v>149437000000000</v>
      </c>
      <c r="Q22" s="2">
        <v>22600300000</v>
      </c>
      <c r="R22" s="2">
        <v>0</v>
      </c>
      <c r="S22" s="2">
        <v>0</v>
      </c>
      <c r="T22" s="2">
        <v>2</v>
      </c>
      <c r="U22" s="2">
        <v>21105700000000</v>
      </c>
      <c r="V22" s="2">
        <v>25906800000000</v>
      </c>
      <c r="W22" s="2">
        <v>31638100000000</v>
      </c>
      <c r="X22" s="2">
        <v>29476200000000</v>
      </c>
      <c r="Y22" s="2">
        <v>41309200000000</v>
      </c>
      <c r="AA22" s="2">
        <v>0.0210129</v>
      </c>
      <c r="AB22" s="2">
        <v>0.0218571</v>
      </c>
      <c r="AC22" s="2">
        <v>133799000000000</v>
      </c>
      <c r="AD22" s="2">
        <v>8907280000</v>
      </c>
      <c r="AE22" s="2">
        <v>0</v>
      </c>
      <c r="AF22" s="2">
        <v>0</v>
      </c>
      <c r="AG22" s="2">
        <v>2</v>
      </c>
      <c r="AH22" s="2">
        <v>28328900000000</v>
      </c>
      <c r="AI22" s="2">
        <v>27407200000000</v>
      </c>
      <c r="AJ22" s="2">
        <v>26735800000000</v>
      </c>
      <c r="AK22" s="2">
        <v>27893100000000</v>
      </c>
      <c r="AL22" s="2">
        <v>23432200000000</v>
      </c>
      <c r="AN22" s="2">
        <f t="shared" si="0"/>
        <v>0.0210189</v>
      </c>
      <c r="AO22" s="2">
        <f t="shared" si="1"/>
        <v>137382666666667</v>
      </c>
      <c r="AP22" s="2">
        <f t="shared" si="2"/>
        <v>128912000000000</v>
      </c>
      <c r="AQ22" s="2">
        <f t="shared" si="3"/>
        <v>149437000000000</v>
      </c>
      <c r="AR22" s="2">
        <f t="shared" si="4"/>
        <v>28217666666666.7</v>
      </c>
      <c r="AS22" s="2">
        <f t="shared" si="5"/>
        <v>19911600000000</v>
      </c>
      <c r="AT22" s="2">
        <f t="shared" si="6"/>
        <v>41309200000000</v>
      </c>
    </row>
    <row r="23" customHeight="1" spans="1:46">
      <c r="A23" s="2">
        <v>0.0220262</v>
      </c>
      <c r="B23" s="2">
        <v>0.0227023</v>
      </c>
      <c r="C23" s="2">
        <v>129414000000000</v>
      </c>
      <c r="D23" s="2">
        <v>8209990000</v>
      </c>
      <c r="E23" s="2">
        <v>0</v>
      </c>
      <c r="F23" s="2">
        <v>0</v>
      </c>
      <c r="G23" s="2">
        <v>2</v>
      </c>
      <c r="H23" s="2">
        <v>27245600000000</v>
      </c>
      <c r="I23" s="2">
        <v>26547800000000</v>
      </c>
      <c r="J23" s="2">
        <v>28064500000000</v>
      </c>
      <c r="K23" s="2">
        <v>26875700000000</v>
      </c>
      <c r="L23" s="2">
        <v>20680600000000</v>
      </c>
      <c r="N23" s="2">
        <v>0.0220331</v>
      </c>
      <c r="O23" s="2">
        <v>0.0228367</v>
      </c>
      <c r="P23" s="2">
        <v>154968000000000</v>
      </c>
      <c r="Q23" s="2">
        <v>5960060000</v>
      </c>
      <c r="R23" s="2">
        <v>0</v>
      </c>
      <c r="S23" s="2">
        <v>0</v>
      </c>
      <c r="T23" s="2">
        <v>2</v>
      </c>
      <c r="U23" s="2">
        <v>24400100000000</v>
      </c>
      <c r="V23" s="2">
        <v>27301100000000</v>
      </c>
      <c r="W23" s="2">
        <v>32402600000000</v>
      </c>
      <c r="X23" s="2">
        <v>29580300000000</v>
      </c>
      <c r="Y23" s="2">
        <v>41282200000000</v>
      </c>
      <c r="AA23" s="2">
        <v>0.0220072</v>
      </c>
      <c r="AB23" s="2">
        <v>0.0228644</v>
      </c>
      <c r="AC23" s="2">
        <v>136415000000000</v>
      </c>
      <c r="AD23" s="2">
        <v>9411180000</v>
      </c>
      <c r="AE23" s="2">
        <v>0</v>
      </c>
      <c r="AF23" s="2">
        <v>0</v>
      </c>
      <c r="AG23" s="2">
        <v>2</v>
      </c>
      <c r="AH23" s="2">
        <v>29044800000000</v>
      </c>
      <c r="AI23" s="2">
        <v>28426900000000</v>
      </c>
      <c r="AJ23" s="2">
        <v>26940100000000</v>
      </c>
      <c r="AK23" s="2">
        <v>28920500000000</v>
      </c>
      <c r="AL23" s="2">
        <v>23078900000000</v>
      </c>
      <c r="AN23" s="2">
        <f t="shared" si="0"/>
        <v>0.0220262</v>
      </c>
      <c r="AO23" s="2">
        <f t="shared" si="1"/>
        <v>140265666666667</v>
      </c>
      <c r="AP23" s="2">
        <f t="shared" si="2"/>
        <v>129414000000000</v>
      </c>
      <c r="AQ23" s="2">
        <f t="shared" si="3"/>
        <v>154968000000000</v>
      </c>
      <c r="AR23" s="2">
        <f t="shared" si="4"/>
        <v>28347233333333.3</v>
      </c>
      <c r="AS23" s="2">
        <f t="shared" si="5"/>
        <v>20680600000000</v>
      </c>
      <c r="AT23" s="2">
        <f t="shared" si="6"/>
        <v>41282200000000</v>
      </c>
    </row>
    <row r="24" customHeight="1" spans="1:46">
      <c r="A24" s="2">
        <v>0.0230102</v>
      </c>
      <c r="B24" s="2">
        <v>0.0236837</v>
      </c>
      <c r="C24" s="2">
        <v>130832000000000</v>
      </c>
      <c r="D24" s="2">
        <v>13800000000</v>
      </c>
      <c r="E24" s="2">
        <v>0</v>
      </c>
      <c r="F24" s="2">
        <v>0</v>
      </c>
      <c r="G24" s="2">
        <v>2</v>
      </c>
      <c r="H24" s="2">
        <v>27526600000000</v>
      </c>
      <c r="I24" s="2">
        <v>26648300000000</v>
      </c>
      <c r="J24" s="2">
        <v>28597900000000</v>
      </c>
      <c r="K24" s="2">
        <v>27842600000000</v>
      </c>
      <c r="L24" s="2">
        <v>20216400000000</v>
      </c>
      <c r="N24" s="2">
        <v>0.0229667</v>
      </c>
      <c r="O24" s="2">
        <v>0.0237291</v>
      </c>
      <c r="P24" s="2">
        <v>159273000000000</v>
      </c>
      <c r="Q24" s="2">
        <v>6583310000</v>
      </c>
      <c r="R24" s="2">
        <v>0</v>
      </c>
      <c r="S24" s="2">
        <v>0</v>
      </c>
      <c r="T24" s="2">
        <v>2</v>
      </c>
      <c r="U24" s="2">
        <v>24854100000000</v>
      </c>
      <c r="V24" s="2">
        <v>28512900000000</v>
      </c>
      <c r="W24" s="2">
        <v>34981900000000</v>
      </c>
      <c r="X24" s="2">
        <v>30941800000000</v>
      </c>
      <c r="Y24" s="2">
        <v>39981100000000</v>
      </c>
      <c r="AA24" s="2">
        <v>0.0229843</v>
      </c>
      <c r="AB24" s="2">
        <v>0.0238467</v>
      </c>
      <c r="AC24" s="2">
        <v>141083000000000</v>
      </c>
      <c r="AD24" s="2">
        <v>12815700000</v>
      </c>
      <c r="AE24" s="2">
        <v>0</v>
      </c>
      <c r="AF24" s="2">
        <v>0</v>
      </c>
      <c r="AG24" s="2">
        <v>2</v>
      </c>
      <c r="AH24" s="2">
        <v>29570400000000</v>
      </c>
      <c r="AI24" s="2">
        <v>29685200000000</v>
      </c>
      <c r="AJ24" s="2">
        <v>28712500000000</v>
      </c>
      <c r="AK24" s="2">
        <v>29730000000000</v>
      </c>
      <c r="AL24" s="2">
        <v>23384400000000</v>
      </c>
      <c r="AN24" s="2">
        <f t="shared" si="0"/>
        <v>0.0230102</v>
      </c>
      <c r="AO24" s="2">
        <f t="shared" si="1"/>
        <v>143729333333333</v>
      </c>
      <c r="AP24" s="2">
        <f t="shared" si="2"/>
        <v>130832000000000</v>
      </c>
      <c r="AQ24" s="2">
        <f t="shared" si="3"/>
        <v>159273000000000</v>
      </c>
      <c r="AR24" s="2">
        <f t="shared" si="4"/>
        <v>27860633333333.3</v>
      </c>
      <c r="AS24" s="2">
        <f t="shared" si="5"/>
        <v>20216400000000</v>
      </c>
      <c r="AT24" s="2">
        <f t="shared" si="6"/>
        <v>39981100000000</v>
      </c>
    </row>
    <row r="25" customHeight="1" spans="1:46">
      <c r="A25" s="2">
        <v>0.0239974</v>
      </c>
      <c r="B25" s="2">
        <v>0.0246909</v>
      </c>
      <c r="C25" s="2">
        <v>131312000000000</v>
      </c>
      <c r="D25" s="2">
        <v>25053200000</v>
      </c>
      <c r="E25" s="2">
        <v>0</v>
      </c>
      <c r="F25" s="2">
        <v>0</v>
      </c>
      <c r="G25" s="2">
        <v>2</v>
      </c>
      <c r="H25" s="2">
        <v>28139700000000</v>
      </c>
      <c r="I25" s="2">
        <v>26779600000000</v>
      </c>
      <c r="J25" s="2">
        <v>27789000000000</v>
      </c>
      <c r="K25" s="2">
        <v>28340800000000</v>
      </c>
      <c r="L25" s="2">
        <v>20260200000000</v>
      </c>
      <c r="N25" s="2">
        <v>0.0239774</v>
      </c>
      <c r="O25" s="2">
        <v>0.0247166</v>
      </c>
      <c r="P25" s="2">
        <v>166527000000000</v>
      </c>
      <c r="Q25" s="2">
        <v>2935630000</v>
      </c>
      <c r="R25" s="2">
        <v>0</v>
      </c>
      <c r="S25" s="2">
        <v>0</v>
      </c>
      <c r="T25" s="2">
        <v>2</v>
      </c>
      <c r="U25" s="2">
        <v>25089000000000</v>
      </c>
      <c r="V25" s="2">
        <v>28961400000000</v>
      </c>
      <c r="W25" s="2">
        <v>37145300000000</v>
      </c>
      <c r="X25" s="2">
        <v>32703200000000</v>
      </c>
      <c r="Y25" s="2">
        <v>42626100000000</v>
      </c>
      <c r="AA25" s="2">
        <v>0.0240046</v>
      </c>
      <c r="AB25" s="2">
        <v>0.0248514</v>
      </c>
      <c r="AC25" s="2">
        <v>143154000000000</v>
      </c>
      <c r="AD25" s="2">
        <v>24771500000</v>
      </c>
      <c r="AE25" s="2">
        <v>0</v>
      </c>
      <c r="AF25" s="2">
        <v>0</v>
      </c>
      <c r="AG25" s="2">
        <v>2</v>
      </c>
      <c r="AH25" s="2">
        <v>29017100000000</v>
      </c>
      <c r="AI25" s="2">
        <v>30700200000000</v>
      </c>
      <c r="AJ25" s="2">
        <v>29188900000000</v>
      </c>
      <c r="AK25" s="2">
        <v>29317800000000</v>
      </c>
      <c r="AL25" s="2">
        <v>24929200000000</v>
      </c>
      <c r="AN25" s="2">
        <f t="shared" si="0"/>
        <v>0.0239974</v>
      </c>
      <c r="AO25" s="2">
        <f t="shared" si="1"/>
        <v>146997666666667</v>
      </c>
      <c r="AP25" s="2">
        <f t="shared" si="2"/>
        <v>131312000000000</v>
      </c>
      <c r="AQ25" s="2">
        <f t="shared" si="3"/>
        <v>166527000000000</v>
      </c>
      <c r="AR25" s="2">
        <f t="shared" si="4"/>
        <v>29271833333333.3</v>
      </c>
      <c r="AS25" s="2">
        <f t="shared" si="5"/>
        <v>20260200000000</v>
      </c>
      <c r="AT25" s="2">
        <f t="shared" si="6"/>
        <v>42626100000000</v>
      </c>
    </row>
    <row r="26" customHeight="1" spans="1:46">
      <c r="A26" s="2">
        <v>0.0248874</v>
      </c>
      <c r="B26" s="2">
        <v>0.0255719</v>
      </c>
      <c r="C26" s="2">
        <v>131170000000000</v>
      </c>
      <c r="D26" s="2">
        <v>19829600000</v>
      </c>
      <c r="E26" s="2">
        <v>0</v>
      </c>
      <c r="F26" s="2">
        <v>0</v>
      </c>
      <c r="G26" s="2">
        <v>2</v>
      </c>
      <c r="H26" s="2">
        <v>28046900000000</v>
      </c>
      <c r="I26" s="2">
        <v>26854800000000</v>
      </c>
      <c r="J26" s="2">
        <v>27636600000000</v>
      </c>
      <c r="K26" s="2">
        <v>28220900000000</v>
      </c>
      <c r="L26" s="2">
        <v>20409700000000</v>
      </c>
      <c r="N26" s="2">
        <v>0.0250117</v>
      </c>
      <c r="O26" s="2">
        <v>0.0256698</v>
      </c>
      <c r="P26" s="2">
        <v>174015000000000</v>
      </c>
      <c r="Q26" s="2">
        <v>3179260000</v>
      </c>
      <c r="R26" s="2">
        <v>0</v>
      </c>
      <c r="S26" s="2">
        <v>0</v>
      </c>
      <c r="T26" s="2">
        <v>2</v>
      </c>
      <c r="U26" s="2">
        <v>25906500000000</v>
      </c>
      <c r="V26" s="2">
        <v>29764900000000</v>
      </c>
      <c r="W26" s="2">
        <v>38206600000000</v>
      </c>
      <c r="X26" s="2">
        <v>33741500000000</v>
      </c>
      <c r="Y26" s="2">
        <v>46392000000000</v>
      </c>
      <c r="AA26" s="2">
        <v>0.0250748</v>
      </c>
      <c r="AB26" s="2">
        <v>0.0258474</v>
      </c>
      <c r="AC26" s="2">
        <v>149355000000000</v>
      </c>
      <c r="AD26" s="2">
        <v>2367270000</v>
      </c>
      <c r="AE26" s="2">
        <v>0</v>
      </c>
      <c r="AF26" s="2">
        <v>0</v>
      </c>
      <c r="AG26" s="2">
        <v>2</v>
      </c>
      <c r="AH26" s="2">
        <v>29467800000000</v>
      </c>
      <c r="AI26" s="2">
        <v>32247600000000</v>
      </c>
      <c r="AJ26" s="2">
        <v>29517400000000</v>
      </c>
      <c r="AK26" s="2">
        <v>30724500000000</v>
      </c>
      <c r="AL26" s="2">
        <v>27397900000000</v>
      </c>
      <c r="AN26" s="2">
        <f t="shared" si="0"/>
        <v>0.0248874</v>
      </c>
      <c r="AO26" s="2">
        <f t="shared" si="1"/>
        <v>151513333333333</v>
      </c>
      <c r="AP26" s="2">
        <f t="shared" si="2"/>
        <v>131170000000000</v>
      </c>
      <c r="AQ26" s="2">
        <f t="shared" si="3"/>
        <v>174015000000000</v>
      </c>
      <c r="AR26" s="2">
        <f t="shared" si="4"/>
        <v>31399866666666.7</v>
      </c>
      <c r="AS26" s="2">
        <f t="shared" si="5"/>
        <v>20409700000000</v>
      </c>
      <c r="AT26" s="2">
        <f t="shared" si="6"/>
        <v>46392000000000</v>
      </c>
    </row>
    <row r="27" customHeight="1" spans="1:46">
      <c r="A27" s="2">
        <v>0.0259781</v>
      </c>
      <c r="B27" s="2">
        <v>0.0266431</v>
      </c>
      <c r="C27" s="2">
        <v>130511000000000</v>
      </c>
      <c r="D27" s="2">
        <v>11370000000</v>
      </c>
      <c r="E27" s="2">
        <v>0</v>
      </c>
      <c r="F27" s="2">
        <v>0</v>
      </c>
      <c r="G27" s="2">
        <v>2</v>
      </c>
      <c r="H27" s="2">
        <v>28567100000000</v>
      </c>
      <c r="I27" s="2">
        <v>26637800000000</v>
      </c>
      <c r="J27" s="2">
        <v>27996400000000</v>
      </c>
      <c r="K27" s="2">
        <v>27761100000000</v>
      </c>
      <c r="L27" s="2">
        <v>19548300000000</v>
      </c>
      <c r="N27" s="2">
        <v>0.0259907</v>
      </c>
      <c r="O27" s="2">
        <v>0.0265878</v>
      </c>
      <c r="P27" s="2">
        <v>180940000000000</v>
      </c>
      <c r="Q27" s="2">
        <v>1437960000</v>
      </c>
      <c r="R27" s="2">
        <v>0</v>
      </c>
      <c r="S27" s="2">
        <v>0</v>
      </c>
      <c r="T27" s="2">
        <v>2</v>
      </c>
      <c r="U27" s="2">
        <v>25204900000000</v>
      </c>
      <c r="V27" s="2">
        <v>30431500000000</v>
      </c>
      <c r="W27" s="2">
        <v>39633500000000</v>
      </c>
      <c r="X27" s="2">
        <v>34752100000000</v>
      </c>
      <c r="Y27" s="2">
        <v>50918400000000</v>
      </c>
      <c r="AA27" s="2">
        <v>0.0259812</v>
      </c>
      <c r="AB27" s="2">
        <v>0.0267433</v>
      </c>
      <c r="AC27" s="2">
        <v>149599000000000</v>
      </c>
      <c r="AD27" s="2">
        <v>6056370000</v>
      </c>
      <c r="AE27" s="2">
        <v>0</v>
      </c>
      <c r="AF27" s="2">
        <v>0</v>
      </c>
      <c r="AG27" s="2">
        <v>2</v>
      </c>
      <c r="AH27" s="2">
        <v>29653700000000</v>
      </c>
      <c r="AI27" s="2">
        <v>31975000000000</v>
      </c>
      <c r="AJ27" s="2">
        <v>30423500000000</v>
      </c>
      <c r="AK27" s="2">
        <v>29572600000000</v>
      </c>
      <c r="AL27" s="2">
        <v>27974500000000</v>
      </c>
      <c r="AN27" s="2">
        <f t="shared" si="0"/>
        <v>0.0259781</v>
      </c>
      <c r="AO27" s="2">
        <f t="shared" si="1"/>
        <v>153683333333333</v>
      </c>
      <c r="AP27" s="2">
        <f t="shared" si="2"/>
        <v>130511000000000</v>
      </c>
      <c r="AQ27" s="2">
        <f t="shared" si="3"/>
        <v>180940000000000</v>
      </c>
      <c r="AR27" s="2">
        <f t="shared" si="4"/>
        <v>32813733333333.3</v>
      </c>
      <c r="AS27" s="2">
        <f t="shared" si="5"/>
        <v>19548300000000</v>
      </c>
      <c r="AT27" s="2">
        <f t="shared" si="6"/>
        <v>50918400000000</v>
      </c>
    </row>
    <row r="28" customHeight="1" spans="1:46">
      <c r="A28" s="2">
        <v>0.0270155</v>
      </c>
      <c r="B28" s="2">
        <v>0.0276443</v>
      </c>
      <c r="C28" s="2">
        <v>129593000000000</v>
      </c>
      <c r="D28" s="2">
        <v>11571900000</v>
      </c>
      <c r="E28" s="2">
        <v>0</v>
      </c>
      <c r="F28" s="2">
        <v>0</v>
      </c>
      <c r="G28" s="2">
        <v>2</v>
      </c>
      <c r="H28" s="2">
        <v>27744700000000</v>
      </c>
      <c r="I28" s="2">
        <v>26624500000000</v>
      </c>
      <c r="J28" s="2">
        <v>27765500000000</v>
      </c>
      <c r="K28" s="2">
        <v>27508300000000</v>
      </c>
      <c r="L28" s="2">
        <v>19946800000000</v>
      </c>
      <c r="N28" s="2">
        <v>0.0269809</v>
      </c>
      <c r="O28" s="2">
        <v>0.027532</v>
      </c>
      <c r="P28" s="2">
        <v>187401000000000</v>
      </c>
      <c r="Q28" s="2">
        <v>861549000</v>
      </c>
      <c r="R28" s="2">
        <v>0</v>
      </c>
      <c r="S28" s="2">
        <v>0</v>
      </c>
      <c r="T28" s="2">
        <v>2</v>
      </c>
      <c r="U28" s="2">
        <v>23882400000000</v>
      </c>
      <c r="V28" s="2">
        <v>30805500000000</v>
      </c>
      <c r="W28" s="2">
        <v>40164800000000</v>
      </c>
      <c r="X28" s="2">
        <v>35782500000000</v>
      </c>
      <c r="Y28" s="2">
        <v>56765700000000</v>
      </c>
      <c r="AA28" s="2">
        <v>0.0269566</v>
      </c>
      <c r="AB28" s="2">
        <v>0.027725</v>
      </c>
      <c r="AC28" s="2">
        <v>154978000000000</v>
      </c>
      <c r="AD28" s="2">
        <v>1366800000</v>
      </c>
      <c r="AE28" s="2">
        <v>0</v>
      </c>
      <c r="AF28" s="2">
        <v>0</v>
      </c>
      <c r="AG28" s="2">
        <v>2</v>
      </c>
      <c r="AH28" s="2">
        <v>31820200000000</v>
      </c>
      <c r="AI28" s="2">
        <v>31823400000000</v>
      </c>
      <c r="AJ28" s="2">
        <v>32578100000000</v>
      </c>
      <c r="AK28" s="2">
        <v>30567600000000</v>
      </c>
      <c r="AL28" s="2">
        <v>28188700000000</v>
      </c>
      <c r="AN28" s="2">
        <f t="shared" si="0"/>
        <v>0.0270155</v>
      </c>
      <c r="AO28" s="2">
        <f t="shared" si="1"/>
        <v>157324000000000</v>
      </c>
      <c r="AP28" s="2">
        <f t="shared" si="2"/>
        <v>129593000000000</v>
      </c>
      <c r="AQ28" s="2">
        <f t="shared" si="3"/>
        <v>187401000000000</v>
      </c>
      <c r="AR28" s="2">
        <f t="shared" si="4"/>
        <v>34967066666666.7</v>
      </c>
      <c r="AS28" s="2">
        <f t="shared" si="5"/>
        <v>19946800000000</v>
      </c>
      <c r="AT28" s="2">
        <f t="shared" si="6"/>
        <v>56765700000000</v>
      </c>
    </row>
    <row r="29" customHeight="1" spans="1:46">
      <c r="A29" s="2">
        <v>0.0279952</v>
      </c>
      <c r="B29" s="2">
        <v>0.0286292</v>
      </c>
      <c r="C29" s="2">
        <v>128944000000000</v>
      </c>
      <c r="D29" s="2">
        <v>15155400000</v>
      </c>
      <c r="E29" s="2">
        <v>0</v>
      </c>
      <c r="F29" s="2">
        <v>0</v>
      </c>
      <c r="G29" s="2">
        <v>2</v>
      </c>
      <c r="H29" s="2">
        <v>27453200000000</v>
      </c>
      <c r="I29" s="2">
        <v>26383600000000</v>
      </c>
      <c r="J29" s="2">
        <v>27707600000000</v>
      </c>
      <c r="K29" s="2">
        <v>27021500000000</v>
      </c>
      <c r="L29" s="2">
        <v>20378300000000</v>
      </c>
      <c r="N29" s="2">
        <v>0.0281636</v>
      </c>
      <c r="O29" s="2">
        <v>0.0286557</v>
      </c>
      <c r="P29" s="2">
        <v>195312000000000</v>
      </c>
      <c r="Q29" s="2">
        <v>5968310000</v>
      </c>
      <c r="R29" s="2">
        <v>0</v>
      </c>
      <c r="S29" s="2">
        <v>0</v>
      </c>
      <c r="T29" s="2">
        <v>2</v>
      </c>
      <c r="U29" s="2">
        <v>23018800000000</v>
      </c>
      <c r="V29" s="2">
        <v>30404500000000</v>
      </c>
      <c r="W29" s="2">
        <v>40888300000000</v>
      </c>
      <c r="X29" s="2">
        <v>36468700000000</v>
      </c>
      <c r="Y29" s="2">
        <v>64531000000000</v>
      </c>
      <c r="AA29" s="2">
        <v>0.0279655</v>
      </c>
      <c r="AB29" s="2">
        <v>0.0286686</v>
      </c>
      <c r="AC29" s="2">
        <v>163320000000000</v>
      </c>
      <c r="AD29" s="2">
        <v>3547340000</v>
      </c>
      <c r="AE29" s="2">
        <v>0</v>
      </c>
      <c r="AF29" s="2">
        <v>0</v>
      </c>
      <c r="AG29" s="2">
        <v>2</v>
      </c>
      <c r="AH29" s="2">
        <v>31657900000000</v>
      </c>
      <c r="AI29" s="2">
        <v>32343600000000</v>
      </c>
      <c r="AJ29" s="2">
        <v>34349300000000</v>
      </c>
      <c r="AK29" s="2">
        <v>31423500000000</v>
      </c>
      <c r="AL29" s="2">
        <v>33545200000000</v>
      </c>
      <c r="AN29" s="2">
        <f t="shared" si="0"/>
        <v>0.0279952</v>
      </c>
      <c r="AO29" s="2">
        <f t="shared" si="1"/>
        <v>162525333333333</v>
      </c>
      <c r="AP29" s="2">
        <f t="shared" si="2"/>
        <v>128944000000000</v>
      </c>
      <c r="AQ29" s="2">
        <f t="shared" si="3"/>
        <v>195312000000000</v>
      </c>
      <c r="AR29" s="2">
        <f t="shared" si="4"/>
        <v>39484833333333.3</v>
      </c>
      <c r="AS29" s="2">
        <f t="shared" si="5"/>
        <v>20378300000000</v>
      </c>
      <c r="AT29" s="2">
        <f t="shared" si="6"/>
        <v>64531000000000</v>
      </c>
    </row>
    <row r="30" customHeight="1" spans="1:46">
      <c r="A30" s="2">
        <v>0.0290926</v>
      </c>
      <c r="B30" s="2">
        <v>0.0297397</v>
      </c>
      <c r="C30" s="2">
        <v>128707000000000</v>
      </c>
      <c r="D30" s="2">
        <v>30099500000</v>
      </c>
      <c r="E30" s="2">
        <v>0</v>
      </c>
      <c r="F30" s="2">
        <v>0</v>
      </c>
      <c r="G30" s="2">
        <v>2</v>
      </c>
      <c r="H30" s="2">
        <v>27376500000000</v>
      </c>
      <c r="I30" s="2">
        <v>26235400000000</v>
      </c>
      <c r="J30" s="2">
        <v>27186000000000</v>
      </c>
      <c r="K30" s="2">
        <v>26753500000000</v>
      </c>
      <c r="L30" s="2">
        <v>21155600000000</v>
      </c>
      <c r="N30" s="2">
        <v>0.0289706</v>
      </c>
      <c r="O30" s="2">
        <v>0.0294301</v>
      </c>
      <c r="P30" s="2">
        <v>200183000000000</v>
      </c>
      <c r="Q30" s="2">
        <v>814004000</v>
      </c>
      <c r="R30" s="2">
        <v>0</v>
      </c>
      <c r="S30" s="2">
        <v>0</v>
      </c>
      <c r="T30" s="2">
        <v>2</v>
      </c>
      <c r="U30" s="2">
        <v>22529300000000</v>
      </c>
      <c r="V30" s="2">
        <v>30109000000000</v>
      </c>
      <c r="W30" s="2">
        <v>40861600000000</v>
      </c>
      <c r="X30" s="2">
        <v>36315900000000</v>
      </c>
      <c r="Y30" s="2">
        <v>70367000000000</v>
      </c>
      <c r="AA30" s="2">
        <v>0.0289957</v>
      </c>
      <c r="AB30" s="2">
        <v>0.0296631</v>
      </c>
      <c r="AC30" s="2">
        <v>171612000000000</v>
      </c>
      <c r="AD30" s="2">
        <v>2402730000</v>
      </c>
      <c r="AE30" s="2">
        <v>0</v>
      </c>
      <c r="AF30" s="2">
        <v>0</v>
      </c>
      <c r="AG30" s="2">
        <v>2</v>
      </c>
      <c r="AH30" s="2">
        <v>33604600000000</v>
      </c>
      <c r="AI30" s="2">
        <v>32307300000000</v>
      </c>
      <c r="AJ30" s="2">
        <v>35583700000000</v>
      </c>
      <c r="AK30" s="2">
        <v>31782400000000</v>
      </c>
      <c r="AL30" s="2">
        <v>38333700000000</v>
      </c>
      <c r="AN30" s="2">
        <f t="shared" si="0"/>
        <v>0.0290926</v>
      </c>
      <c r="AO30" s="2">
        <f t="shared" si="1"/>
        <v>166834000000000</v>
      </c>
      <c r="AP30" s="2">
        <f t="shared" si="2"/>
        <v>128707000000000</v>
      </c>
      <c r="AQ30" s="2">
        <f t="shared" si="3"/>
        <v>200183000000000</v>
      </c>
      <c r="AR30" s="2">
        <f t="shared" si="4"/>
        <v>43285433333333.3</v>
      </c>
      <c r="AS30" s="2">
        <f t="shared" si="5"/>
        <v>21155600000000</v>
      </c>
      <c r="AT30" s="2">
        <f t="shared" si="6"/>
        <v>70367000000000</v>
      </c>
    </row>
    <row r="31" customHeight="1" spans="1:46">
      <c r="A31" s="2">
        <v>0.0299866</v>
      </c>
      <c r="B31" s="2">
        <v>0.0306173</v>
      </c>
      <c r="C31" s="2">
        <v>128473000000000</v>
      </c>
      <c r="D31" s="2">
        <v>6045850000</v>
      </c>
      <c r="E31" s="2">
        <v>0</v>
      </c>
      <c r="F31" s="2">
        <v>0</v>
      </c>
      <c r="G31" s="2">
        <v>2</v>
      </c>
      <c r="H31" s="2">
        <v>27102700000000</v>
      </c>
      <c r="I31" s="2">
        <v>26095000000000</v>
      </c>
      <c r="J31" s="2">
        <v>27167600000000</v>
      </c>
      <c r="K31" s="2">
        <v>26812600000000</v>
      </c>
      <c r="L31" s="2">
        <v>21290500000000</v>
      </c>
      <c r="N31" s="2">
        <v>0.0299872</v>
      </c>
      <c r="O31" s="2">
        <v>0.0304154</v>
      </c>
      <c r="P31" s="2">
        <v>206039000000000</v>
      </c>
      <c r="Q31" s="2">
        <v>374830000</v>
      </c>
      <c r="R31" s="2">
        <v>0</v>
      </c>
      <c r="S31" s="2">
        <v>0</v>
      </c>
      <c r="T31" s="2">
        <v>2</v>
      </c>
      <c r="U31" s="2">
        <v>21693600000000</v>
      </c>
      <c r="V31" s="2">
        <v>29875000000000</v>
      </c>
      <c r="W31" s="2">
        <v>40436300000000</v>
      </c>
      <c r="X31" s="2">
        <v>36276000000000</v>
      </c>
      <c r="Y31" s="2">
        <v>77758100000000</v>
      </c>
      <c r="AA31" s="2">
        <v>0.0299948</v>
      </c>
      <c r="AB31" s="2">
        <v>0.030594</v>
      </c>
      <c r="AC31" s="2">
        <v>181031000000000</v>
      </c>
      <c r="AD31" s="2">
        <v>1470660000</v>
      </c>
      <c r="AE31" s="2">
        <v>0</v>
      </c>
      <c r="AF31" s="2">
        <v>0</v>
      </c>
      <c r="AG31" s="2">
        <v>2</v>
      </c>
      <c r="AH31" s="2">
        <v>34435000000000</v>
      </c>
      <c r="AI31" s="2">
        <v>32243400000000</v>
      </c>
      <c r="AJ31" s="2">
        <v>36985900000000</v>
      </c>
      <c r="AK31" s="2">
        <v>31785500000000</v>
      </c>
      <c r="AL31" s="2">
        <v>45581300000000</v>
      </c>
      <c r="AN31" s="2">
        <f t="shared" si="0"/>
        <v>0.0299866</v>
      </c>
      <c r="AO31" s="2">
        <f t="shared" si="1"/>
        <v>171847666666667</v>
      </c>
      <c r="AP31" s="2">
        <f t="shared" si="2"/>
        <v>128473000000000</v>
      </c>
      <c r="AQ31" s="2">
        <f t="shared" si="3"/>
        <v>206039000000000</v>
      </c>
      <c r="AR31" s="2">
        <f t="shared" si="4"/>
        <v>48209966666666.7</v>
      </c>
      <c r="AS31" s="2">
        <f t="shared" si="5"/>
        <v>21290500000000</v>
      </c>
      <c r="AT31" s="2">
        <f t="shared" si="6"/>
        <v>77758100000000</v>
      </c>
    </row>
    <row r="32" customHeight="1" spans="1:46">
      <c r="A32" s="2">
        <v>0.0310285</v>
      </c>
      <c r="B32" s="2">
        <v>0.0316593</v>
      </c>
      <c r="C32" s="2">
        <v>127661000000000</v>
      </c>
      <c r="D32" s="2">
        <v>15517600000</v>
      </c>
      <c r="E32" s="2">
        <v>0</v>
      </c>
      <c r="F32" s="2">
        <v>0</v>
      </c>
      <c r="G32" s="2">
        <v>2</v>
      </c>
      <c r="H32" s="2">
        <v>27297800000000</v>
      </c>
      <c r="I32" s="2">
        <v>26414100000000</v>
      </c>
      <c r="J32" s="2">
        <v>27516600000000</v>
      </c>
      <c r="K32" s="2">
        <v>25625700000000</v>
      </c>
      <c r="L32" s="2">
        <v>20794900000000</v>
      </c>
      <c r="N32" s="2">
        <v>0.0310075</v>
      </c>
      <c r="O32" s="2">
        <v>0.0314117</v>
      </c>
      <c r="P32" s="2">
        <v>212150000000000</v>
      </c>
      <c r="Q32" s="2">
        <v>609084000</v>
      </c>
      <c r="R32" s="2">
        <v>0</v>
      </c>
      <c r="S32" s="2">
        <v>0</v>
      </c>
      <c r="T32" s="2">
        <v>2</v>
      </c>
      <c r="U32" s="2">
        <v>21427000000000</v>
      </c>
      <c r="V32" s="2">
        <v>29419000000000</v>
      </c>
      <c r="W32" s="2">
        <v>40378300000000</v>
      </c>
      <c r="X32" s="2">
        <v>36912100000000</v>
      </c>
      <c r="Y32" s="2">
        <v>84010900000000</v>
      </c>
      <c r="AA32" s="2">
        <v>0.0310206</v>
      </c>
      <c r="AB32" s="2">
        <v>0.0315587</v>
      </c>
      <c r="AC32" s="2">
        <v>190101000000000</v>
      </c>
      <c r="AD32" s="2">
        <v>1910290000</v>
      </c>
      <c r="AE32" s="2">
        <v>0</v>
      </c>
      <c r="AF32" s="2">
        <v>0</v>
      </c>
      <c r="AG32" s="2">
        <v>2</v>
      </c>
      <c r="AH32" s="2">
        <v>35061300000000</v>
      </c>
      <c r="AI32" s="2">
        <v>32570600000000</v>
      </c>
      <c r="AJ32" s="2">
        <v>37756500000000</v>
      </c>
      <c r="AK32" s="2">
        <v>32200300000000</v>
      </c>
      <c r="AL32" s="2">
        <v>52511800000000</v>
      </c>
      <c r="AN32" s="2"/>
      <c r="AO32" s="2"/>
      <c r="AP32" s="2"/>
      <c r="AQ32" s="2"/>
      <c r="AR32" s="2"/>
      <c r="AS32" s="2"/>
      <c r="AT32" s="2"/>
    </row>
    <row r="33" customHeight="1" spans="1:38">
      <c r="A33" s="2">
        <v>0.0318894</v>
      </c>
      <c r="B33" s="2">
        <v>0.0325222</v>
      </c>
      <c r="C33" s="2">
        <v>127233000000000</v>
      </c>
      <c r="D33" s="2">
        <v>27554400000</v>
      </c>
      <c r="E33" s="2">
        <v>0</v>
      </c>
      <c r="F33" s="2">
        <v>0</v>
      </c>
      <c r="G33" s="2">
        <v>2</v>
      </c>
      <c r="H33" s="2">
        <v>27248000000000</v>
      </c>
      <c r="I33" s="2">
        <v>26591700000000</v>
      </c>
      <c r="J33" s="2">
        <v>27071100000000</v>
      </c>
      <c r="K33" s="2">
        <v>25224200000000</v>
      </c>
      <c r="L33" s="2">
        <v>21097100000000</v>
      </c>
      <c r="N33" s="2">
        <v>0.0320211</v>
      </c>
      <c r="O33" s="2">
        <v>0.0324037</v>
      </c>
      <c r="P33" s="2">
        <v>217668000000000</v>
      </c>
      <c r="Q33" s="2">
        <v>366724000</v>
      </c>
      <c r="R33" s="2">
        <v>0</v>
      </c>
      <c r="S33" s="2">
        <v>0</v>
      </c>
      <c r="T33" s="2">
        <v>2</v>
      </c>
      <c r="U33" s="2">
        <v>21135600000000</v>
      </c>
      <c r="V33" s="2">
        <v>28885700000000</v>
      </c>
      <c r="W33" s="2">
        <v>40662200000000</v>
      </c>
      <c r="X33" s="2">
        <v>37168800000000</v>
      </c>
      <c r="Y33" s="2">
        <v>89815000000000</v>
      </c>
      <c r="AA33" s="2">
        <v>0.0319805</v>
      </c>
      <c r="AB33" s="2">
        <v>0.0324669</v>
      </c>
      <c r="AC33" s="2">
        <v>197582000000000</v>
      </c>
      <c r="AD33" s="2">
        <v>928549000</v>
      </c>
      <c r="AE33" s="2">
        <v>0</v>
      </c>
      <c r="AF33" s="2">
        <v>0</v>
      </c>
      <c r="AG33" s="2">
        <v>2</v>
      </c>
      <c r="AH33" s="2">
        <v>35132600000000</v>
      </c>
      <c r="AI33" s="2">
        <v>32392300000000</v>
      </c>
      <c r="AJ33" s="2">
        <v>37959000000000</v>
      </c>
      <c r="AK33" s="2">
        <v>32057200000000</v>
      </c>
      <c r="AL33" s="2">
        <v>60040400000000</v>
      </c>
    </row>
    <row r="34" customHeight="1" spans="1:38">
      <c r="A34" s="2">
        <v>0.0329781</v>
      </c>
      <c r="B34" s="2">
        <v>0.033583</v>
      </c>
      <c r="C34" s="2">
        <v>126929000000000</v>
      </c>
      <c r="D34" s="2">
        <v>83090500000</v>
      </c>
      <c r="E34" s="2">
        <v>0</v>
      </c>
      <c r="F34" s="2">
        <v>0</v>
      </c>
      <c r="G34" s="2">
        <v>2</v>
      </c>
      <c r="H34" s="2">
        <v>27341500000000</v>
      </c>
      <c r="I34" s="2">
        <v>26207900000000</v>
      </c>
      <c r="J34" s="2">
        <v>26774000000000</v>
      </c>
      <c r="K34" s="2">
        <v>25390500000000</v>
      </c>
      <c r="L34" s="2">
        <v>21210900000000</v>
      </c>
      <c r="N34" s="2">
        <v>0.0330056</v>
      </c>
      <c r="O34" s="2">
        <v>0.033364</v>
      </c>
      <c r="P34" s="2">
        <v>223212000000000</v>
      </c>
      <c r="Q34" s="2">
        <v>448753000</v>
      </c>
      <c r="R34" s="2">
        <v>0</v>
      </c>
      <c r="S34" s="2">
        <v>0</v>
      </c>
      <c r="T34" s="2">
        <v>2</v>
      </c>
      <c r="U34" s="2">
        <v>20940900000000</v>
      </c>
      <c r="V34" s="2">
        <v>28470800000000</v>
      </c>
      <c r="W34" s="2">
        <v>40634900000000</v>
      </c>
      <c r="X34" s="2">
        <v>37312500000000</v>
      </c>
      <c r="Y34" s="2">
        <v>95853000000000</v>
      </c>
      <c r="AA34" s="2">
        <v>0.0329864</v>
      </c>
      <c r="AB34" s="2">
        <v>0.0334334</v>
      </c>
      <c r="AC34" s="2">
        <v>204529000000000</v>
      </c>
      <c r="AD34" s="2">
        <v>1828160000</v>
      </c>
      <c r="AE34" s="2">
        <v>0</v>
      </c>
      <c r="AF34" s="2">
        <v>0</v>
      </c>
      <c r="AG34" s="2">
        <v>2</v>
      </c>
      <c r="AH34" s="2">
        <v>34900400000000</v>
      </c>
      <c r="AI34" s="2">
        <v>31912900000000</v>
      </c>
      <c r="AJ34" s="2">
        <v>37831500000000</v>
      </c>
      <c r="AK34" s="2">
        <v>31687000000000</v>
      </c>
      <c r="AL34" s="2">
        <v>68197100000000</v>
      </c>
    </row>
    <row r="35" customHeight="1" spans="1:38">
      <c r="A35" s="2">
        <v>0.0340371</v>
      </c>
      <c r="B35" s="2">
        <v>0.0346188</v>
      </c>
      <c r="C35" s="2">
        <v>126334000000000</v>
      </c>
      <c r="D35" s="2">
        <v>20872500000</v>
      </c>
      <c r="E35" s="2">
        <v>0</v>
      </c>
      <c r="F35" s="2">
        <v>0</v>
      </c>
      <c r="G35" s="2">
        <v>2</v>
      </c>
      <c r="H35" s="2">
        <v>27124900000000</v>
      </c>
      <c r="I35" s="2">
        <v>25842600000000</v>
      </c>
      <c r="J35" s="2">
        <v>26819300000000</v>
      </c>
      <c r="K35" s="2">
        <v>25360700000000</v>
      </c>
      <c r="L35" s="2">
        <v>21186500000000</v>
      </c>
      <c r="N35" s="2">
        <v>0.0339336</v>
      </c>
      <c r="O35" s="2">
        <v>0.0342797</v>
      </c>
      <c r="P35" s="2">
        <v>228463000000000</v>
      </c>
      <c r="Q35" s="2">
        <v>359219000</v>
      </c>
      <c r="R35" s="2">
        <v>0</v>
      </c>
      <c r="S35" s="2">
        <v>0</v>
      </c>
      <c r="T35" s="2">
        <v>2</v>
      </c>
      <c r="U35" s="2">
        <v>20987400000000</v>
      </c>
      <c r="V35" s="2">
        <v>28524400000000</v>
      </c>
      <c r="W35" s="2">
        <v>40649600000000</v>
      </c>
      <c r="X35" s="2">
        <v>37380300000000</v>
      </c>
      <c r="Y35" s="2">
        <v>100921000000000</v>
      </c>
      <c r="AA35" s="2">
        <v>0.0339954</v>
      </c>
      <c r="AB35" s="2">
        <v>0.0344079</v>
      </c>
      <c r="AC35" s="2">
        <v>211553000000000</v>
      </c>
      <c r="AD35" s="2">
        <v>656165000</v>
      </c>
      <c r="AE35" s="2">
        <v>0</v>
      </c>
      <c r="AF35" s="2">
        <v>0</v>
      </c>
      <c r="AG35" s="2">
        <v>2</v>
      </c>
      <c r="AH35" s="2">
        <v>34478700000000</v>
      </c>
      <c r="AI35" s="2">
        <v>31836600000000</v>
      </c>
      <c r="AJ35" s="2">
        <v>37803900000000</v>
      </c>
      <c r="AK35" s="2">
        <v>31499300000000</v>
      </c>
      <c r="AL35" s="2">
        <v>75932600000000</v>
      </c>
    </row>
    <row r="36" customHeight="1" spans="1:38">
      <c r="A36" s="2">
        <v>0.0349071</v>
      </c>
      <c r="B36" s="2">
        <v>0.0354814</v>
      </c>
      <c r="C36" s="2">
        <v>125997000000000</v>
      </c>
      <c r="D36" s="2">
        <v>18802500000</v>
      </c>
      <c r="E36" s="2">
        <v>0</v>
      </c>
      <c r="F36" s="2">
        <v>0</v>
      </c>
      <c r="G36" s="2">
        <v>2</v>
      </c>
      <c r="H36" s="2">
        <v>26981900000000</v>
      </c>
      <c r="I36" s="2">
        <v>25457100000000</v>
      </c>
      <c r="J36" s="2">
        <v>27162000000000</v>
      </c>
      <c r="K36" s="2">
        <v>25158000000000</v>
      </c>
      <c r="L36" s="2">
        <v>21238100000000</v>
      </c>
      <c r="N36" s="2">
        <v>0.0349799</v>
      </c>
      <c r="O36" s="2">
        <v>0.0353022</v>
      </c>
      <c r="P36" s="2">
        <v>234722000000000</v>
      </c>
      <c r="Q36" s="2">
        <v>406621000</v>
      </c>
      <c r="R36" s="2">
        <v>0</v>
      </c>
      <c r="S36" s="2">
        <v>0</v>
      </c>
      <c r="T36" s="2">
        <v>2</v>
      </c>
      <c r="U36" s="2">
        <v>20989400000000</v>
      </c>
      <c r="V36" s="2">
        <v>28312400000000</v>
      </c>
      <c r="W36" s="2">
        <v>40746000000000</v>
      </c>
      <c r="X36" s="2">
        <v>37577800000000</v>
      </c>
      <c r="Y36" s="2">
        <v>107097000000000</v>
      </c>
      <c r="AA36" s="2">
        <v>0.0350567</v>
      </c>
      <c r="AB36" s="2">
        <v>0.0354363</v>
      </c>
      <c r="AC36" s="2">
        <v>218447000000000</v>
      </c>
      <c r="AD36" s="2">
        <v>2111100000</v>
      </c>
      <c r="AE36" s="2">
        <v>0</v>
      </c>
      <c r="AF36" s="2">
        <v>0</v>
      </c>
      <c r="AG36" s="2">
        <v>2</v>
      </c>
      <c r="AH36" s="2">
        <v>34439200000000</v>
      </c>
      <c r="AI36" s="2">
        <v>31240700000000</v>
      </c>
      <c r="AJ36" s="2">
        <v>37884000000000</v>
      </c>
      <c r="AK36" s="2">
        <v>31613900000000</v>
      </c>
      <c r="AL36" s="2">
        <v>83268900000000</v>
      </c>
    </row>
    <row r="37" customHeight="1" spans="1:38">
      <c r="A37" s="2">
        <v>0.0359954</v>
      </c>
      <c r="B37" s="2">
        <v>0.0365822</v>
      </c>
      <c r="C37" s="2">
        <v>126226000000000</v>
      </c>
      <c r="D37" s="2">
        <v>13207500000</v>
      </c>
      <c r="E37" s="2">
        <v>0</v>
      </c>
      <c r="F37" s="2">
        <v>0</v>
      </c>
      <c r="G37" s="2">
        <v>2</v>
      </c>
      <c r="H37" s="2">
        <v>26688300000000</v>
      </c>
      <c r="I37" s="2">
        <v>24893100000000</v>
      </c>
      <c r="J37" s="2">
        <v>26874800000000</v>
      </c>
      <c r="K37" s="2">
        <v>25141900000000</v>
      </c>
      <c r="L37" s="2">
        <v>22625300000000</v>
      </c>
      <c r="N37" s="2">
        <v>0.0359858</v>
      </c>
      <c r="O37" s="2">
        <v>0.0362931</v>
      </c>
      <c r="P37" s="2">
        <v>240268000000000</v>
      </c>
      <c r="Q37" s="2">
        <v>519664000</v>
      </c>
      <c r="R37" s="2">
        <v>0</v>
      </c>
      <c r="S37" s="2">
        <v>0</v>
      </c>
      <c r="T37" s="2">
        <v>2</v>
      </c>
      <c r="U37" s="2">
        <v>20988900000000</v>
      </c>
      <c r="V37" s="2">
        <v>27828500000000</v>
      </c>
      <c r="W37" s="2">
        <v>40845700000000</v>
      </c>
      <c r="X37" s="2">
        <v>37462600000000</v>
      </c>
      <c r="Y37" s="2">
        <v>113143000000000</v>
      </c>
      <c r="AA37" s="2">
        <v>0.0359689</v>
      </c>
      <c r="AB37" s="2">
        <v>0.0363242</v>
      </c>
      <c r="AC37" s="2">
        <v>224123000000000</v>
      </c>
      <c r="AD37" s="2">
        <v>90591700</v>
      </c>
      <c r="AE37" s="2">
        <v>0</v>
      </c>
      <c r="AF37" s="2">
        <v>0</v>
      </c>
      <c r="AG37" s="2">
        <v>2</v>
      </c>
      <c r="AH37" s="2">
        <v>34362100000000</v>
      </c>
      <c r="AI37" s="2">
        <v>30975300000000</v>
      </c>
      <c r="AJ37" s="2">
        <v>37829500000000</v>
      </c>
      <c r="AK37" s="2">
        <v>31428800000000</v>
      </c>
      <c r="AL37" s="2">
        <v>89527000000000</v>
      </c>
    </row>
    <row r="38" customHeight="1" spans="1:38">
      <c r="A38" s="2">
        <v>0.0370021</v>
      </c>
      <c r="B38" s="2">
        <v>0.0375686</v>
      </c>
      <c r="C38" s="2">
        <v>126146000000000</v>
      </c>
      <c r="D38" s="2">
        <v>5849240000</v>
      </c>
      <c r="E38" s="2">
        <v>0</v>
      </c>
      <c r="F38" s="2">
        <v>0</v>
      </c>
      <c r="G38" s="2">
        <v>2</v>
      </c>
      <c r="H38" s="2">
        <v>26467000000000</v>
      </c>
      <c r="I38" s="2">
        <v>24832400000000</v>
      </c>
      <c r="J38" s="2">
        <v>26343100000000</v>
      </c>
      <c r="K38" s="2">
        <v>25110400000000</v>
      </c>
      <c r="L38" s="2">
        <v>23392500000000</v>
      </c>
      <c r="N38" s="2">
        <v>0.0370156</v>
      </c>
      <c r="O38" s="2">
        <v>0.0373163</v>
      </c>
      <c r="P38" s="2">
        <v>245890000000000</v>
      </c>
      <c r="Q38" s="2">
        <v>506547000</v>
      </c>
      <c r="R38" s="2">
        <v>0</v>
      </c>
      <c r="S38" s="2">
        <v>0</v>
      </c>
      <c r="T38" s="2">
        <v>2</v>
      </c>
      <c r="U38" s="2">
        <v>21191600000000</v>
      </c>
      <c r="V38" s="2">
        <v>27464800000000</v>
      </c>
      <c r="W38" s="2">
        <v>41032900000000</v>
      </c>
      <c r="X38" s="2">
        <v>37349400000000</v>
      </c>
      <c r="Y38" s="2">
        <v>118851000000000</v>
      </c>
      <c r="AA38" s="2">
        <v>0.0369815</v>
      </c>
      <c r="AB38" s="2">
        <v>0.0373101</v>
      </c>
      <c r="AC38" s="2">
        <v>230894000000000</v>
      </c>
      <c r="AD38" s="2">
        <v>279717000</v>
      </c>
      <c r="AE38" s="2">
        <v>0</v>
      </c>
      <c r="AF38" s="2">
        <v>0</v>
      </c>
      <c r="AG38" s="2">
        <v>2</v>
      </c>
      <c r="AH38" s="2">
        <v>34085700000000</v>
      </c>
      <c r="AI38" s="2">
        <v>31200500000000</v>
      </c>
      <c r="AJ38" s="2">
        <v>37731200000000</v>
      </c>
      <c r="AK38" s="2">
        <v>31353000000000</v>
      </c>
      <c r="AL38" s="2">
        <v>96523500000000</v>
      </c>
    </row>
    <row r="39" customHeight="1" spans="1:38">
      <c r="A39" s="2">
        <v>0.0379667</v>
      </c>
      <c r="B39" s="2">
        <v>0.0385412</v>
      </c>
      <c r="C39" s="2">
        <v>125896000000000</v>
      </c>
      <c r="D39" s="2">
        <v>15686000000</v>
      </c>
      <c r="E39" s="2">
        <v>0</v>
      </c>
      <c r="F39" s="2">
        <v>0</v>
      </c>
      <c r="G39" s="2">
        <v>2</v>
      </c>
      <c r="H39" s="2">
        <v>26224800000000</v>
      </c>
      <c r="I39" s="2">
        <v>24300600000000</v>
      </c>
      <c r="J39" s="2">
        <v>26309600000000</v>
      </c>
      <c r="K39" s="2">
        <v>24514500000000</v>
      </c>
      <c r="L39" s="2">
        <v>24545900000000</v>
      </c>
      <c r="N39" s="2">
        <v>0.0379832</v>
      </c>
      <c r="O39" s="2">
        <v>0.0382747</v>
      </c>
      <c r="P39" s="2">
        <v>250723000000000</v>
      </c>
      <c r="Q39" s="2">
        <v>1598510000</v>
      </c>
      <c r="R39" s="2">
        <v>0</v>
      </c>
      <c r="S39" s="2">
        <v>0</v>
      </c>
      <c r="T39" s="2">
        <v>2</v>
      </c>
      <c r="U39" s="2">
        <v>21049500000000</v>
      </c>
      <c r="V39" s="2">
        <v>27362900000000</v>
      </c>
      <c r="W39" s="2">
        <v>41004000000000</v>
      </c>
      <c r="X39" s="2">
        <v>37490700000000</v>
      </c>
      <c r="Y39" s="2">
        <v>123816000000000</v>
      </c>
      <c r="AA39" s="2">
        <v>0.0380006</v>
      </c>
      <c r="AB39" s="2">
        <v>0.0383182</v>
      </c>
      <c r="AC39" s="2">
        <v>237529000000000</v>
      </c>
      <c r="AD39" s="2">
        <v>397144000</v>
      </c>
      <c r="AE39" s="2">
        <v>0</v>
      </c>
      <c r="AF39" s="2">
        <v>0</v>
      </c>
      <c r="AG39" s="2">
        <v>2</v>
      </c>
      <c r="AH39" s="2">
        <v>34144600000000</v>
      </c>
      <c r="AI39" s="2">
        <v>30958300000000</v>
      </c>
      <c r="AJ39" s="2">
        <v>37709200000000</v>
      </c>
      <c r="AK39" s="2">
        <v>31299100000000</v>
      </c>
      <c r="AL39" s="2">
        <v>103417000000000</v>
      </c>
    </row>
    <row r="40" customHeight="1" spans="1:38">
      <c r="A40" s="2">
        <v>0.0390098</v>
      </c>
      <c r="B40" s="2">
        <v>0.0395371</v>
      </c>
      <c r="C40" s="2">
        <v>125191000000000</v>
      </c>
      <c r="D40" s="2">
        <v>53826400000</v>
      </c>
      <c r="E40" s="2">
        <v>0</v>
      </c>
      <c r="F40" s="2">
        <v>0</v>
      </c>
      <c r="G40" s="2">
        <v>2</v>
      </c>
      <c r="H40" s="2">
        <v>25399300000000</v>
      </c>
      <c r="I40" s="2">
        <v>24327500000000</v>
      </c>
      <c r="J40" s="2">
        <v>26208500000000</v>
      </c>
      <c r="K40" s="2">
        <v>24313100000000</v>
      </c>
      <c r="L40" s="2">
        <v>24941600000000</v>
      </c>
      <c r="N40" s="2">
        <v>0.0389982</v>
      </c>
      <c r="O40" s="2">
        <v>0.0392802</v>
      </c>
      <c r="P40" s="2">
        <v>255076000000000</v>
      </c>
      <c r="Q40" s="2">
        <v>1130380000</v>
      </c>
      <c r="R40" s="2">
        <v>0</v>
      </c>
      <c r="S40" s="2">
        <v>0</v>
      </c>
      <c r="T40" s="2">
        <v>2</v>
      </c>
      <c r="U40" s="2">
        <v>21185800000000</v>
      </c>
      <c r="V40" s="2">
        <v>27055000000000</v>
      </c>
      <c r="W40" s="2">
        <v>41059600000000</v>
      </c>
      <c r="X40" s="2">
        <v>37828700000000</v>
      </c>
      <c r="Y40" s="2">
        <v>127947000000000</v>
      </c>
      <c r="AA40" s="2">
        <v>0.0389922</v>
      </c>
      <c r="AB40" s="2">
        <v>0.0392907</v>
      </c>
      <c r="AC40" s="2">
        <v>243628000000000</v>
      </c>
      <c r="AD40" s="2">
        <v>251580000</v>
      </c>
      <c r="AE40" s="2">
        <v>0</v>
      </c>
      <c r="AF40" s="2">
        <v>0</v>
      </c>
      <c r="AG40" s="2">
        <v>2</v>
      </c>
      <c r="AH40" s="2">
        <v>34284700000000</v>
      </c>
      <c r="AI40" s="2">
        <v>30784200000000</v>
      </c>
      <c r="AJ40" s="2">
        <v>37548100000000</v>
      </c>
      <c r="AK40" s="2">
        <v>30930700000000</v>
      </c>
      <c r="AL40" s="2">
        <v>110077000000000</v>
      </c>
    </row>
    <row r="41" customHeight="1" spans="1:38">
      <c r="A41" s="2">
        <v>0.040006</v>
      </c>
      <c r="B41" s="2">
        <v>0.0404929</v>
      </c>
      <c r="C41" s="2">
        <v>124601000000000</v>
      </c>
      <c r="D41" s="2">
        <v>34925800000</v>
      </c>
      <c r="E41" s="2">
        <v>0</v>
      </c>
      <c r="F41" s="2">
        <v>0</v>
      </c>
      <c r="G41" s="2">
        <v>2</v>
      </c>
      <c r="H41" s="2">
        <v>24854500000000</v>
      </c>
      <c r="I41" s="2">
        <v>23636100000000</v>
      </c>
      <c r="J41" s="2">
        <v>25836000000000</v>
      </c>
      <c r="K41" s="2">
        <v>24167500000000</v>
      </c>
      <c r="L41" s="2">
        <v>26101400000000</v>
      </c>
      <c r="N41" s="2">
        <v>0.0400317</v>
      </c>
      <c r="O41" s="2">
        <v>0.040303</v>
      </c>
      <c r="P41" s="2">
        <v>260044000000000</v>
      </c>
      <c r="Q41" s="2">
        <v>6266270000</v>
      </c>
      <c r="R41" s="2">
        <v>0</v>
      </c>
      <c r="S41" s="2">
        <v>0</v>
      </c>
      <c r="T41" s="2">
        <v>2</v>
      </c>
      <c r="U41" s="2">
        <v>21339800000000</v>
      </c>
      <c r="V41" s="2">
        <v>27096100000000</v>
      </c>
      <c r="W41" s="2">
        <v>40939700000000</v>
      </c>
      <c r="X41" s="2">
        <v>37714900000000</v>
      </c>
      <c r="Y41" s="2">
        <v>132954000000000</v>
      </c>
      <c r="AA41" s="2">
        <v>0.0399882</v>
      </c>
      <c r="AB41" s="2">
        <v>0.0402702</v>
      </c>
      <c r="AC41" s="2">
        <v>249515000000000</v>
      </c>
      <c r="AD41" s="2">
        <v>836879000</v>
      </c>
      <c r="AE41" s="2">
        <v>0</v>
      </c>
      <c r="AF41" s="2">
        <v>0</v>
      </c>
      <c r="AG41" s="2">
        <v>2</v>
      </c>
      <c r="AH41" s="2">
        <v>34174500000000</v>
      </c>
      <c r="AI41" s="2">
        <v>30670600000000</v>
      </c>
      <c r="AJ41" s="2">
        <v>37272800000000</v>
      </c>
      <c r="AK41" s="2">
        <v>30647600000000</v>
      </c>
      <c r="AL41" s="2">
        <v>116747000000000</v>
      </c>
    </row>
    <row r="42" customHeight="1" spans="1:38">
      <c r="A42" s="2">
        <v>0.0409747</v>
      </c>
      <c r="B42" s="2">
        <v>0.0414405</v>
      </c>
      <c r="C42" s="2">
        <v>123925000000000</v>
      </c>
      <c r="D42" s="2">
        <v>36995100000</v>
      </c>
      <c r="E42" s="2">
        <v>0</v>
      </c>
      <c r="F42" s="2">
        <v>0</v>
      </c>
      <c r="G42" s="2">
        <v>2</v>
      </c>
      <c r="H42" s="2">
        <v>24330100000000</v>
      </c>
      <c r="I42" s="2">
        <v>23698000000000</v>
      </c>
      <c r="J42" s="2">
        <v>25276500000000</v>
      </c>
      <c r="K42" s="2">
        <v>23515100000000</v>
      </c>
      <c r="L42" s="2">
        <v>27103200000000</v>
      </c>
      <c r="N42" s="2">
        <v>0.0410036</v>
      </c>
      <c r="O42" s="2">
        <v>0.0412663</v>
      </c>
      <c r="P42" s="2">
        <v>264718000000000</v>
      </c>
      <c r="Q42" s="2">
        <v>2285880000</v>
      </c>
      <c r="R42" s="2">
        <v>0</v>
      </c>
      <c r="S42" s="2">
        <v>0</v>
      </c>
      <c r="T42" s="2">
        <v>2</v>
      </c>
      <c r="U42" s="2">
        <v>21364000000000</v>
      </c>
      <c r="V42" s="2">
        <v>26966700000000</v>
      </c>
      <c r="W42" s="2">
        <v>41078300000000</v>
      </c>
      <c r="X42" s="2">
        <v>37608300000000</v>
      </c>
      <c r="Y42" s="2">
        <v>137701000000000</v>
      </c>
      <c r="AA42" s="2">
        <v>0.0409985</v>
      </c>
      <c r="AB42" s="2">
        <v>0.041273</v>
      </c>
      <c r="AC42" s="2">
        <v>255613000000000</v>
      </c>
      <c r="AD42" s="2">
        <v>239488000</v>
      </c>
      <c r="AE42" s="2">
        <v>0</v>
      </c>
      <c r="AF42" s="2">
        <v>0</v>
      </c>
      <c r="AG42" s="2">
        <v>2</v>
      </c>
      <c r="AH42" s="2">
        <v>34194700000000</v>
      </c>
      <c r="AI42" s="2">
        <v>30775400000000</v>
      </c>
      <c r="AJ42" s="2">
        <v>37119800000000</v>
      </c>
      <c r="AK42" s="2">
        <v>30375700000000</v>
      </c>
      <c r="AL42" s="2">
        <v>123145000000000</v>
      </c>
    </row>
    <row r="43" customHeight="1" spans="1:38">
      <c r="A43" s="2">
        <v>0.0420212</v>
      </c>
      <c r="B43" s="2">
        <v>0.0424861</v>
      </c>
      <c r="C43" s="2">
        <v>123773000000000</v>
      </c>
      <c r="D43" s="2">
        <v>51203200000</v>
      </c>
      <c r="E43" s="2">
        <v>0</v>
      </c>
      <c r="F43" s="2">
        <v>0</v>
      </c>
      <c r="G43" s="2">
        <v>2</v>
      </c>
      <c r="H43" s="2">
        <v>24148100000000</v>
      </c>
      <c r="I43" s="2">
        <v>23468000000000</v>
      </c>
      <c r="J43" s="2">
        <v>24620300000000</v>
      </c>
      <c r="K43" s="2">
        <v>23524700000000</v>
      </c>
      <c r="L43" s="2">
        <v>28011000000000</v>
      </c>
      <c r="N43" s="2">
        <v>0.0419811</v>
      </c>
      <c r="O43" s="2">
        <v>0.0422324</v>
      </c>
      <c r="P43" s="2">
        <v>269437000000000</v>
      </c>
      <c r="Q43" s="2">
        <v>203234000</v>
      </c>
      <c r="R43" s="2">
        <v>0</v>
      </c>
      <c r="S43" s="2">
        <v>0</v>
      </c>
      <c r="T43" s="2">
        <v>2</v>
      </c>
      <c r="U43" s="2">
        <v>21203600000000</v>
      </c>
      <c r="V43" s="2">
        <v>26869000000000</v>
      </c>
      <c r="W43" s="2">
        <v>41064100000000</v>
      </c>
      <c r="X43" s="2">
        <v>37560500000000</v>
      </c>
      <c r="Y43" s="2">
        <v>142740000000000</v>
      </c>
      <c r="AA43" s="2">
        <v>0.0420185</v>
      </c>
      <c r="AB43" s="2">
        <v>0.0422784</v>
      </c>
      <c r="AC43" s="2">
        <v>261320000000000</v>
      </c>
      <c r="AD43" s="2">
        <v>449293000</v>
      </c>
      <c r="AE43" s="2">
        <v>0</v>
      </c>
      <c r="AF43" s="2">
        <v>0</v>
      </c>
      <c r="AG43" s="2">
        <v>2</v>
      </c>
      <c r="AH43" s="2">
        <v>34256200000000</v>
      </c>
      <c r="AI43" s="2">
        <v>30639400000000</v>
      </c>
      <c r="AJ43" s="2">
        <v>37169400000000</v>
      </c>
      <c r="AK43" s="2">
        <v>30058400000000</v>
      </c>
      <c r="AL43" s="2">
        <v>129193000000000</v>
      </c>
    </row>
    <row r="44" customHeight="1" spans="1:38">
      <c r="A44" s="2">
        <v>0.0429143</v>
      </c>
      <c r="B44" s="2">
        <v>0.0433507</v>
      </c>
      <c r="C44" s="2">
        <v>123405000000000</v>
      </c>
      <c r="D44" s="2">
        <v>9287740000</v>
      </c>
      <c r="E44" s="2">
        <v>0</v>
      </c>
      <c r="F44" s="2">
        <v>0</v>
      </c>
      <c r="G44" s="2">
        <v>2</v>
      </c>
      <c r="H44" s="2">
        <v>24128300000000</v>
      </c>
      <c r="I44" s="2">
        <v>23443800000000</v>
      </c>
      <c r="J44" s="2">
        <v>24211800000000</v>
      </c>
      <c r="K44" s="2">
        <v>23545700000000</v>
      </c>
      <c r="L44" s="2">
        <v>28075600000000</v>
      </c>
      <c r="N44" s="2">
        <v>0.0429805</v>
      </c>
      <c r="O44" s="2">
        <v>0.0432255</v>
      </c>
      <c r="P44" s="2">
        <v>274231000000000</v>
      </c>
      <c r="Q44" s="2">
        <v>1284730000</v>
      </c>
      <c r="R44" s="2">
        <v>0</v>
      </c>
      <c r="S44" s="2">
        <v>0</v>
      </c>
      <c r="T44" s="2">
        <v>2</v>
      </c>
      <c r="U44" s="2">
        <v>21288600000000</v>
      </c>
      <c r="V44" s="2">
        <v>26822400000000</v>
      </c>
      <c r="W44" s="2">
        <v>41088500000000</v>
      </c>
      <c r="X44" s="2">
        <v>37594900000000</v>
      </c>
      <c r="Y44" s="2">
        <v>147436000000000</v>
      </c>
      <c r="AA44" s="2">
        <v>0.0429729</v>
      </c>
      <c r="AB44" s="2">
        <v>0.0432323</v>
      </c>
      <c r="AC44" s="2">
        <v>265950000000000</v>
      </c>
      <c r="AD44" s="2">
        <v>1917010000</v>
      </c>
      <c r="AE44" s="2">
        <v>0</v>
      </c>
      <c r="AF44" s="2">
        <v>0</v>
      </c>
      <c r="AG44" s="2">
        <v>2</v>
      </c>
      <c r="AH44" s="2">
        <v>34315000000000</v>
      </c>
      <c r="AI44" s="2">
        <v>30681500000000</v>
      </c>
      <c r="AJ44" s="2">
        <v>37213800000000</v>
      </c>
      <c r="AK44" s="2">
        <v>29863000000000</v>
      </c>
      <c r="AL44" s="2">
        <v>133874000000000</v>
      </c>
    </row>
    <row r="45" customHeight="1" spans="1:38">
      <c r="A45" s="2">
        <v>0.0440009</v>
      </c>
      <c r="B45" s="2">
        <v>0.0444215</v>
      </c>
      <c r="C45" s="2">
        <v>123027000000000</v>
      </c>
      <c r="D45" s="2">
        <v>57009400000</v>
      </c>
      <c r="E45" s="2">
        <v>0</v>
      </c>
      <c r="F45" s="2">
        <v>0</v>
      </c>
      <c r="G45" s="2">
        <v>2</v>
      </c>
      <c r="H45" s="2">
        <v>23952000000000</v>
      </c>
      <c r="I45" s="2">
        <v>23326800000000</v>
      </c>
      <c r="J45" s="2">
        <v>23865700000000</v>
      </c>
      <c r="K45" s="2">
        <v>23305100000000</v>
      </c>
      <c r="L45" s="2">
        <v>28571400000000</v>
      </c>
      <c r="N45" s="2">
        <v>0.0440313</v>
      </c>
      <c r="O45" s="2">
        <v>0.0442666</v>
      </c>
      <c r="P45" s="2">
        <v>278845000000000</v>
      </c>
      <c r="Q45" s="2">
        <v>827104000</v>
      </c>
      <c r="R45" s="2">
        <v>0</v>
      </c>
      <c r="S45" s="2">
        <v>0</v>
      </c>
      <c r="T45" s="2">
        <v>2</v>
      </c>
      <c r="U45" s="2">
        <v>21417500000000</v>
      </c>
      <c r="V45" s="2">
        <v>27036000000000</v>
      </c>
      <c r="W45" s="2">
        <v>41231900000000</v>
      </c>
      <c r="X45" s="2">
        <v>37326700000000</v>
      </c>
      <c r="Y45" s="2">
        <v>151833000000000</v>
      </c>
      <c r="AA45" s="2">
        <v>0.0440452</v>
      </c>
      <c r="AB45" s="2">
        <v>0.0442907</v>
      </c>
      <c r="AC45" s="2">
        <v>270667000000000</v>
      </c>
      <c r="AD45" s="2">
        <v>177811000</v>
      </c>
      <c r="AE45" s="2">
        <v>0</v>
      </c>
      <c r="AF45" s="2">
        <v>0</v>
      </c>
      <c r="AG45" s="2">
        <v>2</v>
      </c>
      <c r="AH45" s="2">
        <v>34077100000000</v>
      </c>
      <c r="AI45" s="2">
        <v>30470300000000</v>
      </c>
      <c r="AJ45" s="2">
        <v>37432400000000</v>
      </c>
      <c r="AK45" s="2">
        <v>29784000000000</v>
      </c>
      <c r="AL45" s="2">
        <v>138900000000000</v>
      </c>
    </row>
    <row r="46" customHeight="1" spans="1:38">
      <c r="A46" s="2">
        <v>0.0450019</v>
      </c>
      <c r="B46" s="2">
        <v>0.0454374</v>
      </c>
      <c r="C46" s="2">
        <v>122818000000000</v>
      </c>
      <c r="D46" s="2">
        <v>54146600000</v>
      </c>
      <c r="E46" s="2">
        <v>0</v>
      </c>
      <c r="F46" s="2">
        <v>0</v>
      </c>
      <c r="G46" s="2">
        <v>2</v>
      </c>
      <c r="H46" s="2">
        <v>23794200000000</v>
      </c>
      <c r="I46" s="2">
        <v>22970300000000</v>
      </c>
      <c r="J46" s="2">
        <v>23875700000000</v>
      </c>
      <c r="K46" s="2">
        <v>23106600000000</v>
      </c>
      <c r="L46" s="2">
        <v>29071200000000</v>
      </c>
      <c r="N46" s="2">
        <v>0.0450174</v>
      </c>
      <c r="O46" s="2">
        <v>0.045246</v>
      </c>
      <c r="P46" s="2">
        <v>283501000000000</v>
      </c>
      <c r="Q46" s="2">
        <v>1522900000</v>
      </c>
      <c r="R46" s="2">
        <v>0</v>
      </c>
      <c r="S46" s="2">
        <v>0</v>
      </c>
      <c r="T46" s="2">
        <v>2</v>
      </c>
      <c r="U46" s="2">
        <v>21580800000000</v>
      </c>
      <c r="V46" s="2">
        <v>27482600000000</v>
      </c>
      <c r="W46" s="2">
        <v>41485800000000</v>
      </c>
      <c r="X46" s="2">
        <v>36944600000000</v>
      </c>
      <c r="Y46" s="2">
        <v>156007000000000</v>
      </c>
      <c r="AA46" s="2">
        <v>0.0450626</v>
      </c>
      <c r="AB46" s="2">
        <v>0.0453067</v>
      </c>
      <c r="AC46" s="2">
        <v>274870000000000</v>
      </c>
      <c r="AD46" s="2">
        <v>1369680000</v>
      </c>
      <c r="AE46" s="2">
        <v>0</v>
      </c>
      <c r="AF46" s="2">
        <v>0</v>
      </c>
      <c r="AG46" s="2">
        <v>2</v>
      </c>
      <c r="AH46" s="2">
        <v>33888100000000</v>
      </c>
      <c r="AI46" s="2">
        <v>30105500000000</v>
      </c>
      <c r="AJ46" s="2">
        <v>37798100000000</v>
      </c>
      <c r="AK46" s="2">
        <v>29779300000000</v>
      </c>
      <c r="AL46" s="2">
        <v>143296000000000</v>
      </c>
    </row>
    <row r="47" customHeight="1" spans="1:38">
      <c r="A47" s="2">
        <v>0.0460726</v>
      </c>
      <c r="B47" s="2">
        <v>0.046492</v>
      </c>
      <c r="C47" s="2">
        <v>122591000000000</v>
      </c>
      <c r="D47" s="2">
        <v>33590700000</v>
      </c>
      <c r="E47" s="2">
        <v>0</v>
      </c>
      <c r="F47" s="2">
        <v>0</v>
      </c>
      <c r="G47" s="2">
        <v>2</v>
      </c>
      <c r="H47" s="2">
        <v>23536600000000</v>
      </c>
      <c r="I47" s="2">
        <v>22488700000000</v>
      </c>
      <c r="J47" s="2">
        <v>23518400000000</v>
      </c>
      <c r="K47" s="2">
        <v>22898800000000</v>
      </c>
      <c r="L47" s="2">
        <v>30148800000000</v>
      </c>
      <c r="N47" s="2">
        <v>0.0458763</v>
      </c>
      <c r="O47" s="2">
        <v>0.0460983</v>
      </c>
      <c r="P47" s="2">
        <v>287865000000000</v>
      </c>
      <c r="Q47" s="2">
        <v>0</v>
      </c>
      <c r="R47" s="2">
        <v>0</v>
      </c>
      <c r="S47" s="2">
        <v>0</v>
      </c>
      <c r="T47" s="2">
        <v>2</v>
      </c>
      <c r="U47" s="2">
        <v>21576000000000</v>
      </c>
      <c r="V47" s="2">
        <v>27672600000000</v>
      </c>
      <c r="W47" s="2">
        <v>41670400000000</v>
      </c>
      <c r="X47" s="2">
        <v>36882900000000</v>
      </c>
      <c r="Y47" s="2">
        <v>160063000000000</v>
      </c>
      <c r="AA47" s="2">
        <v>0.0459514</v>
      </c>
      <c r="AB47" s="2">
        <v>0.0461849</v>
      </c>
      <c r="AC47" s="2">
        <v>278143000000000</v>
      </c>
      <c r="AD47" s="2">
        <v>499321000</v>
      </c>
      <c r="AE47" s="2">
        <v>0</v>
      </c>
      <c r="AF47" s="2">
        <v>0</v>
      </c>
      <c r="AG47" s="2">
        <v>2</v>
      </c>
      <c r="AH47" s="2">
        <v>33862600000000</v>
      </c>
      <c r="AI47" s="2">
        <v>29744100000000</v>
      </c>
      <c r="AJ47" s="2">
        <v>38198000000000</v>
      </c>
      <c r="AK47" s="2">
        <v>29989700000000</v>
      </c>
      <c r="AL47" s="2">
        <v>146346000000000</v>
      </c>
    </row>
    <row r="48" customHeight="1" spans="1:38">
      <c r="A48" s="2">
        <v>0.0469727</v>
      </c>
      <c r="B48" s="2">
        <v>0.0473673</v>
      </c>
      <c r="C48" s="2">
        <v>122552000000000</v>
      </c>
      <c r="D48" s="2">
        <v>10624600000</v>
      </c>
      <c r="E48" s="2">
        <v>0</v>
      </c>
      <c r="F48" s="2">
        <v>0</v>
      </c>
      <c r="G48" s="2">
        <v>2</v>
      </c>
      <c r="H48" s="2">
        <v>23452100000000</v>
      </c>
      <c r="I48" s="2">
        <v>22860900000000</v>
      </c>
      <c r="J48" s="2">
        <v>23564900000000</v>
      </c>
      <c r="K48" s="2">
        <v>23123600000000</v>
      </c>
      <c r="L48" s="2">
        <v>29550300000000</v>
      </c>
      <c r="AA48" s="2">
        <v>0.0470057</v>
      </c>
      <c r="AB48" s="2">
        <v>0.0472422</v>
      </c>
      <c r="AC48" s="2">
        <v>281365000000000</v>
      </c>
      <c r="AD48" s="2">
        <v>831074000</v>
      </c>
      <c r="AE48" s="2">
        <v>0</v>
      </c>
      <c r="AF48" s="2">
        <v>0</v>
      </c>
      <c r="AG48" s="2">
        <v>2</v>
      </c>
      <c r="AH48" s="2">
        <v>33780600000000</v>
      </c>
      <c r="AI48" s="2">
        <v>29294200000000</v>
      </c>
      <c r="AJ48" s="2">
        <v>38227000000000</v>
      </c>
      <c r="AK48" s="2">
        <v>30532300000000</v>
      </c>
      <c r="AL48" s="2">
        <v>149528000000000</v>
      </c>
    </row>
    <row r="49" customHeight="1" spans="1:38">
      <c r="A49" s="2">
        <v>0.0479596</v>
      </c>
      <c r="B49" s="2">
        <v>0.0483477</v>
      </c>
      <c r="C49" s="2">
        <v>122604000000000</v>
      </c>
      <c r="D49" s="2">
        <v>45169100000</v>
      </c>
      <c r="E49" s="2">
        <v>0</v>
      </c>
      <c r="F49" s="2">
        <v>0</v>
      </c>
      <c r="G49" s="2">
        <v>2</v>
      </c>
      <c r="H49" s="2">
        <v>23491000000000</v>
      </c>
      <c r="I49" s="2">
        <v>23045700000000</v>
      </c>
      <c r="J49" s="2">
        <v>23612200000000</v>
      </c>
      <c r="K49" s="2">
        <v>23246600000000</v>
      </c>
      <c r="L49" s="2">
        <v>29208600000000</v>
      </c>
      <c r="AA49" s="2">
        <v>0.0480148</v>
      </c>
      <c r="AB49" s="2">
        <v>0.048235</v>
      </c>
      <c r="AC49" s="2">
        <v>284762000000000</v>
      </c>
      <c r="AD49" s="2">
        <v>1324200000</v>
      </c>
      <c r="AE49" s="2">
        <v>0</v>
      </c>
      <c r="AF49" s="2">
        <v>0</v>
      </c>
      <c r="AG49" s="2">
        <v>2</v>
      </c>
      <c r="AH49" s="2">
        <v>33459600000000</v>
      </c>
      <c r="AI49" s="2">
        <v>28857800000000</v>
      </c>
      <c r="AJ49" s="2">
        <v>38418600000000</v>
      </c>
      <c r="AK49" s="2">
        <v>30611400000000</v>
      </c>
      <c r="AL49" s="2">
        <v>153412000000000</v>
      </c>
    </row>
    <row r="50" customHeight="1" spans="1:38">
      <c r="A50" s="2">
        <v>0.0489212</v>
      </c>
      <c r="B50" s="2">
        <v>0.0493163</v>
      </c>
      <c r="C50" s="2">
        <v>122400000000000</v>
      </c>
      <c r="D50" s="2">
        <v>29905700000</v>
      </c>
      <c r="E50" s="2">
        <v>0</v>
      </c>
      <c r="F50" s="2">
        <v>0</v>
      </c>
      <c r="G50" s="2">
        <v>2</v>
      </c>
      <c r="H50" s="2">
        <v>23483700000000</v>
      </c>
      <c r="I50" s="2">
        <v>22926500000000</v>
      </c>
      <c r="J50" s="2">
        <v>23540400000000</v>
      </c>
      <c r="K50" s="2">
        <v>23336200000000</v>
      </c>
      <c r="L50" s="2">
        <v>29111000000000</v>
      </c>
      <c r="AA50" s="2">
        <v>0.0489706</v>
      </c>
      <c r="AB50" s="2">
        <v>0.0491959</v>
      </c>
      <c r="AC50" s="2">
        <v>286606000000000</v>
      </c>
      <c r="AD50" s="2">
        <v>3195880000</v>
      </c>
      <c r="AE50" s="2">
        <v>0</v>
      </c>
      <c r="AF50" s="2">
        <v>0</v>
      </c>
      <c r="AG50" s="2">
        <v>2</v>
      </c>
      <c r="AH50" s="2">
        <v>33065800000000</v>
      </c>
      <c r="AI50" s="2">
        <v>28124200000000</v>
      </c>
      <c r="AJ50" s="2">
        <v>38148500000000</v>
      </c>
      <c r="AK50" s="2">
        <v>30714400000000</v>
      </c>
      <c r="AL50" s="2">
        <v>156550000000000</v>
      </c>
    </row>
    <row r="51" customHeight="1" spans="1:38">
      <c r="A51" s="2">
        <v>0.0499793</v>
      </c>
      <c r="B51" s="2">
        <v>0.0503718</v>
      </c>
      <c r="C51" s="2">
        <v>122368000000000</v>
      </c>
      <c r="D51" s="2">
        <v>43883600000</v>
      </c>
      <c r="E51" s="2">
        <v>0</v>
      </c>
      <c r="F51" s="2">
        <v>0</v>
      </c>
      <c r="G51" s="2">
        <v>2</v>
      </c>
      <c r="H51" s="2">
        <v>23681800000000</v>
      </c>
      <c r="I51" s="2">
        <v>23185700000000</v>
      </c>
      <c r="J51" s="2">
        <v>23614200000000</v>
      </c>
      <c r="K51" s="2">
        <v>23259800000000</v>
      </c>
      <c r="L51" s="2">
        <v>28625200000000</v>
      </c>
      <c r="AA51" s="2">
        <v>0.0499974</v>
      </c>
      <c r="AB51" s="2">
        <v>0.0502211</v>
      </c>
      <c r="AC51" s="2">
        <v>289366000000000</v>
      </c>
      <c r="AD51" s="2">
        <v>650698000</v>
      </c>
      <c r="AE51" s="2">
        <v>0</v>
      </c>
      <c r="AF51" s="2">
        <v>0</v>
      </c>
      <c r="AG51" s="2">
        <v>2</v>
      </c>
      <c r="AH51" s="2">
        <v>32841800000000</v>
      </c>
      <c r="AI51" s="2">
        <v>27815300000000</v>
      </c>
      <c r="AJ51" s="2">
        <v>38032400000000</v>
      </c>
      <c r="AK51" s="2">
        <v>30983000000000</v>
      </c>
      <c r="AL51" s="2">
        <v>159690000000000</v>
      </c>
    </row>
    <row r="52" customHeight="1" spans="1:38">
      <c r="A52" s="2">
        <v>0.0510426</v>
      </c>
      <c r="B52" s="2">
        <v>0.0514462</v>
      </c>
      <c r="C52" s="2">
        <v>122488000000000</v>
      </c>
      <c r="D52" s="2">
        <v>35421300000</v>
      </c>
      <c r="E52" s="2">
        <v>0</v>
      </c>
      <c r="F52" s="2">
        <v>0</v>
      </c>
      <c r="G52" s="2">
        <v>2</v>
      </c>
      <c r="H52" s="2">
        <v>23631900000000</v>
      </c>
      <c r="I52" s="2">
        <v>23434600000000</v>
      </c>
      <c r="J52" s="2">
        <v>23649900000000</v>
      </c>
      <c r="K52" s="2">
        <v>23268500000000</v>
      </c>
      <c r="L52" s="2">
        <v>28503400000000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customHeight="1" spans="1:12">
      <c r="A53" s="2">
        <v>0.0520212</v>
      </c>
      <c r="B53" s="2">
        <v>0.052436</v>
      </c>
      <c r="C53" s="2">
        <v>122444000000000</v>
      </c>
      <c r="D53" s="2">
        <v>21848700000</v>
      </c>
      <c r="E53" s="2">
        <v>0</v>
      </c>
      <c r="F53" s="2">
        <v>0</v>
      </c>
      <c r="G53" s="2">
        <v>2</v>
      </c>
      <c r="H53" s="2">
        <v>23483900000000</v>
      </c>
      <c r="I53" s="2">
        <v>23287600000000</v>
      </c>
      <c r="J53" s="2">
        <v>23649300000000</v>
      </c>
      <c r="K53" s="2">
        <v>23220000000000</v>
      </c>
      <c r="L53" s="2">
        <v>28801100000000</v>
      </c>
    </row>
    <row r="54" customHeight="1" spans="1:12">
      <c r="A54" s="2">
        <v>0.0529936</v>
      </c>
      <c r="B54" s="2">
        <v>0.0534092</v>
      </c>
      <c r="C54" s="2">
        <v>122620000000000</v>
      </c>
      <c r="D54" s="2">
        <v>54160900000</v>
      </c>
      <c r="E54" s="2">
        <v>0</v>
      </c>
      <c r="F54" s="2">
        <v>0</v>
      </c>
      <c r="G54" s="2">
        <v>2</v>
      </c>
      <c r="H54" s="2">
        <v>23419600000000</v>
      </c>
      <c r="I54" s="2">
        <v>23503900000000</v>
      </c>
      <c r="J54" s="2">
        <v>23629400000000</v>
      </c>
      <c r="K54" s="2">
        <v>23376300000000</v>
      </c>
      <c r="L54" s="2">
        <v>28691100000000</v>
      </c>
    </row>
    <row r="55" customHeight="1" spans="1:12">
      <c r="A55" s="2">
        <v>0.0540112</v>
      </c>
      <c r="B55" s="2">
        <v>0.0544206</v>
      </c>
      <c r="C55" s="2">
        <v>122473000000000</v>
      </c>
      <c r="D55" s="2">
        <v>35067800000</v>
      </c>
      <c r="E55" s="2">
        <v>0</v>
      </c>
      <c r="F55" s="2">
        <v>0</v>
      </c>
      <c r="G55" s="2">
        <v>2</v>
      </c>
      <c r="H55" s="2">
        <v>23365600000000</v>
      </c>
      <c r="I55" s="2">
        <v>23417700000000</v>
      </c>
      <c r="J55" s="2">
        <v>23583300000000</v>
      </c>
      <c r="K55" s="2">
        <v>23405400000000</v>
      </c>
      <c r="L55" s="2">
        <v>28695200000000</v>
      </c>
    </row>
    <row r="56" customHeight="1" spans="1:12">
      <c r="A56" s="2">
        <v>0.0549946</v>
      </c>
      <c r="B56" s="2">
        <v>0.0554002</v>
      </c>
      <c r="C56" s="2">
        <v>122416000000000</v>
      </c>
      <c r="D56" s="2">
        <v>55956600000</v>
      </c>
      <c r="E56" s="2">
        <v>0</v>
      </c>
      <c r="F56" s="2">
        <v>0</v>
      </c>
      <c r="G56" s="2">
        <v>2</v>
      </c>
      <c r="H56" s="2">
        <v>23370100000000</v>
      </c>
      <c r="I56" s="2">
        <v>23428800000000</v>
      </c>
      <c r="J56" s="2">
        <v>23427000000000</v>
      </c>
      <c r="K56" s="2">
        <v>23228600000000</v>
      </c>
      <c r="L56" s="2">
        <v>28959000000000</v>
      </c>
    </row>
    <row r="57" customHeight="1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</sheetData>
  <mergeCells count="3">
    <mergeCell ref="A1:L1"/>
    <mergeCell ref="N1:Y1"/>
    <mergeCell ref="AA1:AL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7"/>
  <sheetViews>
    <sheetView tabSelected="1" workbookViewId="0">
      <selection activeCell="A1" sqref="A1:N13"/>
    </sheetView>
  </sheetViews>
  <sheetFormatPr defaultColWidth="9.00740740740741" defaultRowHeight="15" customHeight="1"/>
  <cols>
    <col min="1" max="1" width="12.5703703703704" style="7" customWidth="1"/>
    <col min="2" max="2" width="12.437037037037" style="7" customWidth="1"/>
    <col min="3" max="3" width="11.7111111111111" style="7" customWidth="1"/>
    <col min="4" max="4" width="12.437037037037" style="7" customWidth="1"/>
    <col min="5" max="8" width="20.8518518518519" style="7" customWidth="1"/>
    <col min="9" max="9" width="12.437037037037" style="7" customWidth="1"/>
    <col min="10" max="10" width="13.1481481481481" style="7" customWidth="1"/>
    <col min="11" max="11" width="10.4222222222222" style="7" customWidth="1"/>
    <col min="12" max="12" width="9.14074074074074" style="4" customWidth="1"/>
    <col min="13" max="13" width="11.8888888888889" customWidth="1"/>
    <col min="17" max="17" width="15.8518518518519" style="4" customWidth="1"/>
    <col min="28" max="28" width="16.837037037037" style="7" customWidth="1"/>
    <col min="30" max="31" width="8.71111111111111" style="8" customWidth="1"/>
  </cols>
  <sheetData>
    <row r="1" customHeight="1" spans="1:28">
      <c r="A1" s="1"/>
      <c r="B1" s="1"/>
      <c r="C1" s="1"/>
      <c r="D1" s="1"/>
      <c r="E1" s="3"/>
      <c r="F1" s="3"/>
      <c r="G1" s="1"/>
      <c r="H1" s="1"/>
      <c r="I1" s="1"/>
      <c r="J1" s="3"/>
      <c r="K1" s="1"/>
      <c r="L1" s="5"/>
      <c r="M1" s="6"/>
      <c r="V1" s="14"/>
      <c r="W1" s="14"/>
      <c r="X1" s="14"/>
      <c r="Y1" s="14"/>
      <c r="Z1" s="14"/>
      <c r="AA1" s="14"/>
      <c r="AB1" s="15"/>
    </row>
    <row r="2" customHeight="1" spans="1:28">
      <c r="A2" s="1"/>
      <c r="B2" s="1"/>
      <c r="C2" s="1"/>
      <c r="D2" s="1"/>
      <c r="E2" s="4"/>
      <c r="F2" s="4"/>
      <c r="G2" s="1"/>
      <c r="H2" s="1"/>
      <c r="I2" s="1"/>
      <c r="J2" s="1"/>
      <c r="K2" s="1"/>
      <c r="L2" s="5"/>
      <c r="M2" s="6"/>
      <c r="N2" s="1"/>
      <c r="V2" s="15"/>
      <c r="W2" s="15"/>
      <c r="X2" s="15"/>
      <c r="Y2" s="15"/>
      <c r="Z2" s="15"/>
      <c r="AA2" s="15"/>
      <c r="AB2" s="15"/>
    </row>
    <row r="3" customHeight="1" spans="1:28">
      <c r="A3" s="1"/>
      <c r="B3" s="1"/>
      <c r="C3" s="1"/>
      <c r="D3" s="1"/>
      <c r="E3" s="4"/>
      <c r="F3" s="4"/>
      <c r="G3" s="1"/>
      <c r="H3" s="1"/>
      <c r="I3" s="1"/>
      <c r="J3" s="1"/>
      <c r="K3" s="1"/>
      <c r="L3" s="5"/>
      <c r="M3" s="6"/>
      <c r="V3" s="15"/>
      <c r="W3" s="15"/>
      <c r="X3" s="15"/>
      <c r="Y3" s="15"/>
      <c r="Z3" s="15"/>
      <c r="AA3" s="15"/>
      <c r="AB3" s="15"/>
    </row>
    <row r="4" customHeight="1" spans="1:28">
      <c r="A4" s="1"/>
      <c r="B4" s="1"/>
      <c r="C4" s="1"/>
      <c r="D4" s="1"/>
      <c r="E4" s="4"/>
      <c r="F4" s="4"/>
      <c r="G4" s="1"/>
      <c r="H4" s="1"/>
      <c r="I4" s="1"/>
      <c r="J4" s="1"/>
      <c r="K4" s="1"/>
      <c r="L4" s="5"/>
      <c r="M4" s="6"/>
      <c r="V4" s="15"/>
      <c r="W4" s="15"/>
      <c r="X4" s="15"/>
      <c r="Y4" s="15"/>
      <c r="Z4" s="15"/>
      <c r="AA4" s="15"/>
      <c r="AB4" s="15"/>
    </row>
    <row r="5" customHeight="1" spans="1:36">
      <c r="A5" s="1"/>
      <c r="B5" s="1"/>
      <c r="C5" s="1"/>
      <c r="D5" s="1"/>
      <c r="E5" s="4"/>
      <c r="F5" s="4"/>
      <c r="G5" s="1"/>
      <c r="H5" s="1"/>
      <c r="I5" s="1"/>
      <c r="J5" s="1"/>
      <c r="K5" s="1"/>
      <c r="L5" s="5"/>
      <c r="M5" s="6"/>
      <c r="N5" s="3"/>
      <c r="O5" s="3"/>
      <c r="V5" s="2"/>
      <c r="W5" s="2"/>
      <c r="X5" s="2"/>
      <c r="Y5" s="2"/>
      <c r="Z5" s="2"/>
      <c r="AA5" s="2"/>
      <c r="AB5" s="3"/>
      <c r="AD5" s="16"/>
      <c r="AE5" s="2"/>
      <c r="AF5" s="2"/>
      <c r="AG5" s="2"/>
      <c r="AH5" s="2"/>
      <c r="AI5" s="2"/>
      <c r="AJ5" s="3"/>
    </row>
    <row r="6" customHeight="1" spans="1:36">
      <c r="A6" s="1"/>
      <c r="B6" s="1"/>
      <c r="C6" s="1"/>
      <c r="D6" s="1"/>
      <c r="E6" s="4"/>
      <c r="F6" s="4"/>
      <c r="G6" s="1"/>
      <c r="H6" s="1"/>
      <c r="I6" s="1"/>
      <c r="J6" s="1"/>
      <c r="K6" s="1"/>
      <c r="L6" s="5"/>
      <c r="M6" s="6"/>
      <c r="N6" s="3"/>
      <c r="V6" s="2"/>
      <c r="W6" s="2"/>
      <c r="X6" s="2"/>
      <c r="Y6" s="2"/>
      <c r="Z6" s="2"/>
      <c r="AA6" s="2"/>
      <c r="AB6" s="3"/>
      <c r="AD6" s="16"/>
      <c r="AE6" s="2"/>
      <c r="AF6" s="2"/>
      <c r="AG6" s="2"/>
      <c r="AH6" s="2"/>
      <c r="AI6" s="2"/>
      <c r="AJ6" s="3"/>
    </row>
    <row r="7" customHeight="1" spans="1:36">
      <c r="A7" s="1"/>
      <c r="B7" s="1"/>
      <c r="C7" s="1"/>
      <c r="D7" s="1"/>
      <c r="E7" s="4"/>
      <c r="F7" s="4"/>
      <c r="G7" s="1"/>
      <c r="H7" s="1"/>
      <c r="I7" s="1"/>
      <c r="J7" s="1"/>
      <c r="K7" s="1"/>
      <c r="L7" s="5"/>
      <c r="M7" s="6"/>
      <c r="N7" s="3"/>
      <c r="V7" s="2"/>
      <c r="W7" s="2"/>
      <c r="X7" s="2"/>
      <c r="Y7" s="2"/>
      <c r="Z7" s="2"/>
      <c r="AA7" s="2"/>
      <c r="AB7" s="3"/>
      <c r="AD7" s="16"/>
      <c r="AE7" s="2"/>
      <c r="AF7" s="2"/>
      <c r="AG7" s="2"/>
      <c r="AH7" s="2"/>
      <c r="AI7" s="2"/>
      <c r="AJ7" s="3"/>
    </row>
    <row r="8" customHeight="1" spans="1:36">
      <c r="A8" s="1"/>
      <c r="B8" s="1"/>
      <c r="C8" s="1"/>
      <c r="D8" s="1"/>
      <c r="E8" s="4"/>
      <c r="F8" s="4"/>
      <c r="G8" s="1"/>
      <c r="H8" s="1"/>
      <c r="I8" s="1"/>
      <c r="J8" s="1"/>
      <c r="K8" s="1"/>
      <c r="L8" s="5"/>
      <c r="M8" s="6"/>
      <c r="N8" s="3"/>
      <c r="V8" s="2"/>
      <c r="W8" s="2"/>
      <c r="X8" s="2"/>
      <c r="Y8" s="2"/>
      <c r="Z8" s="2"/>
      <c r="AA8" s="2"/>
      <c r="AB8" s="3"/>
      <c r="AD8" s="16"/>
      <c r="AE8" s="2"/>
      <c r="AF8" s="2"/>
      <c r="AG8" s="2"/>
      <c r="AH8" s="2"/>
      <c r="AI8" s="2"/>
      <c r="AJ8" s="3"/>
    </row>
    <row r="9" customHeight="1" spans="1:36">
      <c r="A9" s="1"/>
      <c r="B9" s="1"/>
      <c r="C9" s="1"/>
      <c r="D9" s="1"/>
      <c r="E9" s="4"/>
      <c r="F9" s="4"/>
      <c r="G9" s="1"/>
      <c r="H9" s="1"/>
      <c r="I9" s="1"/>
      <c r="J9" s="1"/>
      <c r="K9" s="1"/>
      <c r="L9" s="5"/>
      <c r="M9" s="6"/>
      <c r="N9" s="3"/>
      <c r="V9" s="2"/>
      <c r="W9" s="2"/>
      <c r="X9" s="2"/>
      <c r="Y9" s="2"/>
      <c r="Z9" s="2"/>
      <c r="AA9" s="2"/>
      <c r="AB9" s="3"/>
      <c r="AD9" s="16"/>
      <c r="AE9" s="2"/>
      <c r="AF9" s="2"/>
      <c r="AG9" s="2"/>
      <c r="AH9" s="2"/>
      <c r="AI9" s="2"/>
      <c r="AJ9" s="3"/>
    </row>
    <row r="10" customHeight="1" spans="1:36">
      <c r="A10" s="1"/>
      <c r="B10" s="1"/>
      <c r="C10" s="1"/>
      <c r="D10" s="1"/>
      <c r="E10" s="4"/>
      <c r="F10" s="4"/>
      <c r="G10" s="1"/>
      <c r="H10" s="1"/>
      <c r="I10" s="1"/>
      <c r="J10" s="1"/>
      <c r="K10" s="1"/>
      <c r="L10" s="5"/>
      <c r="M10" s="6"/>
      <c r="N10" s="3"/>
      <c r="V10" s="2"/>
      <c r="W10" s="2"/>
      <c r="X10" s="2"/>
      <c r="Y10" s="2"/>
      <c r="Z10" s="2"/>
      <c r="AA10" s="2"/>
      <c r="AB10" s="3"/>
      <c r="AD10" s="16"/>
      <c r="AE10" s="2"/>
      <c r="AF10" s="2"/>
      <c r="AG10" s="2"/>
      <c r="AH10" s="2"/>
      <c r="AI10" s="2"/>
      <c r="AJ10" s="3"/>
    </row>
    <row r="11" customHeight="1" spans="3:36">
      <c r="C11" s="2"/>
      <c r="D11" s="2"/>
      <c r="E11" s="3"/>
      <c r="F11" s="3"/>
      <c r="J11" s="3"/>
      <c r="L11" s="5"/>
      <c r="M11" s="6"/>
      <c r="N11" s="3"/>
      <c r="V11" s="2"/>
      <c r="W11" s="2"/>
      <c r="X11" s="2"/>
      <c r="Y11" s="2"/>
      <c r="Z11" s="2"/>
      <c r="AA11" s="2"/>
      <c r="AB11" s="3"/>
      <c r="AD11" s="16"/>
      <c r="AE11" s="2"/>
      <c r="AF11" s="2"/>
      <c r="AG11" s="2"/>
      <c r="AH11" s="2"/>
      <c r="AI11" s="2"/>
      <c r="AJ11" s="3"/>
    </row>
    <row r="12" customHeight="1" spans="3:36">
      <c r="C12" s="2"/>
      <c r="D12" s="2"/>
      <c r="E12" s="3"/>
      <c r="F12" s="3"/>
      <c r="J12" s="3"/>
      <c r="L12" s="5"/>
      <c r="M12" s="6"/>
      <c r="N12" s="3"/>
      <c r="V12" s="2"/>
      <c r="W12" s="2"/>
      <c r="X12" s="2"/>
      <c r="Y12" s="2"/>
      <c r="Z12" s="2"/>
      <c r="AA12" s="2"/>
      <c r="AB12" s="3"/>
      <c r="AD12" s="16"/>
      <c r="AE12" s="2"/>
      <c r="AF12" s="2"/>
      <c r="AG12" s="2"/>
      <c r="AH12" s="2"/>
      <c r="AI12" s="2"/>
      <c r="AJ12" s="3"/>
    </row>
    <row r="13" customHeight="1" spans="3:36">
      <c r="C13" s="2"/>
      <c r="D13" s="2"/>
      <c r="E13" s="3"/>
      <c r="F13" s="3"/>
      <c r="J13" s="3"/>
      <c r="L13" s="5"/>
      <c r="M13" s="6"/>
      <c r="N13" s="3"/>
      <c r="V13" s="2"/>
      <c r="W13" s="2"/>
      <c r="X13" s="2"/>
      <c r="Y13" s="2"/>
      <c r="Z13" s="2"/>
      <c r="AA13" s="2"/>
      <c r="AB13" s="3"/>
      <c r="AD13" s="16"/>
      <c r="AE13" s="2"/>
      <c r="AF13" s="2"/>
      <c r="AG13" s="2"/>
      <c r="AH13" s="2"/>
      <c r="AI13" s="2"/>
      <c r="AJ13" s="3"/>
    </row>
    <row r="14" customHeight="1" spans="3:36">
      <c r="C14" s="2"/>
      <c r="D14" s="2"/>
      <c r="E14" s="3"/>
      <c r="F14" s="3"/>
      <c r="J14" s="3"/>
      <c r="V14" s="2"/>
      <c r="W14" s="2"/>
      <c r="X14" s="2"/>
      <c r="Y14" s="2"/>
      <c r="Z14" s="2"/>
      <c r="AA14" s="2"/>
      <c r="AB14" s="3"/>
      <c r="AD14" s="16"/>
      <c r="AE14" s="2"/>
      <c r="AF14" s="2"/>
      <c r="AG14" s="2"/>
      <c r="AH14" s="2"/>
      <c r="AI14" s="2"/>
      <c r="AJ14" s="3"/>
    </row>
    <row r="15" customHeight="1" spans="3:36">
      <c r="C15" s="2"/>
      <c r="D15" s="2"/>
      <c r="E15" s="3"/>
      <c r="F15" s="3"/>
      <c r="J15" s="3"/>
      <c r="V15" s="2"/>
      <c r="W15" s="2"/>
      <c r="X15" s="2"/>
      <c r="Y15" s="2"/>
      <c r="Z15" s="2"/>
      <c r="AA15" s="2"/>
      <c r="AB15" s="3"/>
      <c r="AD15" s="16"/>
      <c r="AE15" s="2"/>
      <c r="AF15" s="2"/>
      <c r="AG15" s="2"/>
      <c r="AH15" s="2"/>
      <c r="AI15" s="2"/>
      <c r="AJ15" s="3"/>
    </row>
    <row r="16" customHeight="1" spans="3:36">
      <c r="C16" s="2"/>
      <c r="D16" s="2"/>
      <c r="E16" s="3"/>
      <c r="F16" s="3"/>
      <c r="J16" s="3"/>
      <c r="V16" s="2"/>
      <c r="W16" s="2"/>
      <c r="X16" s="2"/>
      <c r="Y16" s="2"/>
      <c r="Z16" s="2"/>
      <c r="AA16" s="2"/>
      <c r="AB16" s="3"/>
      <c r="AD16" s="16"/>
      <c r="AE16" s="2"/>
      <c r="AF16" s="2"/>
      <c r="AG16" s="2"/>
      <c r="AH16" s="2"/>
      <c r="AI16" s="2"/>
      <c r="AJ16" s="3"/>
    </row>
    <row r="17" customHeight="1" spans="3:36">
      <c r="C17" s="2"/>
      <c r="D17" s="2"/>
      <c r="E17" s="3"/>
      <c r="F17" s="3"/>
      <c r="J17" s="3"/>
      <c r="V17" s="2"/>
      <c r="W17" s="2"/>
      <c r="X17" s="2"/>
      <c r="Y17" s="2"/>
      <c r="Z17" s="2"/>
      <c r="AA17" s="2"/>
      <c r="AB17" s="3"/>
      <c r="AD17" s="16"/>
      <c r="AE17" s="2"/>
      <c r="AF17" s="2"/>
      <c r="AG17" s="2"/>
      <c r="AH17" s="2"/>
      <c r="AI17" s="2"/>
      <c r="AJ17" s="3"/>
    </row>
    <row r="18" customHeight="1" spans="2:36">
      <c r="B18" s="9"/>
      <c r="C18" s="10"/>
      <c r="D18" s="10"/>
      <c r="E18" s="3"/>
      <c r="F18" s="11"/>
      <c r="G18" s="9"/>
      <c r="H18" s="9"/>
      <c r="I18" s="9"/>
      <c r="J18" s="3"/>
      <c r="V18" s="2"/>
      <c r="W18" s="2"/>
      <c r="X18" s="2"/>
      <c r="Y18" s="2"/>
      <c r="Z18" s="2"/>
      <c r="AA18" s="2"/>
      <c r="AB18" s="3"/>
      <c r="AD18" s="16"/>
      <c r="AE18" s="2"/>
      <c r="AF18" s="2"/>
      <c r="AG18" s="2"/>
      <c r="AH18" s="2"/>
      <c r="AI18" s="2"/>
      <c r="AJ18" s="3"/>
    </row>
    <row r="19" customHeight="1" spans="3:36">
      <c r="C19" s="2"/>
      <c r="D19" s="2"/>
      <c r="E19" s="3"/>
      <c r="F19" s="3"/>
      <c r="J19" s="3"/>
      <c r="V19" s="2"/>
      <c r="W19" s="2"/>
      <c r="X19" s="2"/>
      <c r="Y19" s="2"/>
      <c r="Z19" s="2"/>
      <c r="AA19" s="2"/>
      <c r="AB19" s="3"/>
      <c r="AD19" s="16"/>
      <c r="AE19" s="2"/>
      <c r="AF19" s="2"/>
      <c r="AG19" s="2"/>
      <c r="AH19" s="2"/>
      <c r="AI19" s="2"/>
      <c r="AJ19" s="3"/>
    </row>
    <row r="20" customHeight="1" spans="22:36">
      <c r="V20" s="2"/>
      <c r="W20" s="2"/>
      <c r="X20" s="2"/>
      <c r="Y20" s="2"/>
      <c r="Z20" s="2"/>
      <c r="AA20" s="2"/>
      <c r="AB20" s="3"/>
      <c r="AD20" s="16"/>
      <c r="AE20" s="2"/>
      <c r="AF20" s="2"/>
      <c r="AG20" s="2"/>
      <c r="AH20" s="2"/>
      <c r="AI20" s="2"/>
      <c r="AJ20" s="3"/>
    </row>
    <row r="21" customHeight="1" spans="22:36">
      <c r="V21" s="2"/>
      <c r="W21" s="2"/>
      <c r="X21" s="2"/>
      <c r="Y21" s="2"/>
      <c r="Z21" s="2"/>
      <c r="AA21" s="2"/>
      <c r="AB21" s="3"/>
      <c r="AD21" s="16"/>
      <c r="AE21" s="2"/>
      <c r="AF21" s="2"/>
      <c r="AG21" s="2"/>
      <c r="AH21" s="2"/>
      <c r="AI21" s="2"/>
      <c r="AJ21" s="3"/>
    </row>
    <row r="22" customHeight="1" spans="22:36">
      <c r="V22" s="2"/>
      <c r="W22" s="2"/>
      <c r="X22" s="2"/>
      <c r="Y22" s="2"/>
      <c r="Z22" s="2"/>
      <c r="AA22" s="2"/>
      <c r="AB22" s="3"/>
      <c r="AD22" s="16"/>
      <c r="AE22" s="2"/>
      <c r="AF22" s="2"/>
      <c r="AG22" s="2"/>
      <c r="AH22" s="2"/>
      <c r="AI22" s="2"/>
      <c r="AJ22" s="3"/>
    </row>
    <row r="23" customHeight="1" spans="22:36">
      <c r="V23" s="2"/>
      <c r="W23" s="2"/>
      <c r="X23" s="2"/>
      <c r="Y23" s="2"/>
      <c r="Z23" s="2"/>
      <c r="AA23" s="2"/>
      <c r="AB23" s="3"/>
      <c r="AD23" s="16"/>
      <c r="AE23" s="2"/>
      <c r="AF23" s="2"/>
      <c r="AG23" s="2"/>
      <c r="AH23" s="2"/>
      <c r="AI23" s="2"/>
      <c r="AJ23" s="3"/>
    </row>
    <row r="24" customHeight="1" spans="22:36">
      <c r="V24" s="2"/>
      <c r="W24" s="2"/>
      <c r="X24" s="2"/>
      <c r="Y24" s="2"/>
      <c r="Z24" s="2"/>
      <c r="AA24" s="2"/>
      <c r="AB24" s="3"/>
      <c r="AD24" s="16"/>
      <c r="AE24" s="2"/>
      <c r="AF24" s="2"/>
      <c r="AG24" s="2"/>
      <c r="AH24" s="2"/>
      <c r="AI24" s="2"/>
      <c r="AJ24" s="3"/>
    </row>
    <row r="25" customHeight="1" spans="17:36">
      <c r="Q25" s="13"/>
      <c r="R25" s="2"/>
      <c r="V25" s="2"/>
      <c r="W25" s="2"/>
      <c r="X25" s="2"/>
      <c r="Y25" s="2"/>
      <c r="Z25" s="2"/>
      <c r="AA25" s="2"/>
      <c r="AB25" s="3"/>
      <c r="AD25" s="16"/>
      <c r="AE25" s="2"/>
      <c r="AF25" s="2"/>
      <c r="AG25" s="2"/>
      <c r="AH25" s="2"/>
      <c r="AI25" s="2"/>
      <c r="AJ25" s="3"/>
    </row>
    <row r="26" customHeight="1" spans="17:36">
      <c r="Q26" s="13"/>
      <c r="R26" s="2"/>
      <c r="V26" s="2"/>
      <c r="W26" s="2"/>
      <c r="X26" s="2"/>
      <c r="Y26" s="2"/>
      <c r="Z26" s="2"/>
      <c r="AA26" s="2"/>
      <c r="AB26" s="3"/>
      <c r="AD26" s="16"/>
      <c r="AE26" s="2"/>
      <c r="AF26" s="2"/>
      <c r="AG26" s="2"/>
      <c r="AH26" s="2"/>
      <c r="AI26" s="2"/>
      <c r="AJ26" s="3"/>
    </row>
    <row r="27" customHeight="1" spans="4:36">
      <c r="D27" s="2"/>
      <c r="E27" s="2"/>
      <c r="F27" s="3"/>
      <c r="G27" s="3"/>
      <c r="K27" s="3"/>
      <c r="L27" s="3"/>
      <c r="Q27" s="13"/>
      <c r="R27" s="2"/>
      <c r="V27" s="2"/>
      <c r="W27" s="2"/>
      <c r="X27" s="2"/>
      <c r="Y27" s="2"/>
      <c r="Z27" s="2"/>
      <c r="AA27" s="2"/>
      <c r="AB27" s="3"/>
      <c r="AD27" s="16"/>
      <c r="AE27" s="2"/>
      <c r="AF27" s="2"/>
      <c r="AG27" s="2"/>
      <c r="AH27" s="2"/>
      <c r="AI27" s="2"/>
      <c r="AJ27" s="3"/>
    </row>
    <row r="28" customHeight="1" spans="4:36">
      <c r="D28" s="2"/>
      <c r="E28" s="2"/>
      <c r="F28" s="3"/>
      <c r="G28" s="3"/>
      <c r="K28" s="3"/>
      <c r="L28" s="3"/>
      <c r="Q28" s="13"/>
      <c r="R28" s="2"/>
      <c r="U28" s="2"/>
      <c r="V28" s="2"/>
      <c r="W28" s="2"/>
      <c r="X28" s="2"/>
      <c r="Y28" s="2"/>
      <c r="Z28" s="2"/>
      <c r="AA28" s="2"/>
      <c r="AB28" s="3"/>
      <c r="AD28" s="16"/>
      <c r="AE28" s="2"/>
      <c r="AF28" s="2"/>
      <c r="AG28" s="2"/>
      <c r="AH28" s="2"/>
      <c r="AI28" s="2"/>
      <c r="AJ28" s="3"/>
    </row>
    <row r="29" customHeight="1" spans="4:36">
      <c r="D29" s="2"/>
      <c r="E29" s="2"/>
      <c r="F29" s="3"/>
      <c r="G29" s="3"/>
      <c r="K29" s="3"/>
      <c r="L29" s="3"/>
      <c r="Q29" s="13"/>
      <c r="R29" s="2"/>
      <c r="U29" s="2"/>
      <c r="V29" s="2"/>
      <c r="W29" s="2"/>
      <c r="X29" s="2"/>
      <c r="Y29" s="2"/>
      <c r="Z29" s="2"/>
      <c r="AA29" s="2"/>
      <c r="AB29" s="3"/>
      <c r="AD29" s="16"/>
      <c r="AE29" s="2"/>
      <c r="AF29" s="2"/>
      <c r="AG29" s="2"/>
      <c r="AH29" s="2"/>
      <c r="AI29" s="2"/>
      <c r="AJ29" s="3"/>
    </row>
    <row r="30" customHeight="1" spans="17:36">
      <c r="Q30" s="13"/>
      <c r="R30" s="2"/>
      <c r="U30" s="2"/>
      <c r="V30" s="2"/>
      <c r="W30" s="2"/>
      <c r="X30" s="2"/>
      <c r="Y30" s="2"/>
      <c r="Z30" s="2"/>
      <c r="AA30" s="2"/>
      <c r="AB30" s="3"/>
      <c r="AD30" s="16"/>
      <c r="AE30" s="2"/>
      <c r="AF30" s="2"/>
      <c r="AG30" s="2"/>
      <c r="AH30" s="2"/>
      <c r="AI30" s="2"/>
      <c r="AJ30" s="3"/>
    </row>
    <row r="31" customHeight="1" spans="17:36">
      <c r="Q31" s="13"/>
      <c r="R31" s="2"/>
      <c r="U31" s="2"/>
      <c r="V31" s="2"/>
      <c r="W31" s="2"/>
      <c r="X31" s="2"/>
      <c r="Y31" s="2"/>
      <c r="Z31" s="2"/>
      <c r="AA31" s="2"/>
      <c r="AB31" s="3"/>
      <c r="AD31" s="16"/>
      <c r="AE31" s="2"/>
      <c r="AF31" s="2"/>
      <c r="AG31" s="2"/>
      <c r="AH31" s="2"/>
      <c r="AI31" s="2"/>
      <c r="AJ31" s="3"/>
    </row>
    <row r="32" customHeight="1" spans="17:36">
      <c r="Q32" s="13"/>
      <c r="R32" s="2"/>
      <c r="U32" s="2"/>
      <c r="V32" s="2"/>
      <c r="W32" s="2"/>
      <c r="X32" s="2"/>
      <c r="Y32" s="2"/>
      <c r="Z32" s="2"/>
      <c r="AA32" s="2"/>
      <c r="AB32" s="3"/>
      <c r="AD32" s="16"/>
      <c r="AE32" s="2"/>
      <c r="AF32" s="2"/>
      <c r="AG32" s="2"/>
      <c r="AH32" s="2"/>
      <c r="AI32" s="2"/>
      <c r="AJ32" s="3"/>
    </row>
    <row r="33" customHeight="1" spans="17:36">
      <c r="Q33" s="13"/>
      <c r="R33" s="2"/>
      <c r="U33" s="2"/>
      <c r="V33" s="2"/>
      <c r="W33" s="2"/>
      <c r="X33" s="2"/>
      <c r="Y33" s="2"/>
      <c r="Z33" s="2"/>
      <c r="AA33" s="2"/>
      <c r="AB33" s="3"/>
      <c r="AD33" s="16"/>
      <c r="AE33" s="2"/>
      <c r="AF33" s="2"/>
      <c r="AG33" s="2"/>
      <c r="AH33" s="2"/>
      <c r="AI33" s="2"/>
      <c r="AJ33" s="3"/>
    </row>
    <row r="34" customHeight="1" spans="17:36">
      <c r="Q34" s="13"/>
      <c r="R34" s="2"/>
      <c r="U34" s="2"/>
      <c r="V34" s="2"/>
      <c r="W34" s="2"/>
      <c r="X34" s="2"/>
      <c r="Y34" s="2"/>
      <c r="Z34" s="2"/>
      <c r="AA34" s="2"/>
      <c r="AB34" s="3"/>
      <c r="AD34" s="16"/>
      <c r="AE34" s="2"/>
      <c r="AF34" s="2"/>
      <c r="AG34" s="2"/>
      <c r="AH34" s="2"/>
      <c r="AI34" s="2"/>
      <c r="AJ34" s="3"/>
    </row>
    <row r="35" customHeight="1" spans="17:36">
      <c r="Q35" s="12"/>
      <c r="R35" s="2"/>
      <c r="U35" s="2"/>
      <c r="V35" s="2"/>
      <c r="W35" s="2"/>
      <c r="X35" s="2"/>
      <c r="Y35" s="2"/>
      <c r="Z35" s="2"/>
      <c r="AA35" s="2"/>
      <c r="AB35" s="3"/>
      <c r="AD35" s="16"/>
      <c r="AE35" s="2"/>
      <c r="AF35" s="2"/>
      <c r="AG35" s="2"/>
      <c r="AH35" s="2"/>
      <c r="AI35" s="2"/>
      <c r="AJ35" s="3"/>
    </row>
    <row r="36" customHeight="1" spans="17:36">
      <c r="Q36" s="12"/>
      <c r="R36" s="2"/>
      <c r="U36" s="2"/>
      <c r="V36" s="2"/>
      <c r="W36" s="2"/>
      <c r="X36" s="2"/>
      <c r="Y36" s="2"/>
      <c r="Z36" s="2"/>
      <c r="AA36" s="2"/>
      <c r="AB36" s="3"/>
      <c r="AD36" s="16"/>
      <c r="AE36" s="2"/>
      <c r="AF36" s="2"/>
      <c r="AG36" s="2"/>
      <c r="AH36" s="2"/>
      <c r="AI36" s="2"/>
      <c r="AJ36" s="3"/>
    </row>
    <row r="37" customHeight="1" spans="17:36">
      <c r="Q37" s="12"/>
      <c r="R37" s="2"/>
      <c r="U37" s="2"/>
      <c r="V37" s="2"/>
      <c r="W37" s="2"/>
      <c r="X37" s="2"/>
      <c r="Y37" s="2"/>
      <c r="Z37" s="2"/>
      <c r="AA37" s="2"/>
      <c r="AB37" s="3"/>
      <c r="AD37" s="16"/>
      <c r="AE37" s="2"/>
      <c r="AF37" s="2"/>
      <c r="AG37" s="2"/>
      <c r="AH37" s="2"/>
      <c r="AI37" s="2"/>
      <c r="AJ37" s="3"/>
    </row>
    <row r="38" customHeight="1" spans="17:36">
      <c r="Q38" s="12"/>
      <c r="R38" s="2"/>
      <c r="V38" s="2"/>
      <c r="W38" s="2"/>
      <c r="X38" s="2"/>
      <c r="Y38" s="2"/>
      <c r="Z38" s="2"/>
      <c r="AA38" s="2"/>
      <c r="AB38" s="3"/>
      <c r="AD38" s="16"/>
      <c r="AE38" s="2"/>
      <c r="AF38" s="2"/>
      <c r="AG38" s="2"/>
      <c r="AH38" s="2"/>
      <c r="AI38" s="2"/>
      <c r="AJ38" s="3"/>
    </row>
    <row r="39" customHeight="1" spans="16:36">
      <c r="P39" s="12"/>
      <c r="Q39" s="12"/>
      <c r="R39" s="2"/>
      <c r="V39" s="2"/>
      <c r="W39" s="2"/>
      <c r="X39" s="2"/>
      <c r="Y39" s="2"/>
      <c r="Z39" s="2"/>
      <c r="AA39" s="2"/>
      <c r="AB39" s="3"/>
      <c r="AD39" s="16"/>
      <c r="AE39" s="2"/>
      <c r="AF39" s="2"/>
      <c r="AG39" s="2"/>
      <c r="AH39" s="2"/>
      <c r="AI39" s="2"/>
      <c r="AJ39" s="3"/>
    </row>
    <row r="40" customHeight="1" spans="16:36">
      <c r="P40" s="12"/>
      <c r="Q40" s="12"/>
      <c r="R40" s="2"/>
      <c r="V40" s="2"/>
      <c r="W40" s="2"/>
      <c r="X40" s="2"/>
      <c r="Y40" s="2"/>
      <c r="Z40" s="2"/>
      <c r="AA40" s="2"/>
      <c r="AB40" s="3"/>
      <c r="AD40" s="16"/>
      <c r="AE40" s="2"/>
      <c r="AF40" s="2"/>
      <c r="AG40" s="2"/>
      <c r="AH40" s="2"/>
      <c r="AI40" s="2"/>
      <c r="AJ40" s="3"/>
    </row>
    <row r="41" customHeight="1" spans="16:36">
      <c r="P41" s="12"/>
      <c r="Q41" s="12"/>
      <c r="R41" s="2"/>
      <c r="V41" s="2"/>
      <c r="W41" s="2"/>
      <c r="X41" s="2"/>
      <c r="Y41" s="2"/>
      <c r="Z41" s="2"/>
      <c r="AA41" s="2"/>
      <c r="AB41" s="3"/>
      <c r="AD41" s="16"/>
      <c r="AE41" s="2"/>
      <c r="AF41" s="2"/>
      <c r="AG41" s="2"/>
      <c r="AH41" s="2"/>
      <c r="AI41" s="2"/>
      <c r="AJ41" s="3"/>
    </row>
    <row r="42" customHeight="1" spans="16:36">
      <c r="P42" s="12"/>
      <c r="R42" s="2"/>
      <c r="V42" s="2"/>
      <c r="W42" s="2"/>
      <c r="X42" s="2"/>
      <c r="Y42" s="2"/>
      <c r="Z42" s="2"/>
      <c r="AA42" s="2"/>
      <c r="AB42" s="3"/>
      <c r="AD42" s="16"/>
      <c r="AE42" s="2"/>
      <c r="AF42" s="2"/>
      <c r="AG42" s="2"/>
      <c r="AH42" s="2"/>
      <c r="AI42" s="2"/>
      <c r="AJ42" s="3"/>
    </row>
    <row r="43" customHeight="1" spans="16:36">
      <c r="P43" s="12"/>
      <c r="R43" s="2"/>
      <c r="V43" s="2"/>
      <c r="W43" s="2"/>
      <c r="X43" s="2"/>
      <c r="Y43" s="2"/>
      <c r="Z43" s="2"/>
      <c r="AA43" s="2"/>
      <c r="AB43" s="3"/>
      <c r="AD43" s="16"/>
      <c r="AE43" s="2"/>
      <c r="AF43" s="2"/>
      <c r="AG43" s="2"/>
      <c r="AH43" s="2"/>
      <c r="AI43" s="2"/>
      <c r="AJ43" s="3"/>
    </row>
    <row r="44" customHeight="1" spans="16:36">
      <c r="P44" s="12"/>
      <c r="R44" s="2"/>
      <c r="V44" s="2"/>
      <c r="W44" s="2"/>
      <c r="X44" s="2"/>
      <c r="Y44" s="2"/>
      <c r="Z44" s="2"/>
      <c r="AA44" s="2"/>
      <c r="AB44" s="3"/>
      <c r="AD44" s="16"/>
      <c r="AE44" s="2"/>
      <c r="AF44" s="2"/>
      <c r="AG44" s="2"/>
      <c r="AH44" s="2"/>
      <c r="AI44" s="2"/>
      <c r="AJ44" s="3"/>
    </row>
    <row r="45" customHeight="1" spans="16:36">
      <c r="P45" s="12"/>
      <c r="Q45" s="13"/>
      <c r="R45" s="2"/>
      <c r="V45" s="2"/>
      <c r="W45" s="2"/>
      <c r="X45" s="2"/>
      <c r="Y45" s="2"/>
      <c r="Z45" s="2"/>
      <c r="AA45" s="2"/>
      <c r="AB45" s="3"/>
      <c r="AD45" s="16"/>
      <c r="AE45" s="2"/>
      <c r="AF45" s="2"/>
      <c r="AG45" s="2"/>
      <c r="AH45" s="2"/>
      <c r="AI45" s="2"/>
      <c r="AJ45" s="3"/>
    </row>
    <row r="46" customHeight="1" spans="16:36">
      <c r="P46" s="12"/>
      <c r="Q46" s="13"/>
      <c r="R46" s="2"/>
      <c r="AD46" s="16"/>
      <c r="AE46" s="2"/>
      <c r="AF46" s="2"/>
      <c r="AG46" s="2"/>
      <c r="AH46" s="2"/>
      <c r="AI46" s="2"/>
      <c r="AJ46" s="3"/>
    </row>
    <row r="47" customHeight="1" spans="16:36">
      <c r="P47" s="12"/>
      <c r="Q47" s="13"/>
      <c r="R47" s="2"/>
      <c r="AD47" s="16"/>
      <c r="AE47" s="2"/>
      <c r="AF47" s="2"/>
      <c r="AG47" s="2"/>
      <c r="AH47" s="2"/>
      <c r="AI47" s="2"/>
      <c r="AJ47" s="3"/>
    </row>
    <row r="48" customHeight="1" spans="16:36">
      <c r="P48" s="12"/>
      <c r="Q48" s="13"/>
      <c r="R48" s="2"/>
      <c r="AD48" s="16"/>
      <c r="AE48" s="2"/>
      <c r="AF48" s="2"/>
      <c r="AG48" s="2"/>
      <c r="AH48" s="2"/>
      <c r="AI48" s="2"/>
      <c r="AJ48" s="3"/>
    </row>
    <row r="49" customHeight="1" spans="16:36">
      <c r="P49" s="12"/>
      <c r="Q49" s="13"/>
      <c r="R49" s="2"/>
      <c r="AD49" s="16"/>
      <c r="AE49" s="2"/>
      <c r="AF49" s="2"/>
      <c r="AG49" s="2"/>
      <c r="AH49" s="2"/>
      <c r="AI49" s="2"/>
      <c r="AJ49" s="3"/>
    </row>
    <row r="50" customHeight="1" spans="16:36">
      <c r="P50" s="12"/>
      <c r="Q50" s="13"/>
      <c r="R50" s="2"/>
      <c r="AD50" s="16"/>
      <c r="AE50" s="2"/>
      <c r="AF50" s="2"/>
      <c r="AG50" s="2"/>
      <c r="AH50" s="2"/>
      <c r="AI50" s="2"/>
      <c r="AJ50" s="3"/>
    </row>
    <row r="51" customHeight="1" spans="16:16">
      <c r="P51" s="12"/>
    </row>
    <row r="52" customHeight="1" spans="16:16">
      <c r="P52" s="12"/>
    </row>
    <row r="53" customHeight="1" spans="16:16">
      <c r="P53" s="12"/>
    </row>
    <row r="54" customHeight="1" spans="16:16">
      <c r="P54" s="12"/>
    </row>
    <row r="55" customHeight="1" spans="16:16">
      <c r="P55" s="12"/>
    </row>
    <row r="56" customHeight="1" spans="16:16">
      <c r="P56" s="12"/>
    </row>
    <row r="57" customHeight="1" spans="16:16">
      <c r="P57" s="12"/>
    </row>
    <row r="58" customHeight="1" spans="16:16">
      <c r="P58" s="12"/>
    </row>
    <row r="59" customHeight="1" spans="16:16">
      <c r="P59" s="12"/>
    </row>
    <row r="60" customHeight="1" spans="16:16">
      <c r="P60" s="12"/>
    </row>
    <row r="61" customHeight="1" spans="16:16">
      <c r="P61" s="12"/>
    </row>
    <row r="62" customHeight="1" spans="16:16">
      <c r="P62" s="12"/>
    </row>
    <row r="63" customHeight="1" spans="16:16">
      <c r="P63" s="12"/>
    </row>
    <row r="64" customHeight="1" spans="16:16">
      <c r="P64" s="12"/>
    </row>
    <row r="65" customHeight="1" spans="16:16">
      <c r="P65" s="12"/>
    </row>
    <row r="66" customHeight="1" spans="16:16">
      <c r="P66" s="12"/>
    </row>
    <row r="67" customHeight="1" spans="16:16">
      <c r="P67" s="12"/>
    </row>
  </sheetData>
  <mergeCells count="1">
    <mergeCell ref="V1:AA1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L4" sqref="L4"/>
    </sheetView>
  </sheetViews>
  <sheetFormatPr defaultColWidth="8.8962962962963" defaultRowHeight="15" customHeight="1"/>
  <cols>
    <col min="2" max="10" width="12.437037037037" style="1" customWidth="1"/>
    <col min="13" max="13" width="13.5555555555556"/>
  </cols>
  <sheetData>
    <row r="1" customHeight="1" spans="1:13">
      <c r="A1" s="1" t="s">
        <v>29</v>
      </c>
      <c r="B1" s="1" t="s">
        <v>14</v>
      </c>
      <c r="C1" s="1" t="s">
        <v>15</v>
      </c>
      <c r="D1" s="1" t="s">
        <v>16</v>
      </c>
      <c r="E1" s="3" t="s">
        <v>17</v>
      </c>
      <c r="F1" s="3" t="s">
        <v>18</v>
      </c>
      <c r="G1" s="1" t="s">
        <v>19</v>
      </c>
      <c r="H1" s="1" t="s">
        <v>20</v>
      </c>
      <c r="I1" s="1" t="s">
        <v>21</v>
      </c>
      <c r="J1" s="3" t="s">
        <v>22</v>
      </c>
      <c r="K1" s="1" t="s">
        <v>30</v>
      </c>
      <c r="L1" s="5" t="s">
        <v>31</v>
      </c>
      <c r="M1" s="6" t="s">
        <v>32</v>
      </c>
    </row>
    <row r="2" customHeight="1" spans="1:13">
      <c r="A2" s="1" t="s">
        <v>33</v>
      </c>
      <c r="B2" s="1">
        <f>'400K_SR40_Stress'!K12</f>
        <v>205.5338</v>
      </c>
      <c r="C2" s="1">
        <f>'400K_SR40_Stress'!L12</f>
        <v>74905020000000</v>
      </c>
      <c r="D2" s="1">
        <f>'400K_SR40_Stress'!M12</f>
        <v>434244000000000</v>
      </c>
      <c r="E2" s="4">
        <f>'400K_SR40_Stress'!N12</f>
        <v>56.4337650280321</v>
      </c>
      <c r="F2" s="4">
        <f>'400K_SR40_Stress'!O12</f>
        <v>20.9043717501121</v>
      </c>
      <c r="G2" s="1">
        <f>'400K_SR40_Stress'!P12</f>
        <v>60.1810816910599</v>
      </c>
      <c r="H2" s="1">
        <f>'400K_SR40_Stress'!Q12</f>
        <v>96.74475966</v>
      </c>
      <c r="I2" s="1">
        <f>'400K_SR40_Stress'!R12</f>
        <v>1.60756099660422</v>
      </c>
      <c r="J2" s="1">
        <f>'400K_SR40_Stress'!S12</f>
        <v>0.172495233094758</v>
      </c>
      <c r="K2" s="1">
        <v>40</v>
      </c>
      <c r="L2" s="5">
        <f>H2-G2</f>
        <v>36.5636779689401</v>
      </c>
      <c r="M2" s="6">
        <f>L2*1000000/SQRT(D2)</f>
        <v>1.75461954225557</v>
      </c>
    </row>
    <row r="3" customHeight="1" spans="1:13">
      <c r="A3" s="1" t="s">
        <v>34</v>
      </c>
      <c r="B3" s="1">
        <f>'400K_SR40_Stress'!K13</f>
        <v>150.2312</v>
      </c>
      <c r="C3" s="1">
        <f>'400K_SR40_Stress'!L13</f>
        <v>55463900000000</v>
      </c>
      <c r="D3" s="1">
        <f>'400K_SR40_Stress'!M13</f>
        <v>429487800000000</v>
      </c>
      <c r="E3" s="4">
        <f>'400K_SR40_Stress'!N13</f>
        <v>48.561127924828</v>
      </c>
      <c r="F3" s="4">
        <f>'400K_SR40_Stress'!O13</f>
        <v>20.7895755509673</v>
      </c>
      <c r="G3" s="1">
        <f>'400K_SR40_Stress'!P13</f>
        <v>52.8241383926031</v>
      </c>
      <c r="H3" s="1">
        <f>'400K_SR40_Stress'!Q13</f>
        <v>70.71382584</v>
      </c>
      <c r="I3" s="1">
        <f>'400K_SR40_Stress'!R13</f>
        <v>1.3386650117118</v>
      </c>
      <c r="J3" s="1">
        <f>'400K_SR40_Stress'!S13</f>
        <v>0.129139640287803</v>
      </c>
      <c r="K3" s="1">
        <v>40</v>
      </c>
      <c r="L3" s="5">
        <f>H3-G3</f>
        <v>17.8896874473969</v>
      </c>
      <c r="M3" s="6">
        <f>L3*1000000/SQRT(D3)</f>
        <v>0.863231614119974</v>
      </c>
    </row>
    <row r="4" customHeight="1" spans="1:13">
      <c r="A4" s="1" t="s">
        <v>35</v>
      </c>
      <c r="B4" s="1">
        <f>'400K_SR40_Stress'!K14</f>
        <v>125.711</v>
      </c>
      <c r="C4" s="1">
        <f>'400K_SR40_Stress'!L14</f>
        <v>47698250000000</v>
      </c>
      <c r="D4" s="1">
        <f>'400K_SR40_Stress'!M14</f>
        <v>428208000000000</v>
      </c>
      <c r="E4" s="4">
        <f>'400K_SR40_Stress'!N14</f>
        <v>45.0334050756326</v>
      </c>
      <c r="F4" s="4">
        <f>'400K_SR40_Stress'!O14</f>
        <v>20.7585777565277</v>
      </c>
      <c r="G4" s="1">
        <f>'400K_SR40_Stress'!P14</f>
        <v>49.5875601656284</v>
      </c>
      <c r="H4" s="1">
        <f>'400K_SR40_Stress'!Q14</f>
        <v>59.1721677</v>
      </c>
      <c r="I4" s="1">
        <f>'400K_SR40_Stress'!R14</f>
        <v>1.19328653199226</v>
      </c>
      <c r="J4" s="1">
        <f>'400K_SR40_Stress'!S14</f>
        <v>0.111390375705265</v>
      </c>
      <c r="K4" s="1">
        <v>40</v>
      </c>
      <c r="L4" s="5">
        <f>H4-G4</f>
        <v>9.58460753437161</v>
      </c>
      <c r="M4" s="6">
        <f>L4*1000000/SQRT(D4)</f>
        <v>0.46317695783165</v>
      </c>
    </row>
    <row r="8" customHeight="1" spans="1:13">
      <c r="A8" s="1"/>
      <c r="B8" s="1"/>
      <c r="C8" s="1"/>
      <c r="D8" s="1"/>
      <c r="E8" s="4"/>
      <c r="F8" s="4"/>
      <c r="G8" s="1"/>
      <c r="H8" s="1"/>
      <c r="I8" s="1"/>
      <c r="J8" s="1"/>
      <c r="K8" s="1"/>
      <c r="L8" s="5"/>
      <c r="M8" s="6"/>
    </row>
    <row r="9" customHeight="1" spans="1:13">
      <c r="A9" s="1"/>
      <c r="B9" s="1"/>
      <c r="C9" s="1"/>
      <c r="D9" s="1"/>
      <c r="E9" s="4"/>
      <c r="F9" s="4"/>
      <c r="G9" s="1"/>
      <c r="H9" s="1"/>
      <c r="I9" s="1"/>
      <c r="J9" s="1"/>
      <c r="K9" s="1"/>
      <c r="L9" s="5"/>
      <c r="M9" s="6"/>
    </row>
    <row r="10" customHeight="1" spans="1:13">
      <c r="A10" s="1"/>
      <c r="B10" s="1"/>
      <c r="C10" s="2"/>
      <c r="D10" s="1"/>
      <c r="E10" s="4"/>
      <c r="F10" s="4"/>
      <c r="G10" s="1"/>
      <c r="H10" s="1"/>
      <c r="K10" s="1"/>
      <c r="L10" s="5"/>
      <c r="M10" s="6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LibreOffice/25.8.1.1$Linux_X86_64 LibreOffice_project/54047653041915e595ad4e45cccea684809c77b5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Graphs</vt:lpstr>
      <vt:lpstr>400K_SR20</vt:lpstr>
      <vt:lpstr>400K_SR20_Stress</vt:lpstr>
      <vt:lpstr>400K_SR40</vt:lpstr>
      <vt:lpstr>400K_SR40_Stress</vt:lpstr>
      <vt:lpstr>400K_SR100_Stress</vt:lpstr>
      <vt:lpstr>400K_SR100</vt:lpstr>
      <vt:lpstr>tauratio</vt:lpstr>
      <vt:lpstr>tauratio1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sv1_admin1</dc:creator>
  <cp:lastModifiedBy>vikramr</cp:lastModifiedBy>
  <cp:revision>4</cp:revision>
  <dcterms:created xsi:type="dcterms:W3CDTF">2025-05-03T14:10:00Z</dcterms:created>
  <dcterms:modified xsi:type="dcterms:W3CDTF">2025-10-08T11:47:19Z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