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8725" activeTab="13"/>
  </bookViews>
  <sheets>
    <sheet name="300K_SR10_Stress" sheetId="7" r:id="rId1"/>
    <sheet name="300K_SR10" sheetId="1" r:id="rId2"/>
    <sheet name="300K_SR20_Stress" sheetId="8" r:id="rId3"/>
    <sheet name="300K_SR20" sheetId="2" r:id="rId4"/>
    <sheet name="300K_SR40_Stress" sheetId="9" r:id="rId5"/>
    <sheet name="300K_SR40" sheetId="3" r:id="rId6"/>
    <sheet name="300K_SR100_Stress" sheetId="10" r:id="rId7"/>
    <sheet name="300K_SR100" sheetId="4" r:id="rId8"/>
    <sheet name="300K_SR10000_Stress" sheetId="14" r:id="rId9"/>
    <sheet name="300K_SR10000" sheetId="12" r:id="rId10"/>
    <sheet name="300K_SR1000_Stress" sheetId="13" r:id="rId11"/>
    <sheet name="300K_SR1000" sheetId="11" r:id="rId12"/>
    <sheet name="Graphs" sheetId="5" r:id="rId13"/>
    <sheet name="tauratio" sheetId="6" r:id="rId14"/>
    <sheet name="tauratio1" sheetId="15" r:id="rId15"/>
  </sheets>
  <calcPr calcId="144525"/>
</workbook>
</file>

<file path=xl/sharedStrings.xml><?xml version="1.0" encoding="utf-8"?>
<sst xmlns="http://schemas.openxmlformats.org/spreadsheetml/2006/main" count="198" uniqueCount="39">
  <si>
    <t>Config1</t>
  </si>
  <si>
    <t>Config2</t>
  </si>
  <si>
    <t>Config3</t>
  </si>
  <si>
    <t>AverageValue of Last 0.5%</t>
  </si>
  <si>
    <t>TotalStress</t>
  </si>
  <si>
    <t>RhoI</t>
  </si>
  <si>
    <t>Rho</t>
  </si>
  <si>
    <t>TauF1</t>
  </si>
  <si>
    <t>TauF2</t>
  </si>
  <si>
    <t>TauF</t>
  </si>
  <si>
    <t>Tau</t>
  </si>
  <si>
    <t>Tau/TauF</t>
  </si>
  <si>
    <t>RhoI/Rho</t>
  </si>
  <si>
    <t>Config4</t>
  </si>
  <si>
    <t>Config 1</t>
  </si>
  <si>
    <t>Config 2</t>
  </si>
  <si>
    <t>Config 3</t>
  </si>
  <si>
    <t>Pstrain</t>
  </si>
  <si>
    <t>Total</t>
  </si>
  <si>
    <t>Junction</t>
  </si>
  <si>
    <t>JunctionMin</t>
  </si>
  <si>
    <t>JunctionMax</t>
  </si>
  <si>
    <t>StrainRate</t>
  </si>
  <si>
    <t>Taup</t>
  </si>
  <si>
    <t>Taup/Sqrt(rhom)</t>
  </si>
  <si>
    <t>10C1</t>
  </si>
  <si>
    <t>10C2</t>
  </si>
  <si>
    <t>10C3</t>
  </si>
  <si>
    <t>20C1</t>
  </si>
  <si>
    <t>20C2</t>
  </si>
  <si>
    <t>20C3</t>
  </si>
  <si>
    <t>40C1</t>
  </si>
  <si>
    <t>40C2</t>
  </si>
  <si>
    <t>40C3</t>
  </si>
  <si>
    <t>100C1</t>
  </si>
  <si>
    <t>100C2</t>
  </si>
  <si>
    <t>100C3</t>
  </si>
  <si>
    <t>1000C1</t>
  </si>
  <si>
    <t>10000C1</t>
  </si>
</sst>
</file>

<file path=xl/styles.xml><?xml version="1.0" encoding="utf-8"?>
<styleSheet xmlns="http://schemas.openxmlformats.org/spreadsheetml/2006/main">
  <numFmts count="5">
    <numFmt numFmtId="176" formatCode="_ &quot;₹&quot;* #,##0.00_ ;_ &quot;₹&quot;* \-#,##0.00_ ;_ &quot;₹&quot;* &quot;-&quot;??_ ;_ @_ "/>
    <numFmt numFmtId="177" formatCode="0.000"/>
    <numFmt numFmtId="178" formatCode="_ * #,##0_ ;_ * \-#,##0_ ;_ * &quot;-&quot;_ ;_ @_ "/>
    <numFmt numFmtId="179" formatCode="_ * #,##0.00_ ;_ * \-#,##0.00_ ;_ * &quot;-&quot;??_ ;_ @_ "/>
    <numFmt numFmtId="180" formatCode="_ &quot;₹&quot;* #,##0_ ;_ &quot;₹&quot;* \-#,##0_ ;_ &quot;₹&quot;* &quot;-&quot;_ ;_ @_ "/>
  </numFmts>
  <fonts count="24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0"/>
      <color rgb="FFCCCCCC"/>
      <name val="Consolas"/>
      <charset val="134"/>
    </font>
    <font>
      <sz val="10"/>
      <color rgb="FFB5CEA8"/>
      <name val="Consolas"/>
      <charset val="134"/>
    </font>
    <font>
      <sz val="10"/>
      <name val="Consolas"/>
      <charset val="134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2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5" fillId="8" borderId="5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12" fillId="10" borderId="3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1">
    <xf numFmtId="0" fontId="0" fillId="0" borderId="0" xfId="0"/>
    <xf numFmtId="11" fontId="0" fillId="0" borderId="0" xfId="0" applyNumberFormat="1"/>
    <xf numFmtId="2" fontId="0" fillId="0" borderId="0" xfId="0" applyNumberFormat="1"/>
    <xf numFmtId="2" fontId="1" fillId="0" borderId="0" xfId="0" applyNumberFormat="1" applyFont="1" applyFill="1" applyAlignment="1" applyProtection="1"/>
    <xf numFmtId="177" fontId="0" fillId="0" borderId="0" xfId="0" applyNumberFormat="1"/>
    <xf numFmtId="0" fontId="1" fillId="0" borderId="0" xfId="0" applyFont="1" applyFill="1" applyAlignment="1"/>
    <xf numFmtId="11" fontId="2" fillId="0" borderId="0" xfId="0" applyNumberFormat="1" applyFont="1" applyAlignment="1">
      <alignment vertical="center"/>
    </xf>
    <xf numFmtId="0" fontId="0" fillId="2" borderId="0" xfId="0" applyFill="1" applyAlignment="1">
      <alignment horizontal="center"/>
    </xf>
    <xf numFmtId="11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1" fontId="4" fillId="0" borderId="0" xfId="0" applyNumberFormat="1" applyFont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workbookViewId="0">
      <selection activeCell="O3" sqref="O3"/>
    </sheetView>
  </sheetViews>
  <sheetFormatPr defaultColWidth="9" defaultRowHeight="15"/>
  <cols>
    <col min="12" max="12" width="19.5703703703704" customWidth="1"/>
  </cols>
  <sheetData>
    <row r="1" spans="1:20">
      <c r="A1" s="9" t="s">
        <v>0</v>
      </c>
      <c r="B1" s="9"/>
      <c r="D1" s="9" t="s">
        <v>1</v>
      </c>
      <c r="E1" s="9"/>
      <c r="G1" s="9" t="s">
        <v>2</v>
      </c>
      <c r="H1" s="9"/>
      <c r="K1" s="9" t="s">
        <v>3</v>
      </c>
      <c r="L1" s="9"/>
      <c r="O1" s="2"/>
      <c r="P1" s="2"/>
      <c r="T1" s="2"/>
    </row>
    <row r="2" spans="1:20">
      <c r="A2" s="1">
        <v>0.000217211</v>
      </c>
      <c r="B2" s="1">
        <v>76872000</v>
      </c>
      <c r="D2" s="10">
        <v>0.000196448</v>
      </c>
      <c r="E2" s="1">
        <v>72888400</v>
      </c>
      <c r="G2" s="6">
        <v>0.000179529</v>
      </c>
      <c r="H2" s="1">
        <v>71476700</v>
      </c>
      <c r="L2" t="s">
        <v>4</v>
      </c>
      <c r="M2" t="s">
        <v>5</v>
      </c>
      <c r="N2" t="s">
        <v>6</v>
      </c>
      <c r="O2" s="2" t="s">
        <v>7</v>
      </c>
      <c r="P2" s="2" t="s">
        <v>8</v>
      </c>
      <c r="Q2" t="s">
        <v>9</v>
      </c>
      <c r="R2" t="s">
        <v>10</v>
      </c>
      <c r="S2" t="s">
        <v>11</v>
      </c>
      <c r="T2" s="2" t="s">
        <v>12</v>
      </c>
    </row>
    <row r="3" spans="1:20">
      <c r="A3" s="1">
        <v>0.000993712</v>
      </c>
      <c r="B3" s="1">
        <v>97295100</v>
      </c>
      <c r="D3" s="10">
        <v>0.00104168</v>
      </c>
      <c r="E3" s="1">
        <v>96476800</v>
      </c>
      <c r="G3" s="6">
        <v>0.00102323</v>
      </c>
      <c r="H3" s="1">
        <v>100551000</v>
      </c>
      <c r="K3" t="s">
        <v>0</v>
      </c>
      <c r="L3">
        <v>119</v>
      </c>
      <c r="M3" s="1">
        <v>3730000000000</v>
      </c>
      <c r="N3" s="1">
        <v>20700000000000</v>
      </c>
      <c r="O3" s="2">
        <f>0.5*80.9*0.248*SQRT(M3)/1000000</f>
        <v>19.374237652842</v>
      </c>
      <c r="P3" s="2">
        <f>0.05*80.9*0.248*SQRT(N3)/1000000</f>
        <v>4.56410239827285</v>
      </c>
      <c r="Q3">
        <f>SQRT(O3^2+P3^2)</f>
        <v>19.904575236129</v>
      </c>
      <c r="R3">
        <f>L3*0.4395</f>
        <v>52.3005</v>
      </c>
      <c r="S3">
        <f>R3/Q3</f>
        <v>2.62756172284796</v>
      </c>
      <c r="T3" s="2">
        <f>M3/N3</f>
        <v>0.180193236714976</v>
      </c>
    </row>
    <row r="4" spans="1:20">
      <c r="A4" s="1">
        <v>0.00198844</v>
      </c>
      <c r="B4" s="1">
        <v>105118000</v>
      </c>
      <c r="D4" s="10">
        <v>0.0020034</v>
      </c>
      <c r="E4" s="1">
        <v>101966000</v>
      </c>
      <c r="G4" s="6">
        <v>0.0019956</v>
      </c>
      <c r="H4" s="1">
        <v>106311000</v>
      </c>
      <c r="K4" t="s">
        <v>1</v>
      </c>
      <c r="L4">
        <v>118</v>
      </c>
      <c r="M4" s="1">
        <v>3890000000000</v>
      </c>
      <c r="N4" s="1">
        <v>21100000000000</v>
      </c>
      <c r="O4" s="2">
        <f t="shared" ref="O4:O5" si="0">0.5*80.9*0.248*SQRT(M4)/1000000</f>
        <v>19.7854078653537</v>
      </c>
      <c r="P4" s="2">
        <f t="shared" ref="P4:P5" si="1">0.05*80.9*0.248*SQRT(N4)/1000000</f>
        <v>4.60798900781675</v>
      </c>
      <c r="Q4">
        <f t="shared" ref="Q4:Q5" si="2">SQRT(O4^2+P4^2)</f>
        <v>20.3149188306171</v>
      </c>
      <c r="R4">
        <f t="shared" ref="R4:R5" si="3">L4*0.4395</f>
        <v>51.861</v>
      </c>
      <c r="S4">
        <f t="shared" ref="S4:S5" si="4">R4/Q4</f>
        <v>2.55285292707343</v>
      </c>
      <c r="T4" s="2">
        <f t="shared" ref="T4:T5" si="5">M4/N4</f>
        <v>0.18436018957346</v>
      </c>
    </row>
    <row r="5" spans="1:20">
      <c r="A5" s="1">
        <v>0.00302431</v>
      </c>
      <c r="B5" s="1">
        <v>114216000</v>
      </c>
      <c r="D5" s="10">
        <v>0.0029941</v>
      </c>
      <c r="E5" s="1">
        <v>109160000</v>
      </c>
      <c r="G5" s="6">
        <v>0.00300174</v>
      </c>
      <c r="H5" s="1">
        <v>107785000</v>
      </c>
      <c r="K5" t="s">
        <v>13</v>
      </c>
      <c r="L5">
        <v>116</v>
      </c>
      <c r="M5" s="1">
        <f>3510000000000</f>
        <v>3510000000000</v>
      </c>
      <c r="N5" s="1">
        <v>21200000000000</v>
      </c>
      <c r="O5" s="2">
        <f t="shared" si="0"/>
        <v>18.79419657622</v>
      </c>
      <c r="P5" s="2">
        <f t="shared" si="1"/>
        <v>4.61889550593213</v>
      </c>
      <c r="Q5">
        <f t="shared" si="2"/>
        <v>19.3534498382154</v>
      </c>
      <c r="R5">
        <f t="shared" si="3"/>
        <v>50.982</v>
      </c>
      <c r="S5">
        <f t="shared" si="4"/>
        <v>2.63425903010484</v>
      </c>
      <c r="T5" s="2">
        <f t="shared" si="5"/>
        <v>0.165566037735849</v>
      </c>
    </row>
    <row r="6" spans="1:8">
      <c r="A6" s="1">
        <v>0.00399791</v>
      </c>
      <c r="B6" s="1">
        <v>123370000</v>
      </c>
      <c r="D6" s="10">
        <v>0.003975</v>
      </c>
      <c r="E6" s="1">
        <v>117914000</v>
      </c>
      <c r="G6" s="6">
        <v>0.00400185</v>
      </c>
      <c r="H6" s="1">
        <v>110129000</v>
      </c>
    </row>
    <row r="7" spans="1:8">
      <c r="A7" s="1">
        <v>0.00498949</v>
      </c>
      <c r="B7" s="1">
        <v>121019000</v>
      </c>
      <c r="D7" s="10">
        <v>0.0049408</v>
      </c>
      <c r="E7" s="1">
        <v>124227000</v>
      </c>
      <c r="G7" s="6">
        <v>0.0049864</v>
      </c>
      <c r="H7" s="1">
        <v>118701000</v>
      </c>
    </row>
    <row r="8" spans="1:8">
      <c r="A8" s="1">
        <v>0.00600716</v>
      </c>
      <c r="B8" s="1">
        <v>118668000</v>
      </c>
      <c r="D8" s="10">
        <v>0.00600813</v>
      </c>
      <c r="E8" s="1">
        <v>115665000</v>
      </c>
      <c r="G8" s="6">
        <v>0.00598994</v>
      </c>
      <c r="H8" s="1">
        <v>119520000</v>
      </c>
    </row>
    <row r="9" spans="1:8">
      <c r="A9" s="1">
        <v>0.00701054</v>
      </c>
      <c r="B9" s="1">
        <v>118499000</v>
      </c>
      <c r="D9" s="10">
        <v>0.00699492</v>
      </c>
      <c r="E9" s="1">
        <v>120950000</v>
      </c>
      <c r="G9" s="6">
        <v>0.00700943</v>
      </c>
      <c r="H9" s="1">
        <v>118569000</v>
      </c>
    </row>
    <row r="10" spans="1:8">
      <c r="A10" s="1">
        <v>0.00804502</v>
      </c>
      <c r="B10" s="1">
        <v>116157000</v>
      </c>
      <c r="D10" s="10">
        <v>0.00801427</v>
      </c>
      <c r="E10" s="1">
        <v>121050000</v>
      </c>
      <c r="G10" s="6">
        <v>0.007979</v>
      </c>
      <c r="H10" s="1">
        <v>116670000</v>
      </c>
    </row>
    <row r="11" spans="1:8">
      <c r="A11" s="1">
        <v>0.00899793</v>
      </c>
      <c r="B11" s="1">
        <v>117234000</v>
      </c>
      <c r="D11" s="10">
        <v>0.0090004</v>
      </c>
      <c r="E11" s="1">
        <v>117340000</v>
      </c>
      <c r="G11" s="6">
        <v>0.00898807</v>
      </c>
      <c r="H11" s="1">
        <v>115362000</v>
      </c>
    </row>
    <row r="12" spans="1:8">
      <c r="A12" s="1">
        <v>0.0100028</v>
      </c>
      <c r="B12" s="1">
        <v>116328000</v>
      </c>
      <c r="D12" s="10">
        <v>0.00999633</v>
      </c>
      <c r="E12" s="1">
        <v>119851000</v>
      </c>
      <c r="G12" s="6">
        <v>0.0100066</v>
      </c>
      <c r="H12" s="1">
        <v>115592000</v>
      </c>
    </row>
    <row r="13" spans="1:8">
      <c r="A13" s="1">
        <v>0.0110063</v>
      </c>
      <c r="B13" s="1">
        <v>120617000</v>
      </c>
      <c r="D13" s="10">
        <v>0.0109481</v>
      </c>
      <c r="E13" s="1">
        <v>120386000</v>
      </c>
      <c r="G13" s="6">
        <v>0.0109937</v>
      </c>
      <c r="H13" s="1">
        <v>123682000</v>
      </c>
    </row>
    <row r="14" spans="1:8">
      <c r="A14" s="1">
        <v>0.0119928</v>
      </c>
      <c r="B14" s="1">
        <v>124932000</v>
      </c>
      <c r="D14" s="10">
        <v>0.0120238</v>
      </c>
      <c r="E14" s="1">
        <v>122144000</v>
      </c>
      <c r="G14" s="6">
        <v>0.012001</v>
      </c>
      <c r="H14" s="1">
        <v>121615000</v>
      </c>
    </row>
    <row r="15" spans="1:8">
      <c r="A15" s="1">
        <v>0.0129821</v>
      </c>
      <c r="B15" s="1">
        <v>131056000</v>
      </c>
      <c r="D15" s="10">
        <v>0.0130066</v>
      </c>
      <c r="E15" s="1">
        <v>117344000</v>
      </c>
      <c r="G15" s="6">
        <v>0.013014</v>
      </c>
      <c r="H15" s="1">
        <v>123263000</v>
      </c>
    </row>
    <row r="16" spans="1:8">
      <c r="A16" s="1">
        <v>0.0140108</v>
      </c>
      <c r="B16" s="1">
        <v>121805000</v>
      </c>
      <c r="D16" s="10">
        <v>0.0139897</v>
      </c>
      <c r="E16" s="1">
        <v>121514000</v>
      </c>
      <c r="G16" s="6">
        <v>0.013987</v>
      </c>
      <c r="H16" s="1">
        <v>115573000</v>
      </c>
    </row>
    <row r="17" spans="1:8">
      <c r="A17" s="1">
        <v>0.0150129</v>
      </c>
      <c r="B17" s="1">
        <v>115657000</v>
      </c>
      <c r="D17" s="10">
        <v>0.0150329</v>
      </c>
      <c r="E17" s="1">
        <v>114964000</v>
      </c>
      <c r="G17" s="6">
        <v>0.015003</v>
      </c>
      <c r="H17" s="1">
        <v>115612000</v>
      </c>
    </row>
    <row r="18" spans="1:8">
      <c r="A18" s="1">
        <v>0.0159961</v>
      </c>
      <c r="B18" s="1">
        <v>114523000</v>
      </c>
      <c r="D18" s="10">
        <v>0.0159743</v>
      </c>
      <c r="E18" s="1">
        <v>121513000</v>
      </c>
      <c r="G18" s="6">
        <v>0.01598</v>
      </c>
      <c r="H18" s="1">
        <v>118532000</v>
      </c>
    </row>
    <row r="19" spans="1:8">
      <c r="A19" s="1">
        <v>0.0170052</v>
      </c>
      <c r="B19" s="1">
        <v>116231000</v>
      </c>
      <c r="D19" s="10">
        <v>0.0169964</v>
      </c>
      <c r="E19" s="1">
        <v>114809000</v>
      </c>
      <c r="G19" s="6">
        <v>0.0169869</v>
      </c>
      <c r="H19" s="1">
        <v>121661000</v>
      </c>
    </row>
    <row r="20" spans="1:8">
      <c r="A20" s="1">
        <v>0.017996</v>
      </c>
      <c r="B20" s="1">
        <v>115893000</v>
      </c>
      <c r="D20" s="10">
        <v>0.0179941</v>
      </c>
      <c r="E20" s="1">
        <v>122441000</v>
      </c>
      <c r="G20" s="6">
        <v>0.018011</v>
      </c>
      <c r="H20" s="1">
        <v>118311000</v>
      </c>
    </row>
    <row r="21" spans="1:8">
      <c r="A21" s="1">
        <v>0.0190013</v>
      </c>
      <c r="B21" s="1">
        <v>117602000</v>
      </c>
      <c r="D21" s="10">
        <v>0.0190325</v>
      </c>
      <c r="E21" s="1">
        <v>118423000</v>
      </c>
      <c r="G21" s="6">
        <v>0.0189669</v>
      </c>
      <c r="H21" s="1">
        <v>119052000</v>
      </c>
    </row>
    <row r="22" spans="1:8">
      <c r="A22" s="1">
        <v>0.0199929</v>
      </c>
      <c r="B22" s="1">
        <v>119775000</v>
      </c>
      <c r="D22" s="10">
        <v>0.0200048</v>
      </c>
      <c r="E22" s="1">
        <v>119169000</v>
      </c>
      <c r="G22" s="6">
        <v>0.0199933</v>
      </c>
      <c r="H22" s="1">
        <v>123765000</v>
      </c>
    </row>
    <row r="23" spans="1:8">
      <c r="A23" s="1">
        <v>0.0209817</v>
      </c>
      <c r="B23" s="1">
        <v>117215000</v>
      </c>
      <c r="D23" s="10">
        <v>0.0209986</v>
      </c>
      <c r="E23" s="1">
        <v>119330000</v>
      </c>
      <c r="G23" s="6">
        <v>0.0210069</v>
      </c>
      <c r="H23" s="1">
        <v>116426000</v>
      </c>
    </row>
    <row r="24" spans="1:8">
      <c r="A24" s="1">
        <v>0.0219766</v>
      </c>
      <c r="B24" s="1">
        <v>116411000</v>
      </c>
      <c r="D24" s="10">
        <v>0.0219885</v>
      </c>
      <c r="E24" s="1">
        <v>120705000</v>
      </c>
      <c r="G24" s="6">
        <v>0.0219928</v>
      </c>
      <c r="H24" s="1">
        <v>117032000</v>
      </c>
    </row>
    <row r="25" spans="1:8">
      <c r="A25" s="1">
        <v>0.0229518</v>
      </c>
      <c r="B25" s="1">
        <v>117785000</v>
      </c>
      <c r="D25" s="10">
        <v>0.0230112</v>
      </c>
      <c r="E25" s="1">
        <v>124272000</v>
      </c>
      <c r="G25" s="6">
        <v>0.0230111</v>
      </c>
      <c r="H25" s="1">
        <v>114986000</v>
      </c>
    </row>
    <row r="26" spans="1:8">
      <c r="A26" s="1">
        <v>0.0239783</v>
      </c>
      <c r="B26" s="1">
        <v>116608000</v>
      </c>
      <c r="D26" s="10">
        <v>0.0240191</v>
      </c>
      <c r="E26" s="1">
        <v>116797000</v>
      </c>
      <c r="G26" s="6">
        <v>0.0240138</v>
      </c>
      <c r="H26" s="1">
        <v>121126000</v>
      </c>
    </row>
    <row r="27" spans="1:8">
      <c r="A27" s="1">
        <v>0.0249719</v>
      </c>
      <c r="B27" s="1">
        <v>123265000</v>
      </c>
      <c r="D27" s="10">
        <v>0.0250382</v>
      </c>
      <c r="E27" s="1">
        <v>118551000</v>
      </c>
      <c r="G27" s="6">
        <v>0.0249974</v>
      </c>
      <c r="H27" s="1">
        <v>123618000</v>
      </c>
    </row>
    <row r="28" spans="1:8">
      <c r="A28" s="1">
        <v>0.025997</v>
      </c>
      <c r="B28" s="1">
        <v>122620000</v>
      </c>
      <c r="D28" s="10">
        <v>0.0260022</v>
      </c>
      <c r="E28" s="1">
        <v>114863000</v>
      </c>
      <c r="G28" s="6">
        <v>0.02602</v>
      </c>
      <c r="H28" s="1">
        <v>116918000</v>
      </c>
    </row>
    <row r="29" spans="1:8">
      <c r="A29" s="1">
        <v>0.0270091</v>
      </c>
      <c r="B29" s="1">
        <v>118566000</v>
      </c>
      <c r="D29" s="10">
        <v>0.0269803</v>
      </c>
      <c r="E29" s="1">
        <v>114340000</v>
      </c>
      <c r="G29" s="6">
        <v>0.0269604</v>
      </c>
      <c r="H29" s="1">
        <v>120137000</v>
      </c>
    </row>
    <row r="30" spans="1:8">
      <c r="A30" s="1">
        <v>0.0279767</v>
      </c>
      <c r="B30" s="1">
        <v>119992000</v>
      </c>
      <c r="D30" s="10">
        <v>0.0279904</v>
      </c>
      <c r="E30" s="1">
        <v>119824000</v>
      </c>
      <c r="G30" s="6">
        <v>0.0280024</v>
      </c>
      <c r="H30" s="1">
        <v>115128000</v>
      </c>
    </row>
    <row r="31" spans="1:8">
      <c r="A31" s="1">
        <v>0.0289389</v>
      </c>
      <c r="B31" s="1">
        <v>120698000</v>
      </c>
      <c r="D31" s="10">
        <v>0.028987</v>
      </c>
      <c r="E31" s="1">
        <v>120742000</v>
      </c>
      <c r="G31" s="6">
        <v>0.0290168</v>
      </c>
      <c r="H31" s="1">
        <v>115735000</v>
      </c>
    </row>
    <row r="32" spans="1:8">
      <c r="A32" s="1">
        <v>0.0299967</v>
      </c>
      <c r="B32" s="1">
        <v>113297000</v>
      </c>
      <c r="D32" s="10">
        <v>0.0299824</v>
      </c>
      <c r="E32" s="1">
        <v>120642000</v>
      </c>
      <c r="G32" s="6">
        <v>0.0300194</v>
      </c>
      <c r="H32" s="1">
        <v>117905000</v>
      </c>
    </row>
    <row r="33" spans="1:8">
      <c r="A33" s="1">
        <v>0.031002</v>
      </c>
      <c r="B33" s="1">
        <v>109120000</v>
      </c>
      <c r="D33" s="10">
        <v>0.0309717</v>
      </c>
      <c r="E33" s="1">
        <v>116196000</v>
      </c>
      <c r="G33" s="6">
        <v>0.031017</v>
      </c>
      <c r="H33" s="1">
        <v>115452000</v>
      </c>
    </row>
    <row r="34" spans="1:8">
      <c r="A34" s="1">
        <v>0.03199</v>
      </c>
      <c r="B34" s="1">
        <v>120012000</v>
      </c>
      <c r="D34" s="10">
        <v>0.0319767</v>
      </c>
      <c r="E34" s="1">
        <v>117911000</v>
      </c>
      <c r="G34" s="6">
        <v>0.032</v>
      </c>
      <c r="H34" s="1">
        <v>113155000</v>
      </c>
    </row>
    <row r="35" spans="1:8">
      <c r="A35" s="1">
        <v>0.0331533</v>
      </c>
      <c r="B35" s="1">
        <v>116911000</v>
      </c>
      <c r="D35" s="10">
        <v>0.0329997</v>
      </c>
      <c r="E35" s="1">
        <v>124207000</v>
      </c>
      <c r="G35" s="6">
        <v>0.0329901</v>
      </c>
      <c r="H35" s="1">
        <v>120591000</v>
      </c>
    </row>
    <row r="36" spans="1:8">
      <c r="A36" s="1">
        <v>0.0340467</v>
      </c>
      <c r="B36" s="1">
        <v>120853000</v>
      </c>
      <c r="D36" s="10">
        <v>0.0340156</v>
      </c>
      <c r="E36" s="1">
        <v>114038000</v>
      </c>
      <c r="G36" s="6">
        <v>0.0339927</v>
      </c>
      <c r="H36" s="1">
        <v>123194000</v>
      </c>
    </row>
    <row r="37" spans="1:8">
      <c r="A37" s="1">
        <v>0.0350004</v>
      </c>
      <c r="B37" s="1">
        <v>114295000</v>
      </c>
      <c r="D37" s="10">
        <v>0.0350102</v>
      </c>
      <c r="E37" s="1">
        <v>115832000</v>
      </c>
      <c r="G37" s="6">
        <v>0.0350164</v>
      </c>
      <c r="H37" s="1">
        <v>110448000</v>
      </c>
    </row>
    <row r="38" spans="1:8">
      <c r="A38" s="1">
        <v>0.0359813</v>
      </c>
      <c r="B38" s="1">
        <v>113294000</v>
      </c>
      <c r="D38" s="10">
        <v>0.0360168</v>
      </c>
      <c r="E38" s="1">
        <v>121633000</v>
      </c>
      <c r="G38" s="6">
        <v>0.0360284</v>
      </c>
      <c r="H38" s="1">
        <v>108842000</v>
      </c>
    </row>
    <row r="39" spans="1:8">
      <c r="A39" s="1">
        <v>0.0369864</v>
      </c>
      <c r="B39" s="1">
        <v>115327000</v>
      </c>
      <c r="D39" s="10">
        <v>0.0370365</v>
      </c>
      <c r="E39" s="1">
        <v>114496000</v>
      </c>
      <c r="G39" s="6">
        <v>0.0369932</v>
      </c>
      <c r="H39" s="1">
        <v>115260000</v>
      </c>
    </row>
    <row r="40" spans="1:8">
      <c r="A40" s="1">
        <v>0.0380011</v>
      </c>
      <c r="B40" s="1">
        <v>115937000</v>
      </c>
      <c r="D40" s="10">
        <v>0.0380065</v>
      </c>
      <c r="E40" s="1">
        <v>123662000</v>
      </c>
      <c r="G40" s="6">
        <v>0.0379898</v>
      </c>
      <c r="H40" s="1">
        <v>117151000</v>
      </c>
    </row>
    <row r="41" spans="1:8">
      <c r="A41" s="1">
        <v>0.0389949</v>
      </c>
      <c r="B41" s="1">
        <v>119985000</v>
      </c>
      <c r="D41" s="10">
        <v>0.0389788</v>
      </c>
      <c r="E41" s="1">
        <v>122070000</v>
      </c>
      <c r="G41" s="6">
        <v>0.0389992</v>
      </c>
      <c r="H41" s="1">
        <v>117882000</v>
      </c>
    </row>
    <row r="42" spans="1:8">
      <c r="A42" s="1">
        <v>0.0399962</v>
      </c>
      <c r="B42" s="1">
        <v>117131000</v>
      </c>
      <c r="D42" s="10">
        <v>0.0400049</v>
      </c>
      <c r="E42" s="1">
        <v>110856000</v>
      </c>
      <c r="G42" s="6">
        <v>0.0400059</v>
      </c>
      <c r="H42" s="1">
        <v>114502000</v>
      </c>
    </row>
    <row r="43" spans="1:8">
      <c r="A43" s="1">
        <v>0.0409955</v>
      </c>
      <c r="B43" s="1">
        <v>119822000</v>
      </c>
      <c r="D43" s="10">
        <v>0.0410231</v>
      </c>
      <c r="E43" s="1">
        <v>113596000</v>
      </c>
      <c r="G43" s="6">
        <v>0.0409818</v>
      </c>
      <c r="H43" s="1">
        <v>115189000</v>
      </c>
    </row>
    <row r="44" spans="1:8">
      <c r="A44" s="1">
        <v>0.0419727</v>
      </c>
      <c r="B44" s="1">
        <v>121069000</v>
      </c>
      <c r="D44" s="10">
        <v>0.0420166</v>
      </c>
      <c r="E44" s="1">
        <v>122761000</v>
      </c>
      <c r="G44" s="6">
        <v>0.0419929</v>
      </c>
      <c r="H44" s="1">
        <v>117858000</v>
      </c>
    </row>
    <row r="45" spans="1:8">
      <c r="A45" s="1">
        <v>0.0430128</v>
      </c>
      <c r="B45" s="1">
        <v>123205000</v>
      </c>
      <c r="D45" s="10">
        <v>0.0430365</v>
      </c>
      <c r="E45" s="1">
        <v>116596000</v>
      </c>
      <c r="G45" s="6">
        <v>0.0430168</v>
      </c>
      <c r="H45" s="1">
        <v>115089000</v>
      </c>
    </row>
    <row r="46" spans="1:8">
      <c r="A46" s="1">
        <v>0.0439973</v>
      </c>
      <c r="B46" s="1">
        <v>119444000</v>
      </c>
      <c r="D46" s="10">
        <v>0.0439993</v>
      </c>
      <c r="E46" s="1">
        <v>118468000</v>
      </c>
      <c r="G46" s="6">
        <v>0.0438273</v>
      </c>
      <c r="H46" s="1">
        <v>116933000</v>
      </c>
    </row>
    <row r="47" spans="1:5">
      <c r="A47" s="1">
        <v>0.0450104</v>
      </c>
      <c r="B47" s="1">
        <v>115899000</v>
      </c>
      <c r="D47" s="10">
        <v>0.0449989</v>
      </c>
      <c r="E47" s="1">
        <v>117639000</v>
      </c>
    </row>
    <row r="48" spans="1:2">
      <c r="A48" s="1">
        <v>0.0459809</v>
      </c>
      <c r="B48" s="1">
        <v>122210000</v>
      </c>
    </row>
    <row r="49" spans="1:2">
      <c r="A49" s="1">
        <v>0.0469965</v>
      </c>
      <c r="B49" s="1">
        <v>120924000</v>
      </c>
    </row>
    <row r="50" spans="1:2">
      <c r="A50" s="1">
        <v>0.0479956</v>
      </c>
      <c r="B50" s="1">
        <v>120236000</v>
      </c>
    </row>
    <row r="51" spans="1:2">
      <c r="A51" s="1">
        <v>0.0490005</v>
      </c>
      <c r="B51" s="1">
        <v>114674000</v>
      </c>
    </row>
  </sheetData>
  <mergeCells count="4">
    <mergeCell ref="A1:B1"/>
    <mergeCell ref="D1:E1"/>
    <mergeCell ref="G1:H1"/>
    <mergeCell ref="K1:L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1"/>
  <sheetViews>
    <sheetView workbookViewId="0">
      <selection activeCell="C28" sqref="C28:C32"/>
    </sheetView>
  </sheetViews>
  <sheetFormatPr defaultColWidth="9" defaultRowHeight="15"/>
  <sheetData>
    <row r="1" spans="1:46">
      <c r="A1" s="9" t="s">
        <v>14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N1" s="9" t="s">
        <v>15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AA1" s="9" t="s">
        <v>16</v>
      </c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0.000217211</v>
      </c>
      <c r="B2" s="1">
        <v>0.000576027</v>
      </c>
      <c r="C2" s="1">
        <v>19853200000000</v>
      </c>
      <c r="D2" s="1">
        <v>1193530000</v>
      </c>
      <c r="E2" s="1">
        <v>0</v>
      </c>
      <c r="F2" s="1">
        <v>0</v>
      </c>
      <c r="G2" s="1">
        <v>2</v>
      </c>
      <c r="H2" s="1">
        <v>5344060000000</v>
      </c>
      <c r="I2" s="1">
        <v>4611560000000</v>
      </c>
      <c r="J2" s="1">
        <v>4558050000000</v>
      </c>
      <c r="K2" s="1">
        <v>4649590000000</v>
      </c>
      <c r="L2" s="1">
        <v>689922000000</v>
      </c>
      <c r="N2" s="8">
        <v>0.000196448</v>
      </c>
      <c r="O2" s="1">
        <v>0.000536669</v>
      </c>
      <c r="P2" s="1">
        <v>19830000000000</v>
      </c>
      <c r="Q2" s="1">
        <v>1042280000</v>
      </c>
      <c r="R2" s="1">
        <v>0</v>
      </c>
      <c r="S2" s="1">
        <v>0</v>
      </c>
      <c r="T2" s="1">
        <v>2</v>
      </c>
      <c r="U2" s="1">
        <v>5411490000000</v>
      </c>
      <c r="V2" s="1">
        <v>4644970000000</v>
      </c>
      <c r="W2" s="1">
        <v>4664430000000</v>
      </c>
      <c r="X2" s="1">
        <v>4640910000000</v>
      </c>
      <c r="Y2" s="1">
        <v>468218000000</v>
      </c>
      <c r="AA2" s="8">
        <v>0.000179529</v>
      </c>
      <c r="AB2" s="1">
        <v>0.00051316</v>
      </c>
      <c r="AC2" s="1">
        <v>19849400000000</v>
      </c>
      <c r="AD2" s="1">
        <v>840556000</v>
      </c>
      <c r="AE2" s="1">
        <v>0</v>
      </c>
      <c r="AF2" s="1">
        <v>0</v>
      </c>
      <c r="AG2" s="1">
        <v>2</v>
      </c>
      <c r="AH2" s="1">
        <v>5458370000000</v>
      </c>
      <c r="AI2" s="1">
        <v>4637250000000</v>
      </c>
      <c r="AJ2" s="1">
        <v>4661000000000</v>
      </c>
      <c r="AK2" s="1">
        <v>4639220000000</v>
      </c>
      <c r="AL2" s="1">
        <v>453507000000</v>
      </c>
      <c r="AN2" s="1">
        <f>A2</f>
        <v>0.000217211</v>
      </c>
      <c r="AO2" s="1">
        <f>(C2+P2)/2</f>
        <v>19841600000000</v>
      </c>
      <c r="AP2" s="1"/>
      <c r="AQ2" s="1"/>
      <c r="AR2" s="1">
        <f t="shared" ref="AR2:AR27" si="0">(Y2+L2)/2</f>
        <v>579070000000</v>
      </c>
      <c r="AS2" s="1">
        <f t="shared" ref="AS2:AS27" si="1">MIN(Y2,L2)</f>
        <v>468218000000</v>
      </c>
      <c r="AT2" s="1">
        <f t="shared" ref="AT2:AT27" si="2">MAX(Y2,L2)</f>
        <v>689922000000</v>
      </c>
    </row>
    <row r="3" spans="1:46">
      <c r="A3" s="8">
        <v>0.000993712</v>
      </c>
      <c r="B3" s="1">
        <v>0.00144786</v>
      </c>
      <c r="C3" s="1">
        <v>20149100000000</v>
      </c>
      <c r="D3" s="1">
        <v>134476000</v>
      </c>
      <c r="E3" s="1">
        <v>0</v>
      </c>
      <c r="F3" s="1">
        <v>0</v>
      </c>
      <c r="G3" s="1">
        <v>2</v>
      </c>
      <c r="H3" s="1">
        <v>5373710000000</v>
      </c>
      <c r="I3" s="1">
        <v>4616710000000</v>
      </c>
      <c r="J3" s="1">
        <v>4551320000000</v>
      </c>
      <c r="K3" s="1">
        <v>4682300000000</v>
      </c>
      <c r="L3" s="1">
        <v>925030000000</v>
      </c>
      <c r="N3" s="8">
        <v>0.00104168</v>
      </c>
      <c r="O3" s="1">
        <v>0.001492</v>
      </c>
      <c r="P3" s="1">
        <v>20020900000000</v>
      </c>
      <c r="Q3" s="1">
        <v>824781000</v>
      </c>
      <c r="R3" s="1">
        <v>0</v>
      </c>
      <c r="S3" s="1">
        <v>0</v>
      </c>
      <c r="T3" s="1">
        <v>2</v>
      </c>
      <c r="U3" s="1">
        <v>5422870000000</v>
      </c>
      <c r="V3" s="1">
        <v>4610660000000</v>
      </c>
      <c r="W3" s="1">
        <v>4579760000000</v>
      </c>
      <c r="X3" s="1">
        <v>4603890000000</v>
      </c>
      <c r="Y3" s="1">
        <v>803660000000</v>
      </c>
      <c r="AA3" s="8">
        <v>0.00102323</v>
      </c>
      <c r="AB3" s="1">
        <v>0.00149257</v>
      </c>
      <c r="AC3" s="1">
        <v>20202800000000</v>
      </c>
      <c r="AD3" s="1">
        <v>219656000</v>
      </c>
      <c r="AE3" s="1">
        <v>0</v>
      </c>
      <c r="AF3" s="1">
        <v>0</v>
      </c>
      <c r="AG3" s="1">
        <v>2</v>
      </c>
      <c r="AH3" s="1">
        <v>5388140000000</v>
      </c>
      <c r="AI3" s="1">
        <v>4587540000000</v>
      </c>
      <c r="AJ3" s="1">
        <v>4613010000000</v>
      </c>
      <c r="AK3" s="1">
        <v>4605360000000</v>
      </c>
      <c r="AL3" s="1">
        <v>1008740000000</v>
      </c>
      <c r="AN3" s="1">
        <f t="shared" ref="AN3:AN27" si="3">A3</f>
        <v>0.000993712</v>
      </c>
      <c r="AO3" s="1">
        <f t="shared" ref="AO3:AO27" si="4">(C3+P3)/2</f>
        <v>20085000000000</v>
      </c>
      <c r="AP3" s="1"/>
      <c r="AQ3" s="1"/>
      <c r="AR3" s="1">
        <f t="shared" si="0"/>
        <v>864345000000</v>
      </c>
      <c r="AS3" s="1">
        <f t="shared" si="1"/>
        <v>803660000000</v>
      </c>
      <c r="AT3" s="1">
        <f t="shared" si="2"/>
        <v>925030000000</v>
      </c>
    </row>
    <row r="4" spans="1:46">
      <c r="A4" s="8">
        <v>0.00198844</v>
      </c>
      <c r="B4" s="1">
        <v>0.00247909</v>
      </c>
      <c r="C4" s="1">
        <v>20260200000000</v>
      </c>
      <c r="D4" s="1">
        <v>95715600</v>
      </c>
      <c r="E4" s="1">
        <v>0</v>
      </c>
      <c r="F4" s="1">
        <v>0</v>
      </c>
      <c r="G4" s="1">
        <v>2</v>
      </c>
      <c r="H4" s="1">
        <v>5447190000000</v>
      </c>
      <c r="I4" s="1">
        <v>4385240000000</v>
      </c>
      <c r="J4" s="1">
        <v>4494500000000</v>
      </c>
      <c r="K4" s="1">
        <v>4538660000000</v>
      </c>
      <c r="L4" s="1">
        <v>1394590000000</v>
      </c>
      <c r="N4" s="8">
        <v>0.0020034</v>
      </c>
      <c r="O4" s="1">
        <v>0.00247934</v>
      </c>
      <c r="P4" s="1">
        <v>20264100000000</v>
      </c>
      <c r="Q4" s="1">
        <v>1525310000</v>
      </c>
      <c r="R4" s="1">
        <v>0</v>
      </c>
      <c r="S4" s="1">
        <v>0</v>
      </c>
      <c r="T4" s="1">
        <v>2</v>
      </c>
      <c r="U4" s="1">
        <v>5326820000000</v>
      </c>
      <c r="V4" s="1">
        <v>4479040000000</v>
      </c>
      <c r="W4" s="1">
        <v>4666130000000</v>
      </c>
      <c r="X4" s="1">
        <v>4540480000000</v>
      </c>
      <c r="Y4" s="1">
        <v>1251580000000</v>
      </c>
      <c r="AA4" s="8">
        <v>0.0019956</v>
      </c>
      <c r="AB4" s="1">
        <v>0.00249183</v>
      </c>
      <c r="AC4" s="1">
        <v>20405400000000</v>
      </c>
      <c r="AD4" s="1">
        <v>256708000</v>
      </c>
      <c r="AE4" s="1">
        <v>0</v>
      </c>
      <c r="AF4" s="1">
        <v>0</v>
      </c>
      <c r="AG4" s="1">
        <v>2</v>
      </c>
      <c r="AH4" s="1">
        <v>5239740000000</v>
      </c>
      <c r="AI4" s="1">
        <v>4423960000000</v>
      </c>
      <c r="AJ4" s="1">
        <v>4522890000000</v>
      </c>
      <c r="AK4" s="1">
        <v>4460860000000</v>
      </c>
      <c r="AL4" s="1">
        <v>1757870000000</v>
      </c>
      <c r="AN4" s="1">
        <f t="shared" si="3"/>
        <v>0.00198844</v>
      </c>
      <c r="AO4" s="1">
        <f t="shared" si="4"/>
        <v>20262150000000</v>
      </c>
      <c r="AP4" s="1"/>
      <c r="AQ4" s="1"/>
      <c r="AR4" s="1">
        <f t="shared" si="0"/>
        <v>1323085000000</v>
      </c>
      <c r="AS4" s="1">
        <f t="shared" si="1"/>
        <v>1251580000000</v>
      </c>
      <c r="AT4" s="1">
        <f t="shared" si="2"/>
        <v>1394590000000</v>
      </c>
    </row>
    <row r="5" spans="1:46">
      <c r="A5" s="8">
        <v>0.00302431</v>
      </c>
      <c r="B5" s="1">
        <v>0.00355743</v>
      </c>
      <c r="C5" s="1">
        <v>20754600000000</v>
      </c>
      <c r="D5" s="1">
        <v>494265000</v>
      </c>
      <c r="E5" s="1">
        <v>0</v>
      </c>
      <c r="F5" s="1">
        <v>0</v>
      </c>
      <c r="G5" s="1">
        <v>2</v>
      </c>
      <c r="H5" s="1">
        <v>5207040000000</v>
      </c>
      <c r="I5" s="1">
        <v>4485300000000</v>
      </c>
      <c r="J5" s="1">
        <v>4198050000000</v>
      </c>
      <c r="K5" s="1">
        <v>4456430000000</v>
      </c>
      <c r="L5" s="1">
        <v>2407720000000</v>
      </c>
      <c r="N5" s="8">
        <v>0.0029941</v>
      </c>
      <c r="O5" s="1">
        <v>0.00350362</v>
      </c>
      <c r="P5" s="1">
        <v>20442900000000</v>
      </c>
      <c r="Q5" s="1">
        <v>221068000</v>
      </c>
      <c r="R5" s="1">
        <v>0</v>
      </c>
      <c r="S5" s="1">
        <v>0</v>
      </c>
      <c r="T5" s="1">
        <v>2</v>
      </c>
      <c r="U5" s="1">
        <v>5244840000000</v>
      </c>
      <c r="V5" s="1">
        <v>4306360000000</v>
      </c>
      <c r="W5" s="1">
        <v>4361550000000</v>
      </c>
      <c r="X5" s="1">
        <v>4276290000000</v>
      </c>
      <c r="Y5" s="1">
        <v>2252090000000</v>
      </c>
      <c r="AA5" s="8">
        <v>0.00300174</v>
      </c>
      <c r="AB5" s="1">
        <v>0.00350485</v>
      </c>
      <c r="AC5" s="1">
        <v>20655300000000</v>
      </c>
      <c r="AD5" s="1">
        <v>244284000</v>
      </c>
      <c r="AE5" s="1">
        <v>0</v>
      </c>
      <c r="AF5" s="1">
        <v>0</v>
      </c>
      <c r="AG5" s="1">
        <v>2</v>
      </c>
      <c r="AH5" s="1">
        <v>5231700000000</v>
      </c>
      <c r="AI5" s="1">
        <v>4452180000000</v>
      </c>
      <c r="AJ5" s="1">
        <v>4390580000000</v>
      </c>
      <c r="AK5" s="1">
        <v>4444700000000</v>
      </c>
      <c r="AL5" s="1">
        <v>2136070000000</v>
      </c>
      <c r="AN5" s="1">
        <f t="shared" si="3"/>
        <v>0.00302431</v>
      </c>
      <c r="AO5" s="1">
        <f t="shared" si="4"/>
        <v>20598750000000</v>
      </c>
      <c r="AP5" s="1"/>
      <c r="AQ5" s="1"/>
      <c r="AR5" s="1">
        <f t="shared" si="0"/>
        <v>2329905000000</v>
      </c>
      <c r="AS5" s="1">
        <f t="shared" si="1"/>
        <v>2252090000000</v>
      </c>
      <c r="AT5" s="1">
        <f t="shared" si="2"/>
        <v>2407720000000</v>
      </c>
    </row>
    <row r="6" spans="1:46">
      <c r="A6" s="8">
        <v>0.00399791</v>
      </c>
      <c r="B6" s="1">
        <v>0.00457377</v>
      </c>
      <c r="C6" s="1">
        <v>21114100000000</v>
      </c>
      <c r="D6" s="1">
        <v>133820000</v>
      </c>
      <c r="E6" s="1">
        <v>0</v>
      </c>
      <c r="F6" s="1">
        <v>0</v>
      </c>
      <c r="G6" s="1">
        <v>2</v>
      </c>
      <c r="H6" s="1">
        <v>5030590000000</v>
      </c>
      <c r="I6" s="1">
        <v>4457310000000</v>
      </c>
      <c r="J6" s="1">
        <v>4170630000000</v>
      </c>
      <c r="K6" s="1">
        <v>4363540000000</v>
      </c>
      <c r="L6" s="1">
        <v>3091970000000</v>
      </c>
      <c r="N6" s="8">
        <v>0.003975</v>
      </c>
      <c r="O6" s="1">
        <v>0.00452538</v>
      </c>
      <c r="P6" s="1">
        <v>20632300000000</v>
      </c>
      <c r="Q6" s="1">
        <v>208075000</v>
      </c>
      <c r="R6" s="1">
        <v>0</v>
      </c>
      <c r="S6" s="1">
        <v>0</v>
      </c>
      <c r="T6" s="1">
        <v>2</v>
      </c>
      <c r="U6" s="1">
        <v>4986050000000</v>
      </c>
      <c r="V6" s="1">
        <v>4405010000000</v>
      </c>
      <c r="W6" s="1">
        <v>3909500000000</v>
      </c>
      <c r="X6" s="1">
        <v>3905800000000</v>
      </c>
      <c r="Y6" s="1">
        <v>3424870000000</v>
      </c>
      <c r="AA6" s="8">
        <v>0.00400185</v>
      </c>
      <c r="AB6" s="1">
        <v>0.00451589</v>
      </c>
      <c r="AC6" s="1">
        <v>20825500000000</v>
      </c>
      <c r="AD6" s="1">
        <v>162222000</v>
      </c>
      <c r="AE6" s="1">
        <v>0</v>
      </c>
      <c r="AF6" s="1">
        <v>0</v>
      </c>
      <c r="AG6" s="1">
        <v>2</v>
      </c>
      <c r="AH6" s="1">
        <v>5167570000000</v>
      </c>
      <c r="AI6" s="1">
        <v>4464510000000</v>
      </c>
      <c r="AJ6" s="1">
        <v>4210450000000</v>
      </c>
      <c r="AK6" s="1">
        <v>4388120000000</v>
      </c>
      <c r="AL6" s="1">
        <v>2594720000000</v>
      </c>
      <c r="AN6" s="1">
        <f t="shared" si="3"/>
        <v>0.00399791</v>
      </c>
      <c r="AO6" s="1">
        <f t="shared" si="4"/>
        <v>20873200000000</v>
      </c>
      <c r="AP6" s="1"/>
      <c r="AQ6" s="1"/>
      <c r="AR6" s="1">
        <f t="shared" si="0"/>
        <v>3258420000000</v>
      </c>
      <c r="AS6" s="1">
        <f t="shared" si="1"/>
        <v>3091970000000</v>
      </c>
      <c r="AT6" s="1">
        <f t="shared" si="2"/>
        <v>3424870000000</v>
      </c>
    </row>
    <row r="7" spans="1:46">
      <c r="A7" s="8">
        <v>0.00498949</v>
      </c>
      <c r="B7" s="1">
        <v>0.00555437</v>
      </c>
      <c r="C7" s="1">
        <v>20834100000000</v>
      </c>
      <c r="D7" s="1">
        <v>140742000</v>
      </c>
      <c r="E7" s="1">
        <v>0</v>
      </c>
      <c r="F7" s="1">
        <v>0</v>
      </c>
      <c r="G7" s="1">
        <v>2</v>
      </c>
      <c r="H7" s="1">
        <v>4866330000000</v>
      </c>
      <c r="I7" s="1">
        <v>4005120000000</v>
      </c>
      <c r="J7" s="1">
        <v>3935630000000</v>
      </c>
      <c r="K7" s="1">
        <v>4134110000000</v>
      </c>
      <c r="L7" s="1">
        <v>3892870000000</v>
      </c>
      <c r="N7" s="8">
        <v>0.0049408</v>
      </c>
      <c r="O7" s="1">
        <v>0.00552065</v>
      </c>
      <c r="P7" s="1">
        <v>20860700000000</v>
      </c>
      <c r="Q7" s="1">
        <v>176396000</v>
      </c>
      <c r="R7" s="1">
        <v>0</v>
      </c>
      <c r="S7" s="1">
        <v>0</v>
      </c>
      <c r="T7" s="1">
        <v>2</v>
      </c>
      <c r="U7" s="1">
        <v>4971570000000</v>
      </c>
      <c r="V7" s="1">
        <v>4274320000000</v>
      </c>
      <c r="W7" s="1">
        <v>3869170000000</v>
      </c>
      <c r="X7" s="1">
        <v>3940650000000</v>
      </c>
      <c r="Y7" s="1">
        <v>3804990000000</v>
      </c>
      <c r="AA7" s="8">
        <v>0.0049864</v>
      </c>
      <c r="AB7" s="1">
        <v>0.00554045</v>
      </c>
      <c r="AC7" s="1">
        <v>21145000000000</v>
      </c>
      <c r="AD7" s="1">
        <v>344220000</v>
      </c>
      <c r="AE7" s="1">
        <v>0</v>
      </c>
      <c r="AF7" s="1">
        <v>0</v>
      </c>
      <c r="AG7" s="1">
        <v>2</v>
      </c>
      <c r="AH7" s="1">
        <v>4861070000000</v>
      </c>
      <c r="AI7" s="1">
        <v>4184030000000</v>
      </c>
      <c r="AJ7" s="1">
        <v>4211760000000</v>
      </c>
      <c r="AK7" s="1">
        <v>4537070000000</v>
      </c>
      <c r="AL7" s="1">
        <v>3351040000000</v>
      </c>
      <c r="AN7" s="1">
        <f t="shared" si="3"/>
        <v>0.00498949</v>
      </c>
      <c r="AO7" s="1">
        <f t="shared" si="4"/>
        <v>20847400000000</v>
      </c>
      <c r="AP7" s="1"/>
      <c r="AQ7" s="1"/>
      <c r="AR7" s="1">
        <f t="shared" si="0"/>
        <v>3848930000000</v>
      </c>
      <c r="AS7" s="1">
        <f t="shared" si="1"/>
        <v>3804990000000</v>
      </c>
      <c r="AT7" s="1">
        <f t="shared" si="2"/>
        <v>3892870000000</v>
      </c>
    </row>
    <row r="8" spans="1:46">
      <c r="A8" s="8">
        <v>0.00600716</v>
      </c>
      <c r="B8" s="1">
        <v>0.00656107</v>
      </c>
      <c r="C8" s="1">
        <v>21049900000000</v>
      </c>
      <c r="D8" s="1">
        <v>308233000</v>
      </c>
      <c r="E8" s="1">
        <v>0</v>
      </c>
      <c r="F8" s="1">
        <v>0</v>
      </c>
      <c r="G8" s="1">
        <v>2</v>
      </c>
      <c r="H8" s="1">
        <v>4783470000000</v>
      </c>
      <c r="I8" s="1">
        <v>4163990000000</v>
      </c>
      <c r="J8" s="1">
        <v>3952120000000</v>
      </c>
      <c r="K8" s="1">
        <v>4078040000000</v>
      </c>
      <c r="L8" s="1">
        <v>4072250000000</v>
      </c>
      <c r="N8" s="8">
        <v>0.00600813</v>
      </c>
      <c r="O8" s="1">
        <v>0.00654801</v>
      </c>
      <c r="P8" s="1">
        <v>21301700000000</v>
      </c>
      <c r="Q8" s="1">
        <v>323003000</v>
      </c>
      <c r="R8" s="1">
        <v>0</v>
      </c>
      <c r="S8" s="1">
        <v>0</v>
      </c>
      <c r="T8" s="1">
        <v>2</v>
      </c>
      <c r="U8" s="1">
        <v>4888250000000</v>
      </c>
      <c r="V8" s="1">
        <v>4058820000000</v>
      </c>
      <c r="W8" s="1">
        <v>4187460000000</v>
      </c>
      <c r="X8" s="1">
        <v>3958980000000</v>
      </c>
      <c r="Y8" s="1">
        <v>4208160000000</v>
      </c>
      <c r="AA8" s="8">
        <v>0.00598994</v>
      </c>
      <c r="AB8" s="1">
        <v>0.00654782</v>
      </c>
      <c r="AC8" s="1">
        <v>20861700000000</v>
      </c>
      <c r="AD8" s="1">
        <v>243380000</v>
      </c>
      <c r="AE8" s="1">
        <v>0</v>
      </c>
      <c r="AF8" s="1">
        <v>0</v>
      </c>
      <c r="AG8" s="1">
        <v>2</v>
      </c>
      <c r="AH8" s="1">
        <v>4718360000000</v>
      </c>
      <c r="AI8" s="1">
        <v>3961040000000</v>
      </c>
      <c r="AJ8" s="1">
        <v>4172140000000</v>
      </c>
      <c r="AK8" s="1">
        <v>4223670000000</v>
      </c>
      <c r="AL8" s="1">
        <v>3786070000000</v>
      </c>
      <c r="AN8" s="1">
        <f t="shared" si="3"/>
        <v>0.00600716</v>
      </c>
      <c r="AO8" s="1">
        <f t="shared" si="4"/>
        <v>21175800000000</v>
      </c>
      <c r="AP8" s="1"/>
      <c r="AQ8" s="1"/>
      <c r="AR8" s="1">
        <f t="shared" si="0"/>
        <v>4140205000000</v>
      </c>
      <c r="AS8" s="1">
        <f t="shared" si="1"/>
        <v>4072250000000</v>
      </c>
      <c r="AT8" s="1">
        <f t="shared" si="2"/>
        <v>4208160000000</v>
      </c>
    </row>
    <row r="9" spans="1:46">
      <c r="A9" s="8">
        <v>0.00701054</v>
      </c>
      <c r="B9" s="1">
        <v>0.00756366</v>
      </c>
      <c r="C9" s="1">
        <v>21004500000000</v>
      </c>
      <c r="D9" s="1">
        <v>358271000</v>
      </c>
      <c r="E9" s="1">
        <v>0</v>
      </c>
      <c r="F9" s="1">
        <v>0</v>
      </c>
      <c r="G9" s="1">
        <v>2</v>
      </c>
      <c r="H9" s="1">
        <v>4712920000000</v>
      </c>
      <c r="I9" s="1">
        <v>3901740000000</v>
      </c>
      <c r="J9" s="1">
        <v>3822410000000</v>
      </c>
      <c r="K9" s="1">
        <v>4024330000000</v>
      </c>
      <c r="L9" s="1">
        <v>4542890000000</v>
      </c>
      <c r="N9" s="8">
        <v>0.00699492</v>
      </c>
      <c r="O9" s="1">
        <v>0.00755948</v>
      </c>
      <c r="P9" s="1">
        <v>20863100000000</v>
      </c>
      <c r="Q9" s="1">
        <v>259112000</v>
      </c>
      <c r="R9" s="1">
        <v>0</v>
      </c>
      <c r="S9" s="1">
        <v>0</v>
      </c>
      <c r="T9" s="1">
        <v>2</v>
      </c>
      <c r="U9" s="1">
        <v>4893470000000</v>
      </c>
      <c r="V9" s="1">
        <v>4154020000000</v>
      </c>
      <c r="W9" s="1">
        <v>3968110000000</v>
      </c>
      <c r="X9" s="1">
        <v>4098970000000</v>
      </c>
      <c r="Y9" s="1">
        <v>3748400000000</v>
      </c>
      <c r="AA9" s="8">
        <v>0.00700943</v>
      </c>
      <c r="AB9" s="1">
        <v>0.00756287</v>
      </c>
      <c r="AC9" s="1">
        <v>21062600000000</v>
      </c>
      <c r="AD9" s="1">
        <v>360590000</v>
      </c>
      <c r="AE9" s="1">
        <v>0</v>
      </c>
      <c r="AF9" s="1">
        <v>0</v>
      </c>
      <c r="AG9" s="1">
        <v>2</v>
      </c>
      <c r="AH9" s="1">
        <v>4925870000000</v>
      </c>
      <c r="AI9" s="1">
        <v>4308190000000</v>
      </c>
      <c r="AJ9" s="1">
        <v>4274160000000</v>
      </c>
      <c r="AK9" s="1">
        <v>4270900000000</v>
      </c>
      <c r="AL9" s="1">
        <v>3283440000000</v>
      </c>
      <c r="AN9" s="1">
        <f t="shared" si="3"/>
        <v>0.00701054</v>
      </c>
      <c r="AO9" s="1">
        <f t="shared" si="4"/>
        <v>20933800000000</v>
      </c>
      <c r="AP9" s="1"/>
      <c r="AQ9" s="1"/>
      <c r="AR9" s="1">
        <f t="shared" si="0"/>
        <v>4145645000000</v>
      </c>
      <c r="AS9" s="1">
        <f t="shared" si="1"/>
        <v>3748400000000</v>
      </c>
      <c r="AT9" s="1">
        <f t="shared" si="2"/>
        <v>4542890000000</v>
      </c>
    </row>
    <row r="10" spans="1:46">
      <c r="A10" s="8">
        <v>0.00804502</v>
      </c>
      <c r="B10" s="1">
        <v>0.0085872</v>
      </c>
      <c r="C10" s="1">
        <v>21478000000000</v>
      </c>
      <c r="D10" s="1">
        <v>282317000</v>
      </c>
      <c r="E10" s="1">
        <v>0</v>
      </c>
      <c r="F10" s="1">
        <v>0</v>
      </c>
      <c r="G10" s="1">
        <v>2</v>
      </c>
      <c r="H10" s="1">
        <v>4607500000000</v>
      </c>
      <c r="I10" s="1">
        <v>4248050000000</v>
      </c>
      <c r="J10" s="1">
        <v>3968660000000</v>
      </c>
      <c r="K10" s="1">
        <v>4487580000000</v>
      </c>
      <c r="L10" s="1">
        <v>4166140000000</v>
      </c>
      <c r="N10" s="8">
        <v>0.00801427</v>
      </c>
      <c r="O10" s="1">
        <v>0.00857929</v>
      </c>
      <c r="P10" s="1">
        <v>21010700000000</v>
      </c>
      <c r="Q10" s="1">
        <v>162699000</v>
      </c>
      <c r="R10" s="1">
        <v>0</v>
      </c>
      <c r="S10" s="1">
        <v>0</v>
      </c>
      <c r="T10" s="1">
        <v>2</v>
      </c>
      <c r="U10" s="1">
        <v>4918170000000</v>
      </c>
      <c r="V10" s="1">
        <v>4140620000000</v>
      </c>
      <c r="W10" s="1">
        <v>3966890000000</v>
      </c>
      <c r="X10" s="1">
        <v>4163870000000</v>
      </c>
      <c r="Y10" s="1">
        <v>3819970000000</v>
      </c>
      <c r="AA10" s="8">
        <v>0.007979</v>
      </c>
      <c r="AB10" s="1">
        <v>0.00852359</v>
      </c>
      <c r="AC10" s="1">
        <v>21375800000000</v>
      </c>
      <c r="AD10" s="1">
        <v>236029000</v>
      </c>
      <c r="AE10" s="1">
        <v>0</v>
      </c>
      <c r="AF10" s="1">
        <v>0</v>
      </c>
      <c r="AG10" s="1">
        <v>2</v>
      </c>
      <c r="AH10" s="1">
        <v>4944420000000</v>
      </c>
      <c r="AI10" s="1">
        <v>4222100000000</v>
      </c>
      <c r="AJ10" s="1">
        <v>4057810000000</v>
      </c>
      <c r="AK10" s="1">
        <v>4599450000000</v>
      </c>
      <c r="AL10" s="1">
        <v>3551970000000</v>
      </c>
      <c r="AN10" s="1">
        <f t="shared" si="3"/>
        <v>0.00804502</v>
      </c>
      <c r="AO10" s="1">
        <f t="shared" si="4"/>
        <v>21244350000000</v>
      </c>
      <c r="AP10" s="1"/>
      <c r="AQ10" s="1"/>
      <c r="AR10" s="1">
        <f t="shared" si="0"/>
        <v>3993055000000</v>
      </c>
      <c r="AS10" s="1">
        <f t="shared" si="1"/>
        <v>3819970000000</v>
      </c>
      <c r="AT10" s="1">
        <f t="shared" si="2"/>
        <v>4166140000000</v>
      </c>
    </row>
    <row r="11" spans="1:46">
      <c r="A11" s="8">
        <v>0.00899793</v>
      </c>
      <c r="B11" s="1">
        <v>0.00954515</v>
      </c>
      <c r="C11" s="1">
        <v>21369600000000</v>
      </c>
      <c r="D11" s="1">
        <v>236510000</v>
      </c>
      <c r="E11" s="1">
        <v>0</v>
      </c>
      <c r="F11" s="1">
        <v>0</v>
      </c>
      <c r="G11" s="1">
        <v>2</v>
      </c>
      <c r="H11" s="1">
        <v>4562990000000</v>
      </c>
      <c r="I11" s="1">
        <v>4166980000000</v>
      </c>
      <c r="J11" s="1">
        <v>4299710000000</v>
      </c>
      <c r="K11" s="1">
        <v>4187960000000</v>
      </c>
      <c r="L11" s="1">
        <v>4151860000000</v>
      </c>
      <c r="N11" s="8">
        <v>0.0090004</v>
      </c>
      <c r="O11" s="1">
        <v>0.00954811</v>
      </c>
      <c r="P11" s="1">
        <v>21077100000000</v>
      </c>
      <c r="Q11" s="1">
        <v>311202000</v>
      </c>
      <c r="R11" s="1">
        <v>0</v>
      </c>
      <c r="S11" s="1">
        <v>0</v>
      </c>
      <c r="T11" s="1">
        <v>2</v>
      </c>
      <c r="U11" s="1">
        <v>5111860000000</v>
      </c>
      <c r="V11" s="1">
        <v>3849190000000</v>
      </c>
      <c r="W11" s="1">
        <v>3893940000000</v>
      </c>
      <c r="X11" s="1">
        <v>3990580000000</v>
      </c>
      <c r="Y11" s="1">
        <v>4231460000000</v>
      </c>
      <c r="AA11" s="8">
        <v>0.00898807</v>
      </c>
      <c r="AB11" s="1">
        <v>0.00952654</v>
      </c>
      <c r="AC11" s="1">
        <v>21137800000000</v>
      </c>
      <c r="AD11" s="1">
        <v>243453000</v>
      </c>
      <c r="AE11" s="1">
        <v>0</v>
      </c>
      <c r="AF11" s="1">
        <v>0</v>
      </c>
      <c r="AG11" s="1">
        <v>2</v>
      </c>
      <c r="AH11" s="1">
        <v>4884590000000</v>
      </c>
      <c r="AI11" s="1">
        <v>4057350000000</v>
      </c>
      <c r="AJ11" s="1">
        <v>4112200000000</v>
      </c>
      <c r="AK11" s="1">
        <v>4172820000000</v>
      </c>
      <c r="AL11" s="1">
        <v>3910730000000</v>
      </c>
      <c r="AN11" s="1">
        <f t="shared" si="3"/>
        <v>0.00899793</v>
      </c>
      <c r="AO11" s="1">
        <f t="shared" si="4"/>
        <v>21223350000000</v>
      </c>
      <c r="AP11" s="1"/>
      <c r="AQ11" s="1"/>
      <c r="AR11" s="1">
        <f t="shared" si="0"/>
        <v>4191660000000</v>
      </c>
      <c r="AS11" s="1">
        <f t="shared" si="1"/>
        <v>4151860000000</v>
      </c>
      <c r="AT11" s="1">
        <f t="shared" si="2"/>
        <v>4231460000000</v>
      </c>
    </row>
    <row r="12" spans="1:46">
      <c r="A12" s="8">
        <v>0.0100028</v>
      </c>
      <c r="B12" s="1">
        <v>0.0105458</v>
      </c>
      <c r="C12" s="1">
        <v>20730100000000</v>
      </c>
      <c r="D12" s="1">
        <v>451707000</v>
      </c>
      <c r="E12" s="1">
        <v>0</v>
      </c>
      <c r="F12" s="1">
        <v>0</v>
      </c>
      <c r="G12" s="1">
        <v>2</v>
      </c>
      <c r="H12" s="1">
        <v>4852100000000</v>
      </c>
      <c r="I12" s="1">
        <v>4179910000000</v>
      </c>
      <c r="J12" s="1">
        <v>4161980000000</v>
      </c>
      <c r="K12" s="1">
        <v>4199720000000</v>
      </c>
      <c r="L12" s="1">
        <v>3336340000000</v>
      </c>
      <c r="N12" s="8">
        <v>0.00999633</v>
      </c>
      <c r="O12" s="1">
        <v>0.0105558</v>
      </c>
      <c r="P12" s="1">
        <v>21190900000000</v>
      </c>
      <c r="Q12" s="1">
        <v>386500000</v>
      </c>
      <c r="R12" s="1">
        <v>0</v>
      </c>
      <c r="S12" s="1">
        <v>0</v>
      </c>
      <c r="T12" s="1">
        <v>2</v>
      </c>
      <c r="U12" s="1">
        <v>4836210000000</v>
      </c>
      <c r="V12" s="1">
        <v>4124570000000</v>
      </c>
      <c r="W12" s="1">
        <v>3789820000000</v>
      </c>
      <c r="X12" s="1">
        <v>4009180000000</v>
      </c>
      <c r="Y12" s="1">
        <v>4431040000000</v>
      </c>
      <c r="AA12" s="8">
        <v>0.0100066</v>
      </c>
      <c r="AB12" s="1">
        <v>0.0105462</v>
      </c>
      <c r="AC12" s="1">
        <v>21015200000000</v>
      </c>
      <c r="AD12" s="1">
        <v>301891000</v>
      </c>
      <c r="AE12" s="1">
        <v>0</v>
      </c>
      <c r="AF12" s="1">
        <v>0</v>
      </c>
      <c r="AG12" s="1">
        <v>2</v>
      </c>
      <c r="AH12" s="1">
        <v>5159770000000</v>
      </c>
      <c r="AI12" s="1">
        <v>4361830000000</v>
      </c>
      <c r="AJ12" s="1">
        <v>4177520000000</v>
      </c>
      <c r="AK12" s="1">
        <v>4045510000000</v>
      </c>
      <c r="AL12" s="1">
        <v>3269840000000</v>
      </c>
      <c r="AN12" s="1">
        <f t="shared" si="3"/>
        <v>0.0100028</v>
      </c>
      <c r="AO12" s="1">
        <f t="shared" si="4"/>
        <v>20960500000000</v>
      </c>
      <c r="AP12" s="1"/>
      <c r="AQ12" s="1"/>
      <c r="AR12" s="1">
        <f t="shared" si="0"/>
        <v>3883690000000</v>
      </c>
      <c r="AS12" s="1">
        <f t="shared" si="1"/>
        <v>3336340000000</v>
      </c>
      <c r="AT12" s="1">
        <f t="shared" si="2"/>
        <v>4431040000000</v>
      </c>
    </row>
    <row r="13" spans="1:46">
      <c r="A13" s="8">
        <v>0.0110063</v>
      </c>
      <c r="B13" s="1">
        <v>0.0115693</v>
      </c>
      <c r="C13" s="1">
        <v>21207300000000</v>
      </c>
      <c r="D13" s="1">
        <v>178728000</v>
      </c>
      <c r="E13" s="1">
        <v>0</v>
      </c>
      <c r="F13" s="1">
        <v>0</v>
      </c>
      <c r="G13" s="1">
        <v>2</v>
      </c>
      <c r="H13" s="1">
        <v>4911550000000</v>
      </c>
      <c r="I13" s="1">
        <v>3960710000000</v>
      </c>
      <c r="J13" s="1">
        <v>4399770000000</v>
      </c>
      <c r="K13" s="1">
        <v>4113360000000</v>
      </c>
      <c r="L13" s="1">
        <v>3821860000000</v>
      </c>
      <c r="N13" s="8">
        <v>0.0109481</v>
      </c>
      <c r="O13" s="1">
        <v>0.01151</v>
      </c>
      <c r="P13" s="1">
        <v>20920500000000</v>
      </c>
      <c r="Q13" s="1">
        <v>181128000</v>
      </c>
      <c r="R13" s="1">
        <v>0</v>
      </c>
      <c r="S13" s="1">
        <v>0</v>
      </c>
      <c r="T13" s="1">
        <v>2</v>
      </c>
      <c r="U13" s="1">
        <v>4577230000000</v>
      </c>
      <c r="V13" s="1">
        <v>4096710000000</v>
      </c>
      <c r="W13" s="1">
        <v>4002240000000</v>
      </c>
      <c r="X13" s="1">
        <v>3968040000000</v>
      </c>
      <c r="Y13" s="1">
        <v>4276240000000</v>
      </c>
      <c r="AA13" s="8">
        <v>0.0109937</v>
      </c>
      <c r="AB13" s="1">
        <v>0.011571</v>
      </c>
      <c r="AC13" s="1">
        <v>20884700000000</v>
      </c>
      <c r="AD13" s="1">
        <v>200927000</v>
      </c>
      <c r="AE13" s="1">
        <v>0</v>
      </c>
      <c r="AF13" s="1">
        <v>0</v>
      </c>
      <c r="AG13" s="1">
        <v>2</v>
      </c>
      <c r="AH13" s="1">
        <v>4916510000000</v>
      </c>
      <c r="AI13" s="1">
        <v>4228160000000</v>
      </c>
      <c r="AJ13" s="1">
        <v>4028610000000</v>
      </c>
      <c r="AK13" s="1">
        <v>3797840000000</v>
      </c>
      <c r="AL13" s="1">
        <v>3912620000000</v>
      </c>
      <c r="AN13" s="1">
        <f t="shared" si="3"/>
        <v>0.0110063</v>
      </c>
      <c r="AO13" s="1">
        <f t="shared" si="4"/>
        <v>21063900000000</v>
      </c>
      <c r="AP13" s="1"/>
      <c r="AQ13" s="1"/>
      <c r="AR13" s="1">
        <f t="shared" si="0"/>
        <v>4049050000000</v>
      </c>
      <c r="AS13" s="1">
        <f t="shared" si="1"/>
        <v>3821860000000</v>
      </c>
      <c r="AT13" s="1">
        <f t="shared" si="2"/>
        <v>4276240000000</v>
      </c>
    </row>
    <row r="14" spans="1:46">
      <c r="A14" s="8">
        <v>0.0119928</v>
      </c>
      <c r="B14" s="1">
        <v>0.0125759</v>
      </c>
      <c r="C14" s="1">
        <v>21620600000000</v>
      </c>
      <c r="D14" s="1">
        <v>326438000</v>
      </c>
      <c r="E14" s="1">
        <v>0</v>
      </c>
      <c r="F14" s="1">
        <v>0</v>
      </c>
      <c r="G14" s="1">
        <v>2</v>
      </c>
      <c r="H14" s="1">
        <v>4802480000000</v>
      </c>
      <c r="I14" s="1">
        <v>4184540000000</v>
      </c>
      <c r="J14" s="1">
        <v>4258240000000</v>
      </c>
      <c r="K14" s="1">
        <v>4031500000000</v>
      </c>
      <c r="L14" s="1">
        <v>4343790000000</v>
      </c>
      <c r="N14" s="8">
        <v>0.0120238</v>
      </c>
      <c r="O14" s="1">
        <v>0.012594</v>
      </c>
      <c r="P14" s="1">
        <v>21084300000000</v>
      </c>
      <c r="Q14" s="1">
        <v>370335000</v>
      </c>
      <c r="R14" s="1">
        <v>0</v>
      </c>
      <c r="S14" s="1">
        <v>0</v>
      </c>
      <c r="T14" s="1">
        <v>2</v>
      </c>
      <c r="U14" s="1">
        <v>4568460000000</v>
      </c>
      <c r="V14" s="1">
        <v>4001140000000</v>
      </c>
      <c r="W14" s="1">
        <v>3979690000000</v>
      </c>
      <c r="X14" s="1">
        <v>4057560000000</v>
      </c>
      <c r="Y14" s="1">
        <v>4477220000000</v>
      </c>
      <c r="AA14" s="8">
        <v>0.012001</v>
      </c>
      <c r="AB14" s="1">
        <v>0.0125686</v>
      </c>
      <c r="AC14" s="1">
        <v>20765200000000</v>
      </c>
      <c r="AD14" s="1">
        <v>248467000</v>
      </c>
      <c r="AE14" s="1">
        <v>0</v>
      </c>
      <c r="AF14" s="1">
        <v>0</v>
      </c>
      <c r="AG14" s="1">
        <v>2</v>
      </c>
      <c r="AH14" s="1">
        <v>4736100000000</v>
      </c>
      <c r="AI14" s="1">
        <v>4151070000000</v>
      </c>
      <c r="AJ14" s="1">
        <v>3935990000000</v>
      </c>
      <c r="AK14" s="1">
        <v>4000350000000</v>
      </c>
      <c r="AL14" s="1">
        <v>3940680000000</v>
      </c>
      <c r="AN14" s="1">
        <f t="shared" si="3"/>
        <v>0.0119928</v>
      </c>
      <c r="AO14" s="1">
        <f t="shared" si="4"/>
        <v>21352450000000</v>
      </c>
      <c r="AP14" s="1"/>
      <c r="AQ14" s="1"/>
      <c r="AR14" s="1">
        <f t="shared" si="0"/>
        <v>4410505000000</v>
      </c>
      <c r="AS14" s="1">
        <f t="shared" si="1"/>
        <v>4343790000000</v>
      </c>
      <c r="AT14" s="1">
        <f t="shared" si="2"/>
        <v>4477220000000</v>
      </c>
    </row>
    <row r="15" spans="1:46">
      <c r="A15" s="8">
        <v>0.0129821</v>
      </c>
      <c r="B15" s="1">
        <v>0.0135938</v>
      </c>
      <c r="C15" s="1">
        <v>20898500000000</v>
      </c>
      <c r="D15" s="1">
        <v>262343000</v>
      </c>
      <c r="E15" s="1">
        <v>0</v>
      </c>
      <c r="F15" s="1">
        <v>0</v>
      </c>
      <c r="G15" s="1">
        <v>2</v>
      </c>
      <c r="H15" s="1">
        <v>4708310000000</v>
      </c>
      <c r="I15" s="1">
        <v>4296730000000</v>
      </c>
      <c r="J15" s="1">
        <v>4215800000000</v>
      </c>
      <c r="K15" s="1">
        <v>3894310000000</v>
      </c>
      <c r="L15" s="1">
        <v>3783240000000</v>
      </c>
      <c r="N15" s="8">
        <v>0.0130066</v>
      </c>
      <c r="O15" s="1">
        <v>0.0135543</v>
      </c>
      <c r="P15" s="1">
        <v>21219100000000</v>
      </c>
      <c r="Q15" s="1">
        <v>240964000</v>
      </c>
      <c r="R15" s="1">
        <v>0</v>
      </c>
      <c r="S15" s="1">
        <v>0</v>
      </c>
      <c r="T15" s="1">
        <v>2</v>
      </c>
      <c r="U15" s="1">
        <v>5180070000000</v>
      </c>
      <c r="V15" s="1">
        <v>4083770000000</v>
      </c>
      <c r="W15" s="1">
        <v>3955170000000</v>
      </c>
      <c r="X15" s="1">
        <v>4281480000000</v>
      </c>
      <c r="Y15" s="1">
        <v>3718570000000</v>
      </c>
      <c r="AA15" s="8">
        <v>0.013014</v>
      </c>
      <c r="AB15" s="1">
        <v>0.0135893</v>
      </c>
      <c r="AC15" s="1">
        <v>20657500000000</v>
      </c>
      <c r="AD15" s="1">
        <v>174579000</v>
      </c>
      <c r="AE15" s="1">
        <v>0</v>
      </c>
      <c r="AF15" s="1">
        <v>0</v>
      </c>
      <c r="AG15" s="1">
        <v>2</v>
      </c>
      <c r="AH15" s="1">
        <v>4834540000000</v>
      </c>
      <c r="AI15" s="1">
        <v>4113660000000</v>
      </c>
      <c r="AJ15" s="1">
        <v>3964110000000</v>
      </c>
      <c r="AK15" s="1">
        <v>3957720000000</v>
      </c>
      <c r="AL15" s="1">
        <v>3787170000000</v>
      </c>
      <c r="AN15" s="1">
        <f t="shared" si="3"/>
        <v>0.0129821</v>
      </c>
      <c r="AO15" s="1">
        <f t="shared" si="4"/>
        <v>21058800000000</v>
      </c>
      <c r="AP15" s="1"/>
      <c r="AQ15" s="1"/>
      <c r="AR15" s="1">
        <f t="shared" si="0"/>
        <v>3750905000000</v>
      </c>
      <c r="AS15" s="1">
        <f t="shared" si="1"/>
        <v>3718570000000</v>
      </c>
      <c r="AT15" s="1">
        <f t="shared" si="2"/>
        <v>3783240000000</v>
      </c>
    </row>
    <row r="16" spans="1:46">
      <c r="A16" s="8">
        <v>0.0140108</v>
      </c>
      <c r="B16" s="1">
        <v>0.0145793</v>
      </c>
      <c r="C16" s="1">
        <v>21438500000000</v>
      </c>
      <c r="D16" s="1">
        <v>350959000</v>
      </c>
      <c r="E16" s="1">
        <v>0</v>
      </c>
      <c r="F16" s="1">
        <v>0</v>
      </c>
      <c r="G16" s="1">
        <v>2</v>
      </c>
      <c r="H16" s="1">
        <v>4929290000000</v>
      </c>
      <c r="I16" s="1">
        <v>4659780000000</v>
      </c>
      <c r="J16" s="1">
        <v>4188020000000</v>
      </c>
      <c r="K16" s="1">
        <v>4087630000000</v>
      </c>
      <c r="L16" s="1">
        <v>3573750000000</v>
      </c>
      <c r="N16" s="8">
        <v>0.0139897</v>
      </c>
      <c r="O16" s="1">
        <v>0.0145568</v>
      </c>
      <c r="P16" s="1">
        <v>21106400000000</v>
      </c>
      <c r="Q16" s="1">
        <v>303196000</v>
      </c>
      <c r="R16" s="1">
        <v>0</v>
      </c>
      <c r="S16" s="1">
        <v>0</v>
      </c>
      <c r="T16" s="1">
        <v>2</v>
      </c>
      <c r="U16" s="1">
        <v>5145010000000</v>
      </c>
      <c r="V16" s="1">
        <v>4018760000000</v>
      </c>
      <c r="W16" s="1">
        <v>3964300000000</v>
      </c>
      <c r="X16" s="1">
        <v>3941810000000</v>
      </c>
      <c r="Y16" s="1">
        <v>4036410000000</v>
      </c>
      <c r="AA16" s="8">
        <v>0.013987</v>
      </c>
      <c r="AB16" s="1">
        <v>0.0145265</v>
      </c>
      <c r="AC16" s="1">
        <v>21000500000000</v>
      </c>
      <c r="AD16" s="1">
        <v>164861000</v>
      </c>
      <c r="AE16" s="1">
        <v>0</v>
      </c>
      <c r="AF16" s="1">
        <v>0</v>
      </c>
      <c r="AG16" s="1">
        <v>2</v>
      </c>
      <c r="AH16" s="1">
        <v>4813000000000</v>
      </c>
      <c r="AI16" s="1">
        <v>4224520000000</v>
      </c>
      <c r="AJ16" s="1">
        <v>3995610000000</v>
      </c>
      <c r="AK16" s="1">
        <v>3813270000000</v>
      </c>
      <c r="AL16" s="1">
        <v>4153980000000</v>
      </c>
      <c r="AN16" s="1">
        <f t="shared" si="3"/>
        <v>0.0140108</v>
      </c>
      <c r="AO16" s="1">
        <f t="shared" si="4"/>
        <v>21272450000000</v>
      </c>
      <c r="AP16" s="1"/>
      <c r="AQ16" s="1"/>
      <c r="AR16" s="1">
        <f t="shared" si="0"/>
        <v>3805080000000</v>
      </c>
      <c r="AS16" s="1">
        <f t="shared" si="1"/>
        <v>3573750000000</v>
      </c>
      <c r="AT16" s="1">
        <f t="shared" si="2"/>
        <v>4036410000000</v>
      </c>
    </row>
    <row r="17" spans="1:46">
      <c r="A17" s="8">
        <v>0.0150129</v>
      </c>
      <c r="B17" s="1">
        <v>0.0155528</v>
      </c>
      <c r="C17" s="1">
        <v>21637800000000</v>
      </c>
      <c r="D17" s="1">
        <v>560613000</v>
      </c>
      <c r="E17" s="1">
        <v>0</v>
      </c>
      <c r="F17" s="1">
        <v>0</v>
      </c>
      <c r="G17" s="1">
        <v>2</v>
      </c>
      <c r="H17" s="1">
        <v>5147720000000</v>
      </c>
      <c r="I17" s="1">
        <v>4389380000000</v>
      </c>
      <c r="J17" s="1">
        <v>4624510000000</v>
      </c>
      <c r="K17" s="1">
        <v>4066310000000</v>
      </c>
      <c r="L17" s="1">
        <v>3409820000000</v>
      </c>
      <c r="N17" s="8">
        <v>0.0150329</v>
      </c>
      <c r="O17" s="1">
        <v>0.0155695</v>
      </c>
      <c r="P17" s="1">
        <v>21150800000000</v>
      </c>
      <c r="Q17" s="1">
        <v>195613000</v>
      </c>
      <c r="R17" s="1">
        <v>0</v>
      </c>
      <c r="S17" s="1">
        <v>0</v>
      </c>
      <c r="T17" s="1">
        <v>2</v>
      </c>
      <c r="U17" s="1">
        <v>5134160000000</v>
      </c>
      <c r="V17" s="1">
        <v>4091610000000</v>
      </c>
      <c r="W17" s="1">
        <v>4384780000000</v>
      </c>
      <c r="X17" s="1">
        <v>3976700000000</v>
      </c>
      <c r="Y17" s="1">
        <v>3563520000000</v>
      </c>
      <c r="AA17" s="8">
        <v>0.015003</v>
      </c>
      <c r="AB17" s="1">
        <v>0.0155426</v>
      </c>
      <c r="AC17" s="1">
        <v>20790900000000</v>
      </c>
      <c r="AD17" s="1">
        <v>193378000</v>
      </c>
      <c r="AE17" s="1">
        <v>0</v>
      </c>
      <c r="AF17" s="1">
        <v>0</v>
      </c>
      <c r="AG17" s="1">
        <v>2</v>
      </c>
      <c r="AH17" s="1">
        <v>4959010000000</v>
      </c>
      <c r="AI17" s="1">
        <v>4193870000000</v>
      </c>
      <c r="AJ17" s="1">
        <v>4462260000000</v>
      </c>
      <c r="AK17" s="1">
        <v>4167980000000</v>
      </c>
      <c r="AL17" s="1">
        <v>3007210000000</v>
      </c>
      <c r="AN17" s="1">
        <f t="shared" si="3"/>
        <v>0.0150129</v>
      </c>
      <c r="AO17" s="1">
        <f t="shared" si="4"/>
        <v>21394300000000</v>
      </c>
      <c r="AP17" s="1"/>
      <c r="AQ17" s="1"/>
      <c r="AR17" s="1">
        <f t="shared" si="0"/>
        <v>3486670000000</v>
      </c>
      <c r="AS17" s="1">
        <f t="shared" si="1"/>
        <v>3409820000000</v>
      </c>
      <c r="AT17" s="1">
        <f t="shared" si="2"/>
        <v>3563520000000</v>
      </c>
    </row>
    <row r="18" spans="1:46">
      <c r="A18" s="8">
        <v>0.0159961</v>
      </c>
      <c r="B18" s="1">
        <v>0.0165306</v>
      </c>
      <c r="C18" s="1">
        <v>20952000000000</v>
      </c>
      <c r="D18" s="1">
        <v>190796000</v>
      </c>
      <c r="E18" s="1">
        <v>0</v>
      </c>
      <c r="F18" s="1">
        <v>0</v>
      </c>
      <c r="G18" s="1">
        <v>2</v>
      </c>
      <c r="H18" s="1">
        <v>5241650000000</v>
      </c>
      <c r="I18" s="1">
        <v>4051050000000</v>
      </c>
      <c r="J18" s="1">
        <v>4489160000000</v>
      </c>
      <c r="K18" s="1">
        <v>4247910000000</v>
      </c>
      <c r="L18" s="1">
        <v>2922160000000</v>
      </c>
      <c r="N18" s="8">
        <v>0.0159743</v>
      </c>
      <c r="O18" s="1">
        <v>0.0165414</v>
      </c>
      <c r="P18" s="1">
        <v>20908700000000</v>
      </c>
      <c r="Q18" s="1">
        <v>158459000</v>
      </c>
      <c r="R18" s="1">
        <v>0</v>
      </c>
      <c r="S18" s="1">
        <v>0</v>
      </c>
      <c r="T18" s="1">
        <v>2</v>
      </c>
      <c r="U18" s="1">
        <v>5021670000000</v>
      </c>
      <c r="V18" s="1">
        <v>4077880000000</v>
      </c>
      <c r="W18" s="1">
        <v>3993770000000</v>
      </c>
      <c r="X18" s="1">
        <v>4097370000000</v>
      </c>
      <c r="Y18" s="1">
        <v>3717340000000</v>
      </c>
      <c r="AA18" s="8">
        <v>0.01598</v>
      </c>
      <c r="AB18" s="1">
        <v>0.0165333</v>
      </c>
      <c r="AC18" s="1">
        <v>21058600000000</v>
      </c>
      <c r="AD18" s="1">
        <v>858627000</v>
      </c>
      <c r="AE18" s="1">
        <v>0</v>
      </c>
      <c r="AF18" s="1">
        <v>0</v>
      </c>
      <c r="AG18" s="1">
        <v>2</v>
      </c>
      <c r="AH18" s="1">
        <v>5086110000000</v>
      </c>
      <c r="AI18" s="1">
        <v>4335060000000</v>
      </c>
      <c r="AJ18" s="1">
        <v>4168530000000</v>
      </c>
      <c r="AK18" s="1">
        <v>4248530000000</v>
      </c>
      <c r="AL18" s="1">
        <v>3220330000000</v>
      </c>
      <c r="AN18" s="1">
        <f t="shared" si="3"/>
        <v>0.0159961</v>
      </c>
      <c r="AO18" s="1">
        <f t="shared" si="4"/>
        <v>20930350000000</v>
      </c>
      <c r="AP18" s="1"/>
      <c r="AQ18" s="1"/>
      <c r="AR18" s="1">
        <f t="shared" si="0"/>
        <v>3319750000000</v>
      </c>
      <c r="AS18" s="1">
        <f t="shared" si="1"/>
        <v>2922160000000</v>
      </c>
      <c r="AT18" s="1">
        <f t="shared" si="2"/>
        <v>3717340000000</v>
      </c>
    </row>
    <row r="19" spans="1:46">
      <c r="A19" s="8">
        <v>0.0170052</v>
      </c>
      <c r="B19" s="1">
        <v>0.0175478</v>
      </c>
      <c r="C19" s="1">
        <v>21042300000000</v>
      </c>
      <c r="D19" s="1">
        <v>233058000</v>
      </c>
      <c r="E19" s="1">
        <v>0</v>
      </c>
      <c r="F19" s="1">
        <v>0</v>
      </c>
      <c r="G19" s="1">
        <v>2</v>
      </c>
      <c r="H19" s="1">
        <v>5118880000000</v>
      </c>
      <c r="I19" s="1">
        <v>4238290000000</v>
      </c>
      <c r="J19" s="1">
        <v>4434970000000</v>
      </c>
      <c r="K19" s="1">
        <v>4093190000000</v>
      </c>
      <c r="L19" s="1">
        <v>3156990000000</v>
      </c>
      <c r="N19" s="8">
        <v>0.0169964</v>
      </c>
      <c r="O19" s="1">
        <v>0.0175323</v>
      </c>
      <c r="P19" s="1">
        <v>20786600000000</v>
      </c>
      <c r="Q19" s="1">
        <v>174878000</v>
      </c>
      <c r="R19" s="1">
        <v>0</v>
      </c>
      <c r="S19" s="1">
        <v>0</v>
      </c>
      <c r="T19" s="1">
        <v>2</v>
      </c>
      <c r="U19" s="1">
        <v>5005200000000</v>
      </c>
      <c r="V19" s="1">
        <v>4142370000000</v>
      </c>
      <c r="W19" s="1">
        <v>4209110000000</v>
      </c>
      <c r="X19" s="1">
        <v>4314520000000</v>
      </c>
      <c r="Y19" s="1">
        <v>3114710000000</v>
      </c>
      <c r="AA19" s="8">
        <v>0.0169869</v>
      </c>
      <c r="AB19" s="1">
        <v>0.0175548</v>
      </c>
      <c r="AC19" s="1">
        <v>20605900000000</v>
      </c>
      <c r="AD19" s="1">
        <v>255043000</v>
      </c>
      <c r="AE19" s="1">
        <v>0</v>
      </c>
      <c r="AF19" s="1">
        <v>0</v>
      </c>
      <c r="AG19" s="1">
        <v>2</v>
      </c>
      <c r="AH19" s="1">
        <v>5030550000000</v>
      </c>
      <c r="AI19" s="1">
        <v>4089520000000</v>
      </c>
      <c r="AJ19" s="1">
        <v>3996710000000</v>
      </c>
      <c r="AK19" s="1">
        <v>3965610000000</v>
      </c>
      <c r="AL19" s="1">
        <v>3523450000000</v>
      </c>
      <c r="AN19" s="1">
        <f t="shared" si="3"/>
        <v>0.0170052</v>
      </c>
      <c r="AO19" s="1">
        <f t="shared" si="4"/>
        <v>20914450000000</v>
      </c>
      <c r="AP19" s="1"/>
      <c r="AQ19" s="1"/>
      <c r="AR19" s="1">
        <f t="shared" si="0"/>
        <v>3135850000000</v>
      </c>
      <c r="AS19" s="1">
        <f t="shared" si="1"/>
        <v>3114710000000</v>
      </c>
      <c r="AT19" s="1">
        <f t="shared" si="2"/>
        <v>3156990000000</v>
      </c>
    </row>
    <row r="20" spans="1:46">
      <c r="A20" s="8">
        <v>0.017996</v>
      </c>
      <c r="B20" s="1">
        <v>0.018537</v>
      </c>
      <c r="C20" s="1">
        <v>20894400000000</v>
      </c>
      <c r="D20" s="1">
        <v>246107000</v>
      </c>
      <c r="E20" s="1">
        <v>0</v>
      </c>
      <c r="F20" s="1">
        <v>0</v>
      </c>
      <c r="G20" s="1">
        <v>2</v>
      </c>
      <c r="H20" s="1">
        <v>5168910000000</v>
      </c>
      <c r="I20" s="1">
        <v>4272780000000</v>
      </c>
      <c r="J20" s="1">
        <v>4385190000000</v>
      </c>
      <c r="K20" s="1">
        <v>4299660000000</v>
      </c>
      <c r="L20" s="1">
        <v>2767860000000</v>
      </c>
      <c r="N20" s="8">
        <v>0.0179941</v>
      </c>
      <c r="O20" s="1">
        <v>0.0185657</v>
      </c>
      <c r="P20" s="1">
        <v>20566200000000</v>
      </c>
      <c r="Q20" s="1">
        <v>140884000</v>
      </c>
      <c r="R20" s="1">
        <v>0</v>
      </c>
      <c r="S20" s="1">
        <v>0</v>
      </c>
      <c r="T20" s="1">
        <v>2</v>
      </c>
      <c r="U20" s="1">
        <v>4620570000000</v>
      </c>
      <c r="V20" s="1">
        <v>4094350000000</v>
      </c>
      <c r="W20" s="1">
        <v>4184510000000</v>
      </c>
      <c r="X20" s="1">
        <v>3945360000000</v>
      </c>
      <c r="Y20" s="1">
        <v>3721320000000</v>
      </c>
      <c r="AA20" s="8">
        <v>0.018011</v>
      </c>
      <c r="AB20" s="1">
        <v>0.0185632</v>
      </c>
      <c r="AC20" s="1">
        <v>21274600000000</v>
      </c>
      <c r="AD20" s="1">
        <v>194265000</v>
      </c>
      <c r="AE20" s="1">
        <v>0</v>
      </c>
      <c r="AF20" s="1">
        <v>0</v>
      </c>
      <c r="AG20" s="1">
        <v>2</v>
      </c>
      <c r="AH20" s="1">
        <v>5153350000000</v>
      </c>
      <c r="AI20" s="1">
        <v>4274370000000</v>
      </c>
      <c r="AJ20" s="1">
        <v>4196490000000</v>
      </c>
      <c r="AK20" s="1">
        <v>4385630000000</v>
      </c>
      <c r="AL20" s="1">
        <v>3264750000000</v>
      </c>
      <c r="AN20" s="1">
        <f t="shared" si="3"/>
        <v>0.017996</v>
      </c>
      <c r="AO20" s="1">
        <f t="shared" si="4"/>
        <v>20730300000000</v>
      </c>
      <c r="AP20" s="1"/>
      <c r="AQ20" s="1"/>
      <c r="AR20" s="1">
        <f t="shared" si="0"/>
        <v>3244590000000</v>
      </c>
      <c r="AS20" s="1">
        <f t="shared" si="1"/>
        <v>2767860000000</v>
      </c>
      <c r="AT20" s="1">
        <f t="shared" si="2"/>
        <v>3721320000000</v>
      </c>
    </row>
    <row r="21" spans="1:46">
      <c r="A21" s="8">
        <v>0.0190013</v>
      </c>
      <c r="B21" s="1">
        <v>0.0195502</v>
      </c>
      <c r="C21" s="1">
        <v>21186900000000</v>
      </c>
      <c r="D21" s="1">
        <v>172937000</v>
      </c>
      <c r="E21" s="1">
        <v>0</v>
      </c>
      <c r="F21" s="1">
        <v>0</v>
      </c>
      <c r="G21" s="1">
        <v>2</v>
      </c>
      <c r="H21" s="1">
        <v>5193210000000</v>
      </c>
      <c r="I21" s="1">
        <v>4211620000000</v>
      </c>
      <c r="J21" s="1">
        <v>4184780000000</v>
      </c>
      <c r="K21" s="1">
        <v>4630570000000</v>
      </c>
      <c r="L21" s="1">
        <v>2965490000000</v>
      </c>
      <c r="N21" s="8">
        <v>0.0190325</v>
      </c>
      <c r="O21" s="1">
        <v>0.0195852</v>
      </c>
      <c r="P21" s="1">
        <v>20944900000000</v>
      </c>
      <c r="Q21" s="1">
        <v>205489000</v>
      </c>
      <c r="R21" s="1">
        <v>0</v>
      </c>
      <c r="S21" s="1">
        <v>0</v>
      </c>
      <c r="T21" s="1">
        <v>2</v>
      </c>
      <c r="U21" s="1">
        <v>4850580000000</v>
      </c>
      <c r="V21" s="1">
        <v>4199000000000</v>
      </c>
      <c r="W21" s="1">
        <v>3897310000000</v>
      </c>
      <c r="X21" s="1">
        <v>4017690000000</v>
      </c>
      <c r="Y21" s="1">
        <v>3980220000000</v>
      </c>
      <c r="AA21" s="8">
        <v>0.0189669</v>
      </c>
      <c r="AB21" s="1">
        <v>0.0195226</v>
      </c>
      <c r="AC21" s="1">
        <v>21294100000000</v>
      </c>
      <c r="AD21" s="1">
        <v>209919000</v>
      </c>
      <c r="AE21" s="1">
        <v>0</v>
      </c>
      <c r="AF21" s="1">
        <v>0</v>
      </c>
      <c r="AG21" s="1">
        <v>2</v>
      </c>
      <c r="AH21" s="1">
        <v>4999450000000</v>
      </c>
      <c r="AI21" s="1">
        <v>4106960000000</v>
      </c>
      <c r="AJ21" s="1">
        <v>4213480000000</v>
      </c>
      <c r="AK21" s="1">
        <v>4445810000000</v>
      </c>
      <c r="AL21" s="1">
        <v>3527490000000</v>
      </c>
      <c r="AN21" s="1">
        <f t="shared" si="3"/>
        <v>0.0190013</v>
      </c>
      <c r="AO21" s="1">
        <f t="shared" si="4"/>
        <v>21065900000000</v>
      </c>
      <c r="AP21" s="1"/>
      <c r="AQ21" s="1"/>
      <c r="AR21" s="1">
        <f t="shared" si="0"/>
        <v>3472855000000</v>
      </c>
      <c r="AS21" s="1">
        <f t="shared" si="1"/>
        <v>2965490000000</v>
      </c>
      <c r="AT21" s="1">
        <f t="shared" si="2"/>
        <v>3980220000000</v>
      </c>
    </row>
    <row r="22" spans="1:46">
      <c r="A22" s="8">
        <v>0.0199929</v>
      </c>
      <c r="B22" s="1">
        <v>0.020552</v>
      </c>
      <c r="C22" s="1">
        <v>21264700000000</v>
      </c>
      <c r="D22" s="1">
        <v>292814000</v>
      </c>
      <c r="E22" s="1">
        <v>0</v>
      </c>
      <c r="F22" s="1">
        <v>0</v>
      </c>
      <c r="G22" s="1">
        <v>2</v>
      </c>
      <c r="H22" s="1">
        <v>4945850000000</v>
      </c>
      <c r="I22" s="1">
        <v>4139620000000</v>
      </c>
      <c r="J22" s="1">
        <v>3846710000000</v>
      </c>
      <c r="K22" s="1">
        <v>3996460000000</v>
      </c>
      <c r="L22" s="1">
        <v>4335880000000</v>
      </c>
      <c r="N22" s="8">
        <v>0.0200048</v>
      </c>
      <c r="O22" s="1">
        <v>0.020561</v>
      </c>
      <c r="P22" s="1">
        <v>20904600000000</v>
      </c>
      <c r="Q22" s="1">
        <v>160428000</v>
      </c>
      <c r="R22" s="1">
        <v>0</v>
      </c>
      <c r="S22" s="1">
        <v>0</v>
      </c>
      <c r="T22" s="1">
        <v>2</v>
      </c>
      <c r="U22" s="1">
        <v>5116250000000</v>
      </c>
      <c r="V22" s="1">
        <v>4142960000000</v>
      </c>
      <c r="W22" s="1">
        <v>4161680000000</v>
      </c>
      <c r="X22" s="1">
        <v>4150490000000</v>
      </c>
      <c r="Y22" s="1">
        <v>3333180000000</v>
      </c>
      <c r="AA22" s="8">
        <v>0.0199933</v>
      </c>
      <c r="AB22" s="1">
        <v>0.0205709</v>
      </c>
      <c r="AC22" s="1">
        <v>20814500000000</v>
      </c>
      <c r="AD22" s="1">
        <v>901624000</v>
      </c>
      <c r="AE22" s="1">
        <v>0</v>
      </c>
      <c r="AF22" s="1">
        <v>0</v>
      </c>
      <c r="AG22" s="1">
        <v>2</v>
      </c>
      <c r="AH22" s="1">
        <v>4741140000000</v>
      </c>
      <c r="AI22" s="1">
        <v>3937360000000</v>
      </c>
      <c r="AJ22" s="1">
        <v>4063380000000</v>
      </c>
      <c r="AK22" s="1">
        <v>4202590000000</v>
      </c>
      <c r="AL22" s="1">
        <v>3869970000000</v>
      </c>
      <c r="AN22" s="1">
        <f t="shared" si="3"/>
        <v>0.0199929</v>
      </c>
      <c r="AO22" s="1">
        <f t="shared" si="4"/>
        <v>21084650000000</v>
      </c>
      <c r="AP22" s="1"/>
      <c r="AQ22" s="1"/>
      <c r="AR22" s="1">
        <f t="shared" si="0"/>
        <v>3834530000000</v>
      </c>
      <c r="AS22" s="1">
        <f t="shared" si="1"/>
        <v>3333180000000</v>
      </c>
      <c r="AT22" s="1">
        <f t="shared" si="2"/>
        <v>4335880000000</v>
      </c>
    </row>
    <row r="23" spans="1:46">
      <c r="A23" s="8">
        <v>0.0209817</v>
      </c>
      <c r="B23" s="1">
        <v>0.0215288</v>
      </c>
      <c r="C23" s="1">
        <v>20916000000000</v>
      </c>
      <c r="D23" s="1">
        <v>343756000</v>
      </c>
      <c r="E23" s="1">
        <v>0</v>
      </c>
      <c r="F23" s="1">
        <v>0</v>
      </c>
      <c r="G23" s="1">
        <v>2</v>
      </c>
      <c r="H23" s="1">
        <v>4902140000000</v>
      </c>
      <c r="I23" s="1">
        <v>4031320000000</v>
      </c>
      <c r="J23" s="1">
        <v>4195390000000</v>
      </c>
      <c r="K23" s="1">
        <v>3856780000000</v>
      </c>
      <c r="L23" s="1">
        <v>3930400000000</v>
      </c>
      <c r="N23" s="8">
        <v>0.0209986</v>
      </c>
      <c r="O23" s="1">
        <v>0.0215556</v>
      </c>
      <c r="P23" s="1">
        <v>21429100000000</v>
      </c>
      <c r="Q23" s="1">
        <v>235152000</v>
      </c>
      <c r="R23" s="1">
        <v>0</v>
      </c>
      <c r="S23" s="1">
        <v>0</v>
      </c>
      <c r="T23" s="1">
        <v>2</v>
      </c>
      <c r="U23" s="1">
        <v>4883380000000</v>
      </c>
      <c r="V23" s="1">
        <v>4136910000000</v>
      </c>
      <c r="W23" s="1">
        <v>4153210000000</v>
      </c>
      <c r="X23" s="1">
        <v>4409290000000</v>
      </c>
      <c r="Y23" s="1">
        <v>3846100000000</v>
      </c>
      <c r="AA23" s="8">
        <v>0.0210069</v>
      </c>
      <c r="AB23" s="1">
        <v>0.0215503</v>
      </c>
      <c r="AC23" s="1">
        <v>21109500000000</v>
      </c>
      <c r="AD23" s="1">
        <v>433273000</v>
      </c>
      <c r="AE23" s="1">
        <v>0</v>
      </c>
      <c r="AF23" s="1">
        <v>0</v>
      </c>
      <c r="AG23" s="1">
        <v>2</v>
      </c>
      <c r="AH23" s="1">
        <v>5049360000000</v>
      </c>
      <c r="AI23" s="1">
        <v>4284960000000</v>
      </c>
      <c r="AJ23" s="1">
        <v>4166630000000</v>
      </c>
      <c r="AK23" s="1">
        <v>4275030000000</v>
      </c>
      <c r="AL23" s="1">
        <v>3333350000000</v>
      </c>
      <c r="AN23" s="1">
        <f t="shared" si="3"/>
        <v>0.0209817</v>
      </c>
      <c r="AO23" s="1">
        <f t="shared" si="4"/>
        <v>21172550000000</v>
      </c>
      <c r="AP23" s="1"/>
      <c r="AQ23" s="1"/>
      <c r="AR23" s="1">
        <f t="shared" si="0"/>
        <v>3888250000000</v>
      </c>
      <c r="AS23" s="1">
        <f t="shared" si="1"/>
        <v>3846100000000</v>
      </c>
      <c r="AT23" s="1">
        <f t="shared" si="2"/>
        <v>3930400000000</v>
      </c>
    </row>
    <row r="24" spans="1:46">
      <c r="A24" s="8">
        <v>0.0219766</v>
      </c>
      <c r="B24" s="1">
        <v>0.0225199</v>
      </c>
      <c r="C24" s="1">
        <v>21049100000000</v>
      </c>
      <c r="D24" s="1">
        <v>228152000</v>
      </c>
      <c r="E24" s="1">
        <v>0</v>
      </c>
      <c r="F24" s="1">
        <v>0</v>
      </c>
      <c r="G24" s="1">
        <v>2</v>
      </c>
      <c r="H24" s="1">
        <v>4886180000000</v>
      </c>
      <c r="I24" s="1">
        <v>4099200000000</v>
      </c>
      <c r="J24" s="1">
        <v>4156210000000</v>
      </c>
      <c r="K24" s="1">
        <v>4054920000000</v>
      </c>
      <c r="L24" s="1">
        <v>3852510000000</v>
      </c>
      <c r="N24" s="8">
        <v>0.0219885</v>
      </c>
      <c r="O24" s="1">
        <v>0.022552</v>
      </c>
      <c r="P24" s="1">
        <v>21613000000000</v>
      </c>
      <c r="Q24" s="1">
        <v>212423000</v>
      </c>
      <c r="R24" s="1">
        <v>0</v>
      </c>
      <c r="S24" s="1">
        <v>0</v>
      </c>
      <c r="T24" s="1">
        <v>2</v>
      </c>
      <c r="U24" s="1">
        <v>5307150000000</v>
      </c>
      <c r="V24" s="1">
        <v>4523350000000</v>
      </c>
      <c r="W24" s="1">
        <v>4157280000000</v>
      </c>
      <c r="X24" s="1">
        <v>3973220000000</v>
      </c>
      <c r="Y24" s="1">
        <v>3652020000000</v>
      </c>
      <c r="AA24" s="8">
        <v>0.0219928</v>
      </c>
      <c r="AB24" s="1">
        <v>0.022539</v>
      </c>
      <c r="AC24" s="1">
        <v>20637400000000</v>
      </c>
      <c r="AD24" s="1">
        <v>316227000</v>
      </c>
      <c r="AE24" s="1">
        <v>0</v>
      </c>
      <c r="AF24" s="1">
        <v>0</v>
      </c>
      <c r="AG24" s="1">
        <v>2</v>
      </c>
      <c r="AH24" s="1">
        <v>4877530000000</v>
      </c>
      <c r="AI24" s="1">
        <v>4017710000000</v>
      </c>
      <c r="AJ24" s="1">
        <v>4237420000000</v>
      </c>
      <c r="AK24" s="1">
        <v>4212070000000</v>
      </c>
      <c r="AL24" s="1">
        <v>3292650000000</v>
      </c>
      <c r="AN24" s="1">
        <f t="shared" si="3"/>
        <v>0.0219766</v>
      </c>
      <c r="AO24" s="1">
        <f t="shared" si="4"/>
        <v>21331050000000</v>
      </c>
      <c r="AP24" s="1"/>
      <c r="AQ24" s="1"/>
      <c r="AR24" s="1">
        <f t="shared" si="0"/>
        <v>3752265000000</v>
      </c>
      <c r="AS24" s="1">
        <f t="shared" si="1"/>
        <v>3652020000000</v>
      </c>
      <c r="AT24" s="1">
        <f t="shared" si="2"/>
        <v>3852510000000</v>
      </c>
    </row>
    <row r="25" spans="1:46">
      <c r="A25" s="8">
        <v>0.0229518</v>
      </c>
      <c r="B25" s="1">
        <v>0.0235016</v>
      </c>
      <c r="C25" s="1">
        <v>20887200000000</v>
      </c>
      <c r="D25" s="1">
        <v>166251000</v>
      </c>
      <c r="E25" s="1">
        <v>0</v>
      </c>
      <c r="F25" s="1">
        <v>0</v>
      </c>
      <c r="G25" s="1">
        <v>2</v>
      </c>
      <c r="H25" s="1">
        <v>4977470000000</v>
      </c>
      <c r="I25" s="1">
        <v>4011750000000</v>
      </c>
      <c r="J25" s="1">
        <v>4234820000000</v>
      </c>
      <c r="K25" s="1">
        <v>4102190000000</v>
      </c>
      <c r="L25" s="1">
        <v>3560970000000</v>
      </c>
      <c r="N25" s="8">
        <v>0.0230112</v>
      </c>
      <c r="O25" s="1">
        <v>0.0235913</v>
      </c>
      <c r="P25" s="1">
        <v>21547600000000</v>
      </c>
      <c r="Q25" s="1">
        <v>257023000</v>
      </c>
      <c r="R25" s="1">
        <v>0</v>
      </c>
      <c r="S25" s="1">
        <v>0</v>
      </c>
      <c r="T25" s="1">
        <v>2</v>
      </c>
      <c r="U25" s="1">
        <v>5251430000000</v>
      </c>
      <c r="V25" s="1">
        <v>4117510000000</v>
      </c>
      <c r="W25" s="1">
        <v>4040810000000</v>
      </c>
      <c r="X25" s="1">
        <v>4138120000000</v>
      </c>
      <c r="Y25" s="1">
        <v>3999630000000</v>
      </c>
      <c r="AA25" s="8">
        <v>0.0230111</v>
      </c>
      <c r="AB25" s="1">
        <v>0.0235479</v>
      </c>
      <c r="AC25" s="1">
        <v>20649700000000</v>
      </c>
      <c r="AD25" s="1">
        <v>146143000</v>
      </c>
      <c r="AE25" s="1">
        <v>0</v>
      </c>
      <c r="AF25" s="1">
        <v>0</v>
      </c>
      <c r="AG25" s="1">
        <v>2</v>
      </c>
      <c r="AH25" s="1">
        <v>5036630000000</v>
      </c>
      <c r="AI25" s="1">
        <v>4101900000000</v>
      </c>
      <c r="AJ25" s="1">
        <v>4142870000000</v>
      </c>
      <c r="AK25" s="1">
        <v>4104530000000</v>
      </c>
      <c r="AL25" s="1">
        <v>3263100000000</v>
      </c>
      <c r="AN25" s="1">
        <f t="shared" si="3"/>
        <v>0.0229518</v>
      </c>
      <c r="AO25" s="1">
        <f t="shared" si="4"/>
        <v>21217400000000</v>
      </c>
      <c r="AP25" s="1"/>
      <c r="AQ25" s="1"/>
      <c r="AR25" s="1">
        <f t="shared" si="0"/>
        <v>3780300000000</v>
      </c>
      <c r="AS25" s="1">
        <f t="shared" si="1"/>
        <v>3560970000000</v>
      </c>
      <c r="AT25" s="1">
        <f t="shared" si="2"/>
        <v>3999630000000</v>
      </c>
    </row>
    <row r="26" spans="1:46">
      <c r="A26" s="8">
        <v>0.0239783</v>
      </c>
      <c r="B26" s="1">
        <v>0.0245226</v>
      </c>
      <c r="C26" s="1">
        <v>20579900000000</v>
      </c>
      <c r="D26" s="1">
        <v>240438000</v>
      </c>
      <c r="E26" s="1">
        <v>0</v>
      </c>
      <c r="F26" s="1">
        <v>0</v>
      </c>
      <c r="G26" s="1">
        <v>2</v>
      </c>
      <c r="H26" s="1">
        <v>4987530000000</v>
      </c>
      <c r="I26" s="1">
        <v>3999330000000</v>
      </c>
      <c r="J26" s="1">
        <v>3983360000000</v>
      </c>
      <c r="K26" s="1">
        <v>4039990000000</v>
      </c>
      <c r="L26" s="1">
        <v>3569630000000</v>
      </c>
      <c r="N26" s="8">
        <v>0.0240191</v>
      </c>
      <c r="O26" s="1">
        <v>0.0245642</v>
      </c>
      <c r="P26" s="1">
        <v>21229900000000</v>
      </c>
      <c r="Q26" s="1">
        <v>134521000</v>
      </c>
      <c r="R26" s="1">
        <v>0</v>
      </c>
      <c r="S26" s="1">
        <v>0</v>
      </c>
      <c r="T26" s="1">
        <v>2</v>
      </c>
      <c r="U26" s="1">
        <v>4980750000000</v>
      </c>
      <c r="V26" s="1">
        <v>4414490000000</v>
      </c>
      <c r="W26" s="1">
        <v>4210170000000</v>
      </c>
      <c r="X26" s="1">
        <v>4498290000000</v>
      </c>
      <c r="Y26" s="1">
        <v>3125950000000</v>
      </c>
      <c r="AA26" s="8">
        <v>0.0240138</v>
      </c>
      <c r="AB26" s="1">
        <v>0.0245792</v>
      </c>
      <c r="AC26" s="1">
        <v>20676700000000</v>
      </c>
      <c r="AD26" s="1">
        <v>139149000</v>
      </c>
      <c r="AE26" s="1">
        <v>0</v>
      </c>
      <c r="AF26" s="1">
        <v>0</v>
      </c>
      <c r="AG26" s="1">
        <v>2</v>
      </c>
      <c r="AH26" s="1">
        <v>5020090000000</v>
      </c>
      <c r="AI26" s="1">
        <v>4221640000000</v>
      </c>
      <c r="AJ26" s="1">
        <v>4143700000000</v>
      </c>
      <c r="AK26" s="1">
        <v>4040940000000</v>
      </c>
      <c r="AL26" s="1">
        <v>3250340000000</v>
      </c>
      <c r="AN26" s="1">
        <f t="shared" si="3"/>
        <v>0.0239783</v>
      </c>
      <c r="AO26" s="1">
        <f t="shared" si="4"/>
        <v>20904900000000</v>
      </c>
      <c r="AP26" s="1"/>
      <c r="AQ26" s="1"/>
      <c r="AR26" s="1">
        <f t="shared" si="0"/>
        <v>3347790000000</v>
      </c>
      <c r="AS26" s="1">
        <f t="shared" si="1"/>
        <v>3125950000000</v>
      </c>
      <c r="AT26" s="1">
        <f t="shared" si="2"/>
        <v>3569630000000</v>
      </c>
    </row>
    <row r="27" spans="1:46">
      <c r="A27" s="8">
        <v>0.0249719</v>
      </c>
      <c r="B27" s="1">
        <v>0.0255473</v>
      </c>
      <c r="C27" s="1">
        <v>20596000000000</v>
      </c>
      <c r="D27" s="1">
        <v>322831000</v>
      </c>
      <c r="E27" s="1">
        <v>0</v>
      </c>
      <c r="F27" s="1">
        <v>0</v>
      </c>
      <c r="G27" s="1">
        <v>2</v>
      </c>
      <c r="H27" s="1">
        <v>4832890000000</v>
      </c>
      <c r="I27" s="1">
        <v>4100880000000</v>
      </c>
      <c r="J27" s="1">
        <v>4078300000000</v>
      </c>
      <c r="K27" s="1">
        <v>4062590000000</v>
      </c>
      <c r="L27" s="1">
        <v>3521230000000</v>
      </c>
      <c r="N27" s="8">
        <v>0.0250382</v>
      </c>
      <c r="O27" s="1">
        <v>0.0255916</v>
      </c>
      <c r="P27" s="1">
        <v>21043700000000</v>
      </c>
      <c r="Q27" s="1">
        <v>264758000</v>
      </c>
      <c r="R27" s="1">
        <v>0</v>
      </c>
      <c r="S27" s="1">
        <v>0</v>
      </c>
      <c r="T27" s="1">
        <v>2</v>
      </c>
      <c r="U27" s="1">
        <v>4951530000000</v>
      </c>
      <c r="V27" s="1">
        <v>4167840000000</v>
      </c>
      <c r="W27" s="1">
        <v>4105940000000</v>
      </c>
      <c r="X27" s="1">
        <v>4431600000000</v>
      </c>
      <c r="Y27" s="1">
        <v>3386740000000</v>
      </c>
      <c r="AA27" s="8">
        <v>0.0249974</v>
      </c>
      <c r="AB27" s="1">
        <v>0.0255744</v>
      </c>
      <c r="AC27" s="1">
        <v>20954100000000</v>
      </c>
      <c r="AD27" s="1">
        <v>290764000</v>
      </c>
      <c r="AE27" s="1">
        <v>0</v>
      </c>
      <c r="AF27" s="1">
        <v>0</v>
      </c>
      <c r="AG27" s="1">
        <v>2</v>
      </c>
      <c r="AH27" s="1">
        <v>4807530000000</v>
      </c>
      <c r="AI27" s="1">
        <v>4041040000000</v>
      </c>
      <c r="AJ27" s="1">
        <v>4032920000000</v>
      </c>
      <c r="AK27" s="1">
        <v>4134280000000</v>
      </c>
      <c r="AL27" s="1">
        <v>3937430000000</v>
      </c>
      <c r="AN27" s="1">
        <f t="shared" si="3"/>
        <v>0.0249719</v>
      </c>
      <c r="AO27" s="1">
        <f t="shared" si="4"/>
        <v>20819850000000</v>
      </c>
      <c r="AP27" s="1"/>
      <c r="AQ27" s="1"/>
      <c r="AR27" s="1">
        <f t="shared" si="0"/>
        <v>3453985000000</v>
      </c>
      <c r="AS27" s="1">
        <f t="shared" si="1"/>
        <v>3386740000000</v>
      </c>
      <c r="AT27" s="1">
        <f t="shared" si="2"/>
        <v>3521230000000</v>
      </c>
    </row>
    <row r="28" spans="1:46">
      <c r="A28" s="8">
        <v>0.025997</v>
      </c>
      <c r="B28" s="1">
        <v>0.0265693</v>
      </c>
      <c r="C28" s="1">
        <v>20685100000000</v>
      </c>
      <c r="D28" s="1">
        <v>163401000</v>
      </c>
      <c r="E28" s="1">
        <v>0</v>
      </c>
      <c r="F28" s="1">
        <v>0</v>
      </c>
      <c r="G28" s="1">
        <v>2</v>
      </c>
      <c r="H28" s="1">
        <v>4838380000000</v>
      </c>
      <c r="I28" s="1">
        <v>4065430000000</v>
      </c>
      <c r="J28" s="1">
        <v>4030730000000</v>
      </c>
      <c r="K28" s="1">
        <v>3926780000000</v>
      </c>
      <c r="L28" s="1">
        <v>3823680000000</v>
      </c>
      <c r="N28" s="8">
        <v>0.0260022</v>
      </c>
      <c r="O28" s="1">
        <v>0.0265384</v>
      </c>
      <c r="P28" s="1">
        <v>21386900000000</v>
      </c>
      <c r="Q28" s="1">
        <v>258916000</v>
      </c>
      <c r="R28" s="1">
        <v>0</v>
      </c>
      <c r="S28" s="1">
        <v>0</v>
      </c>
      <c r="T28" s="1">
        <v>2</v>
      </c>
      <c r="U28" s="1">
        <v>4626410000000</v>
      </c>
      <c r="V28" s="1">
        <v>4043440000000</v>
      </c>
      <c r="W28" s="1">
        <v>4206750000000</v>
      </c>
      <c r="X28" s="1">
        <v>4641510000000</v>
      </c>
      <c r="Y28" s="1">
        <v>3868660000000</v>
      </c>
      <c r="AA28" s="8">
        <v>0.02602</v>
      </c>
      <c r="AB28" s="1">
        <v>0.0265657</v>
      </c>
      <c r="AC28" s="1">
        <v>21148300000000</v>
      </c>
      <c r="AD28" s="1">
        <v>302654000</v>
      </c>
      <c r="AE28" s="1">
        <v>0</v>
      </c>
      <c r="AF28" s="1">
        <v>0</v>
      </c>
      <c r="AG28" s="1">
        <v>2</v>
      </c>
      <c r="AH28" s="1">
        <v>4831340000000</v>
      </c>
      <c r="AI28" s="1">
        <v>4226270000000</v>
      </c>
      <c r="AJ28" s="1">
        <v>3949980000000</v>
      </c>
      <c r="AK28" s="1">
        <v>4215490000000</v>
      </c>
      <c r="AL28" s="1">
        <v>3924810000000</v>
      </c>
      <c r="AN28" s="1">
        <f t="shared" ref="AN28:AN36" si="5">A28</f>
        <v>0.025997</v>
      </c>
      <c r="AO28" s="1">
        <f t="shared" ref="AO28:AO36" si="6">(C28+P28)/2</f>
        <v>21036000000000</v>
      </c>
      <c r="AP28" s="1"/>
      <c r="AQ28" s="1"/>
      <c r="AR28" s="1">
        <f t="shared" ref="AR28:AR36" si="7">(Y28+L28)/2</f>
        <v>3846170000000</v>
      </c>
      <c r="AS28" s="1">
        <f t="shared" ref="AS28:AS36" si="8">MIN(Y28,L28)</f>
        <v>3823680000000</v>
      </c>
      <c r="AT28" s="1">
        <f t="shared" ref="AT28:AT36" si="9">MAX(Y28,L28)</f>
        <v>3868660000000</v>
      </c>
    </row>
    <row r="29" spans="1:46">
      <c r="A29" s="8">
        <v>0.0270091</v>
      </c>
      <c r="B29" s="1">
        <v>0.0275625</v>
      </c>
      <c r="C29" s="1">
        <v>20580700000000</v>
      </c>
      <c r="D29" s="1">
        <v>176311000</v>
      </c>
      <c r="E29" s="1">
        <v>0</v>
      </c>
      <c r="F29" s="1">
        <v>0</v>
      </c>
      <c r="G29" s="1">
        <v>2</v>
      </c>
      <c r="H29" s="1">
        <v>4691970000000</v>
      </c>
      <c r="I29" s="1">
        <v>3850330000000</v>
      </c>
      <c r="J29" s="1">
        <v>3943720000000</v>
      </c>
      <c r="K29" s="1">
        <v>4062350000000</v>
      </c>
      <c r="L29" s="1">
        <v>4032170000000</v>
      </c>
      <c r="N29" s="8">
        <v>0.0269803</v>
      </c>
      <c r="O29" s="1">
        <v>0.0275141</v>
      </c>
      <c r="P29" s="1">
        <v>20924400000000</v>
      </c>
      <c r="Q29" s="1">
        <v>182589000</v>
      </c>
      <c r="R29" s="1">
        <v>0</v>
      </c>
      <c r="S29" s="1">
        <v>0</v>
      </c>
      <c r="T29" s="1">
        <v>2</v>
      </c>
      <c r="U29" s="1">
        <v>4609190000000</v>
      </c>
      <c r="V29" s="1">
        <v>4151690000000</v>
      </c>
      <c r="W29" s="1">
        <v>3818340000000</v>
      </c>
      <c r="X29" s="1">
        <v>4127270000000</v>
      </c>
      <c r="Y29" s="1">
        <v>4217840000000</v>
      </c>
      <c r="AA29" s="8">
        <v>0.0269604</v>
      </c>
      <c r="AB29" s="1">
        <v>0.0275211</v>
      </c>
      <c r="AC29" s="1">
        <v>20796100000000</v>
      </c>
      <c r="AD29" s="1">
        <v>247577000</v>
      </c>
      <c r="AE29" s="1">
        <v>0</v>
      </c>
      <c r="AF29" s="1">
        <v>0</v>
      </c>
      <c r="AG29" s="1">
        <v>2</v>
      </c>
      <c r="AH29" s="1">
        <v>5243060000000</v>
      </c>
      <c r="AI29" s="1">
        <v>4051340000000</v>
      </c>
      <c r="AJ29" s="1">
        <v>4072230000000</v>
      </c>
      <c r="AK29" s="1">
        <v>4054530000000</v>
      </c>
      <c r="AL29" s="1">
        <v>3374810000000</v>
      </c>
      <c r="AN29" s="1">
        <f t="shared" si="5"/>
        <v>0.0270091</v>
      </c>
      <c r="AO29" s="1">
        <f t="shared" si="6"/>
        <v>20752550000000</v>
      </c>
      <c r="AP29" s="1"/>
      <c r="AQ29" s="1"/>
      <c r="AR29" s="1">
        <f t="shared" si="7"/>
        <v>4125005000000</v>
      </c>
      <c r="AS29" s="1">
        <f t="shared" si="8"/>
        <v>4032170000000</v>
      </c>
      <c r="AT29" s="1">
        <f t="shared" si="9"/>
        <v>4217840000000</v>
      </c>
    </row>
    <row r="30" spans="1:46">
      <c r="A30" s="8">
        <v>0.0279767</v>
      </c>
      <c r="B30" s="1">
        <v>0.0285368</v>
      </c>
      <c r="C30" s="1">
        <v>20666400000000</v>
      </c>
      <c r="D30" s="1">
        <v>329841000</v>
      </c>
      <c r="E30" s="1">
        <v>0</v>
      </c>
      <c r="F30" s="1">
        <v>0</v>
      </c>
      <c r="G30" s="1">
        <v>2</v>
      </c>
      <c r="H30" s="1">
        <v>4718340000000</v>
      </c>
      <c r="I30" s="1">
        <v>4097530000000</v>
      </c>
      <c r="J30" s="1">
        <v>3949160000000</v>
      </c>
      <c r="K30" s="1">
        <v>4088500000000</v>
      </c>
      <c r="L30" s="1">
        <v>3812760000000</v>
      </c>
      <c r="N30" s="8">
        <v>0.0279904</v>
      </c>
      <c r="O30" s="1">
        <v>0.0285497</v>
      </c>
      <c r="P30" s="1">
        <v>21142200000000</v>
      </c>
      <c r="Q30" s="1">
        <v>296758000</v>
      </c>
      <c r="R30" s="1">
        <v>0</v>
      </c>
      <c r="S30" s="1">
        <v>0</v>
      </c>
      <c r="T30" s="1">
        <v>2</v>
      </c>
      <c r="U30" s="1">
        <v>4837660000000</v>
      </c>
      <c r="V30" s="1">
        <v>4362530000000</v>
      </c>
      <c r="W30" s="1">
        <v>3774850000000</v>
      </c>
      <c r="X30" s="1">
        <v>4014630000000</v>
      </c>
      <c r="Y30" s="1">
        <v>4152390000000</v>
      </c>
      <c r="AA30" s="8">
        <v>0.0280024</v>
      </c>
      <c r="AB30" s="1">
        <v>0.0285397</v>
      </c>
      <c r="AC30" s="1">
        <v>21377300000000</v>
      </c>
      <c r="AD30" s="1">
        <v>303603000</v>
      </c>
      <c r="AE30" s="1">
        <v>0</v>
      </c>
      <c r="AF30" s="1">
        <v>0</v>
      </c>
      <c r="AG30" s="1">
        <v>2</v>
      </c>
      <c r="AH30" s="1">
        <v>5055770000000</v>
      </c>
      <c r="AI30" s="1">
        <v>4240900000000</v>
      </c>
      <c r="AJ30" s="1">
        <v>4053100000000</v>
      </c>
      <c r="AK30" s="1">
        <v>4279980000000</v>
      </c>
      <c r="AL30" s="1">
        <v>3747540000000</v>
      </c>
      <c r="AN30" s="1">
        <f t="shared" si="5"/>
        <v>0.0279767</v>
      </c>
      <c r="AO30" s="1">
        <f t="shared" si="6"/>
        <v>20904300000000</v>
      </c>
      <c r="AP30" s="1"/>
      <c r="AQ30" s="1"/>
      <c r="AR30" s="1">
        <f t="shared" si="7"/>
        <v>3982575000000</v>
      </c>
      <c r="AS30" s="1">
        <f t="shared" si="8"/>
        <v>3812760000000</v>
      </c>
      <c r="AT30" s="1">
        <f t="shared" si="9"/>
        <v>4152390000000</v>
      </c>
    </row>
    <row r="31" spans="1:46">
      <c r="A31" s="8">
        <v>0.0289389</v>
      </c>
      <c r="B31" s="1">
        <v>0.0295023</v>
      </c>
      <c r="C31" s="1">
        <v>20805600000000</v>
      </c>
      <c r="D31" s="1">
        <v>127383000</v>
      </c>
      <c r="E31" s="1">
        <v>0</v>
      </c>
      <c r="F31" s="1">
        <v>0</v>
      </c>
      <c r="G31" s="1">
        <v>2</v>
      </c>
      <c r="H31" s="1">
        <v>5062810000000</v>
      </c>
      <c r="I31" s="1">
        <v>3987380000000</v>
      </c>
      <c r="J31" s="1">
        <v>4144880000000</v>
      </c>
      <c r="K31" s="1">
        <v>3916440000000</v>
      </c>
      <c r="L31" s="1">
        <v>3694080000000</v>
      </c>
      <c r="N31" s="8">
        <v>0.028987</v>
      </c>
      <c r="O31" s="1">
        <v>0.0295506</v>
      </c>
      <c r="P31" s="1">
        <v>21051600000000</v>
      </c>
      <c r="Q31" s="1">
        <v>220067000</v>
      </c>
      <c r="R31" s="1">
        <v>0</v>
      </c>
      <c r="S31" s="1">
        <v>0</v>
      </c>
      <c r="T31" s="1">
        <v>2</v>
      </c>
      <c r="U31" s="1">
        <v>4887520000000</v>
      </c>
      <c r="V31" s="1">
        <v>4301630000000</v>
      </c>
      <c r="W31" s="1">
        <v>3909360000000</v>
      </c>
      <c r="X31" s="1">
        <v>4153170000000</v>
      </c>
      <c r="Y31" s="1">
        <v>3799800000000</v>
      </c>
      <c r="AA31" s="8">
        <v>0.0290168</v>
      </c>
      <c r="AB31" s="1">
        <v>0.029557</v>
      </c>
      <c r="AC31" s="1">
        <v>21478800000000</v>
      </c>
      <c r="AD31" s="1">
        <v>214188000</v>
      </c>
      <c r="AE31" s="1">
        <v>0</v>
      </c>
      <c r="AF31" s="1">
        <v>0</v>
      </c>
      <c r="AG31" s="1">
        <v>2</v>
      </c>
      <c r="AH31" s="1">
        <v>5030790000000</v>
      </c>
      <c r="AI31" s="1">
        <v>4223800000000</v>
      </c>
      <c r="AJ31" s="1">
        <v>4173340000000</v>
      </c>
      <c r="AK31" s="1">
        <v>4763470000000</v>
      </c>
      <c r="AL31" s="1">
        <v>3287360000000</v>
      </c>
      <c r="AN31" s="1">
        <f t="shared" si="5"/>
        <v>0.0289389</v>
      </c>
      <c r="AO31" s="1">
        <f t="shared" si="6"/>
        <v>20928600000000</v>
      </c>
      <c r="AP31" s="1"/>
      <c r="AQ31" s="1"/>
      <c r="AR31" s="1">
        <f t="shared" si="7"/>
        <v>3746940000000</v>
      </c>
      <c r="AS31" s="1">
        <f t="shared" si="8"/>
        <v>3694080000000</v>
      </c>
      <c r="AT31" s="1">
        <f t="shared" si="9"/>
        <v>3799800000000</v>
      </c>
    </row>
    <row r="32" spans="1:46">
      <c r="A32" s="8">
        <v>0.0299967</v>
      </c>
      <c r="B32" s="1">
        <v>0.0305255</v>
      </c>
      <c r="C32" s="1">
        <v>20872500000000</v>
      </c>
      <c r="D32" s="1">
        <v>280537000</v>
      </c>
      <c r="E32" s="1">
        <v>0</v>
      </c>
      <c r="F32" s="1">
        <v>0</v>
      </c>
      <c r="G32" s="1">
        <v>2</v>
      </c>
      <c r="H32" s="1">
        <v>5150630000000</v>
      </c>
      <c r="I32" s="1">
        <v>3975410000000</v>
      </c>
      <c r="J32" s="1">
        <v>4202720000000</v>
      </c>
      <c r="K32" s="1">
        <v>4242590000000</v>
      </c>
      <c r="L32" s="1">
        <v>3300940000000</v>
      </c>
      <c r="N32" s="8">
        <v>0.0299824</v>
      </c>
      <c r="O32" s="1">
        <v>0.0305455</v>
      </c>
      <c r="P32" s="1">
        <v>21100400000000</v>
      </c>
      <c r="Q32" s="1">
        <v>420141000</v>
      </c>
      <c r="R32" s="1">
        <v>0</v>
      </c>
      <c r="S32" s="1">
        <v>0</v>
      </c>
      <c r="T32" s="1">
        <v>2</v>
      </c>
      <c r="U32" s="1">
        <v>5106440000000</v>
      </c>
      <c r="V32" s="1">
        <v>4078490000000</v>
      </c>
      <c r="W32" s="1">
        <v>4053850000000</v>
      </c>
      <c r="X32" s="1">
        <v>4434880000000</v>
      </c>
      <c r="Y32" s="1">
        <v>3426740000000</v>
      </c>
      <c r="AA32" s="8">
        <v>0.0300194</v>
      </c>
      <c r="AB32" s="1">
        <v>0.0305697</v>
      </c>
      <c r="AC32" s="1">
        <v>21350100000000</v>
      </c>
      <c r="AD32" s="1">
        <v>136213000</v>
      </c>
      <c r="AE32" s="1">
        <v>0</v>
      </c>
      <c r="AF32" s="1">
        <v>0</v>
      </c>
      <c r="AG32" s="1">
        <v>2</v>
      </c>
      <c r="AH32" s="1">
        <v>5146400000000</v>
      </c>
      <c r="AI32" s="1">
        <v>4175230000000</v>
      </c>
      <c r="AJ32" s="1">
        <v>4345740000000</v>
      </c>
      <c r="AK32" s="1">
        <v>4486120000000</v>
      </c>
      <c r="AL32" s="1">
        <v>3196610000000</v>
      </c>
      <c r="AN32" s="1">
        <f t="shared" si="5"/>
        <v>0.0299967</v>
      </c>
      <c r="AO32" s="1">
        <f t="shared" si="6"/>
        <v>20986450000000</v>
      </c>
      <c r="AP32" s="1"/>
      <c r="AQ32" s="1"/>
      <c r="AR32" s="1">
        <f t="shared" si="7"/>
        <v>3363840000000</v>
      </c>
      <c r="AS32" s="1">
        <f t="shared" si="8"/>
        <v>3300940000000</v>
      </c>
      <c r="AT32" s="1">
        <f t="shared" si="9"/>
        <v>3426740000000</v>
      </c>
    </row>
    <row r="33" spans="1:46">
      <c r="A33" s="8">
        <v>0.031002</v>
      </c>
      <c r="B33" s="1">
        <v>0.0315114</v>
      </c>
      <c r="C33" s="1">
        <v>20795800000000</v>
      </c>
      <c r="D33" s="1">
        <v>184261000</v>
      </c>
      <c r="E33" s="1">
        <v>0</v>
      </c>
      <c r="F33" s="1">
        <v>0</v>
      </c>
      <c r="G33" s="1">
        <v>2</v>
      </c>
      <c r="H33" s="1">
        <v>5301380000000</v>
      </c>
      <c r="I33" s="1">
        <v>4258380000000</v>
      </c>
      <c r="J33" s="1">
        <v>4093400000000</v>
      </c>
      <c r="K33" s="1">
        <v>3968440000000</v>
      </c>
      <c r="L33" s="1">
        <v>3174180000000</v>
      </c>
      <c r="N33" s="8">
        <v>0.0309717</v>
      </c>
      <c r="O33" s="1">
        <v>0.0315141</v>
      </c>
      <c r="P33" s="1">
        <v>20743000000000</v>
      </c>
      <c r="Q33" s="1">
        <v>287248000</v>
      </c>
      <c r="R33" s="1">
        <v>0</v>
      </c>
      <c r="S33" s="1">
        <v>0</v>
      </c>
      <c r="T33" s="1">
        <v>2</v>
      </c>
      <c r="U33" s="1">
        <v>5018750000000</v>
      </c>
      <c r="V33" s="1">
        <v>3897800000000</v>
      </c>
      <c r="W33" s="1">
        <v>4033340000000</v>
      </c>
      <c r="X33" s="1">
        <v>4021060000000</v>
      </c>
      <c r="Y33" s="1">
        <v>3771750000000</v>
      </c>
      <c r="AA33" s="8">
        <v>0.031017</v>
      </c>
      <c r="AB33" s="1">
        <v>0.0315559</v>
      </c>
      <c r="AC33" s="1">
        <v>21931800000000</v>
      </c>
      <c r="AD33" s="1">
        <v>173212000</v>
      </c>
      <c r="AE33" s="1">
        <v>0</v>
      </c>
      <c r="AF33" s="1">
        <v>0</v>
      </c>
      <c r="AG33" s="1">
        <v>2</v>
      </c>
      <c r="AH33" s="1">
        <v>5445760000000</v>
      </c>
      <c r="AI33" s="1">
        <v>4295200000000</v>
      </c>
      <c r="AJ33" s="1">
        <v>4394600000000</v>
      </c>
      <c r="AK33" s="1">
        <v>4313580000000</v>
      </c>
      <c r="AL33" s="1">
        <v>3482680000000</v>
      </c>
      <c r="AN33" s="1">
        <f t="shared" si="5"/>
        <v>0.031002</v>
      </c>
      <c r="AO33" s="1">
        <f t="shared" si="6"/>
        <v>20769400000000</v>
      </c>
      <c r="AP33" s="1"/>
      <c r="AQ33" s="1"/>
      <c r="AR33" s="1">
        <f t="shared" si="7"/>
        <v>3472965000000</v>
      </c>
      <c r="AS33" s="1">
        <f t="shared" si="8"/>
        <v>3174180000000</v>
      </c>
      <c r="AT33" s="1">
        <f t="shared" si="9"/>
        <v>3771750000000</v>
      </c>
    </row>
    <row r="34" spans="1:46">
      <c r="A34" s="8">
        <v>0.03199</v>
      </c>
      <c r="B34" s="1">
        <v>0.0325502</v>
      </c>
      <c r="C34" s="1">
        <v>21096500000000</v>
      </c>
      <c r="D34" s="1">
        <v>275058000</v>
      </c>
      <c r="E34" s="1">
        <v>0</v>
      </c>
      <c r="F34" s="1">
        <v>0</v>
      </c>
      <c r="G34" s="1">
        <v>2</v>
      </c>
      <c r="H34" s="1">
        <v>5116330000000</v>
      </c>
      <c r="I34" s="1">
        <v>4129210000000</v>
      </c>
      <c r="J34" s="1">
        <v>4157610000000</v>
      </c>
      <c r="K34" s="1">
        <v>4400530000000</v>
      </c>
      <c r="L34" s="1">
        <v>3291080000000</v>
      </c>
      <c r="N34" s="8">
        <v>0.0319767</v>
      </c>
      <c r="O34" s="1">
        <v>0.032527</v>
      </c>
      <c r="P34" s="1">
        <v>20637200000000</v>
      </c>
      <c r="Q34" s="1">
        <v>227626000</v>
      </c>
      <c r="R34" s="1">
        <v>0</v>
      </c>
      <c r="S34" s="1">
        <v>0</v>
      </c>
      <c r="T34" s="1">
        <v>2</v>
      </c>
      <c r="U34" s="1">
        <v>4804790000000</v>
      </c>
      <c r="V34" s="1">
        <v>3899800000000</v>
      </c>
      <c r="W34" s="1">
        <v>4108740000000</v>
      </c>
      <c r="X34" s="1">
        <v>4149340000000</v>
      </c>
      <c r="Y34" s="1">
        <v>3674550000000</v>
      </c>
      <c r="AA34" s="8">
        <v>0.032</v>
      </c>
      <c r="AB34" s="1">
        <v>0.0325282</v>
      </c>
      <c r="AC34" s="1">
        <v>21427700000000</v>
      </c>
      <c r="AD34" s="1">
        <v>325677000</v>
      </c>
      <c r="AE34" s="1">
        <v>0</v>
      </c>
      <c r="AF34" s="1">
        <v>0</v>
      </c>
      <c r="AG34" s="1">
        <v>2</v>
      </c>
      <c r="AH34" s="1">
        <v>5128540000000</v>
      </c>
      <c r="AI34" s="1">
        <v>4025130000000</v>
      </c>
      <c r="AJ34" s="1">
        <v>4171440000000</v>
      </c>
      <c r="AK34" s="1">
        <v>4177800000000</v>
      </c>
      <c r="AL34" s="1">
        <v>3924720000000</v>
      </c>
      <c r="AN34" s="1">
        <f t="shared" si="5"/>
        <v>0.03199</v>
      </c>
      <c r="AO34" s="1">
        <f t="shared" si="6"/>
        <v>20866850000000</v>
      </c>
      <c r="AP34" s="1"/>
      <c r="AQ34" s="1"/>
      <c r="AR34" s="1">
        <f t="shared" si="7"/>
        <v>3482815000000</v>
      </c>
      <c r="AS34" s="1">
        <f t="shared" si="8"/>
        <v>3291080000000</v>
      </c>
      <c r="AT34" s="1">
        <f t="shared" si="9"/>
        <v>3674550000000</v>
      </c>
    </row>
    <row r="35" spans="1:46">
      <c r="A35" s="8">
        <v>0.0331533</v>
      </c>
      <c r="B35" s="1">
        <v>0.033699</v>
      </c>
      <c r="C35" s="1">
        <v>20672500000000</v>
      </c>
      <c r="D35" s="1">
        <v>143237000</v>
      </c>
      <c r="E35" s="1">
        <v>0</v>
      </c>
      <c r="F35" s="1">
        <v>0</v>
      </c>
      <c r="G35" s="1">
        <v>2</v>
      </c>
      <c r="H35" s="1">
        <v>4908430000000</v>
      </c>
      <c r="I35" s="1">
        <v>3947570000000</v>
      </c>
      <c r="J35" s="1">
        <v>4085210000000</v>
      </c>
      <c r="K35" s="1">
        <v>4091320000000</v>
      </c>
      <c r="L35" s="1">
        <v>3639870000000</v>
      </c>
      <c r="N35" s="8">
        <v>0.0329997</v>
      </c>
      <c r="O35" s="1">
        <v>0.0335795</v>
      </c>
      <c r="P35" s="1">
        <v>20971500000000</v>
      </c>
      <c r="Q35" s="1">
        <v>181395000</v>
      </c>
      <c r="R35" s="1">
        <v>0</v>
      </c>
      <c r="S35" s="1">
        <v>0</v>
      </c>
      <c r="T35" s="1">
        <v>2</v>
      </c>
      <c r="U35" s="1">
        <v>4944420000000</v>
      </c>
      <c r="V35" s="1">
        <v>3946260000000</v>
      </c>
      <c r="W35" s="1">
        <v>4049940000000</v>
      </c>
      <c r="X35" s="1">
        <v>4053200000000</v>
      </c>
      <c r="Y35" s="1">
        <v>3975790000000</v>
      </c>
      <c r="AA35" s="8">
        <v>0.0329901</v>
      </c>
      <c r="AB35" s="1">
        <v>0.033553</v>
      </c>
      <c r="AC35" s="1">
        <v>21198400000000</v>
      </c>
      <c r="AD35" s="1">
        <v>282122000</v>
      </c>
      <c r="AE35" s="1">
        <v>0</v>
      </c>
      <c r="AF35" s="1">
        <v>0</v>
      </c>
      <c r="AG35" s="1">
        <v>2</v>
      </c>
      <c r="AH35" s="1">
        <v>4932520000000</v>
      </c>
      <c r="AI35" s="1">
        <v>3916840000000</v>
      </c>
      <c r="AJ35" s="1">
        <v>4007440000000</v>
      </c>
      <c r="AK35" s="1">
        <v>3931180000000</v>
      </c>
      <c r="AL35" s="1">
        <v>4410400000000</v>
      </c>
      <c r="AN35" s="1">
        <f t="shared" si="5"/>
        <v>0.0331533</v>
      </c>
      <c r="AO35" s="1">
        <f t="shared" si="6"/>
        <v>20822000000000</v>
      </c>
      <c r="AP35" s="1"/>
      <c r="AQ35" s="1"/>
      <c r="AR35" s="1">
        <f t="shared" si="7"/>
        <v>3807830000000</v>
      </c>
      <c r="AS35" s="1">
        <f t="shared" si="8"/>
        <v>3639870000000</v>
      </c>
      <c r="AT35" s="1">
        <f t="shared" si="9"/>
        <v>3975790000000</v>
      </c>
    </row>
    <row r="36" spans="1:46">
      <c r="A36" s="8">
        <v>0.0340467</v>
      </c>
      <c r="B36" s="1">
        <v>0.0346108</v>
      </c>
      <c r="C36" s="1">
        <v>21100400000000</v>
      </c>
      <c r="D36" s="1">
        <v>222625000</v>
      </c>
      <c r="E36" s="1">
        <v>0</v>
      </c>
      <c r="F36" s="1">
        <v>0</v>
      </c>
      <c r="G36" s="1">
        <v>2</v>
      </c>
      <c r="H36" s="1">
        <v>5153830000000</v>
      </c>
      <c r="I36" s="1">
        <v>3905390000000</v>
      </c>
      <c r="J36" s="1">
        <v>3791430000000</v>
      </c>
      <c r="K36" s="1">
        <v>3879090000000</v>
      </c>
      <c r="L36" s="1">
        <v>4370550000000</v>
      </c>
      <c r="N36" s="8">
        <v>0.0340156</v>
      </c>
      <c r="O36" s="1">
        <v>0.034548</v>
      </c>
      <c r="P36" s="1">
        <v>21482000000000</v>
      </c>
      <c r="Q36" s="1">
        <v>167419000</v>
      </c>
      <c r="R36" s="1">
        <v>0</v>
      </c>
      <c r="S36" s="1">
        <v>0</v>
      </c>
      <c r="T36" s="1">
        <v>2</v>
      </c>
      <c r="U36" s="1">
        <v>4875950000000</v>
      </c>
      <c r="V36" s="1">
        <v>4022180000000</v>
      </c>
      <c r="W36" s="1">
        <v>4011280000000</v>
      </c>
      <c r="X36" s="1">
        <v>4485890000000</v>
      </c>
      <c r="Y36" s="1">
        <v>4086620000000</v>
      </c>
      <c r="AA36" s="8">
        <v>0.0339927</v>
      </c>
      <c r="AB36" s="1">
        <v>0.0345678</v>
      </c>
      <c r="AC36" s="1">
        <v>21130800000000</v>
      </c>
      <c r="AD36" s="1">
        <v>340717000</v>
      </c>
      <c r="AE36" s="1">
        <v>0</v>
      </c>
      <c r="AF36" s="1">
        <v>0</v>
      </c>
      <c r="AG36" s="1">
        <v>2</v>
      </c>
      <c r="AH36" s="1">
        <v>5060150000000</v>
      </c>
      <c r="AI36" s="1">
        <v>4006130000000</v>
      </c>
      <c r="AJ36" s="1">
        <v>4152190000000</v>
      </c>
      <c r="AK36" s="1">
        <v>4132170000000</v>
      </c>
      <c r="AL36" s="1">
        <v>3780130000000</v>
      </c>
      <c r="AN36" s="1">
        <f t="shared" si="5"/>
        <v>0.0340467</v>
      </c>
      <c r="AO36" s="1">
        <f t="shared" si="6"/>
        <v>21291200000000</v>
      </c>
      <c r="AP36" s="1"/>
      <c r="AQ36" s="1"/>
      <c r="AR36" s="1">
        <f t="shared" si="7"/>
        <v>4228585000000</v>
      </c>
      <c r="AS36" s="1">
        <f t="shared" si="8"/>
        <v>4086620000000</v>
      </c>
      <c r="AT36" s="1">
        <f t="shared" si="9"/>
        <v>4370550000000</v>
      </c>
    </row>
    <row r="37" spans="1:46">
      <c r="A37" s="8">
        <v>0.0350004</v>
      </c>
      <c r="B37" s="1">
        <v>0.0355339</v>
      </c>
      <c r="C37" s="1">
        <v>20937700000000</v>
      </c>
      <c r="D37" s="1">
        <v>178240000</v>
      </c>
      <c r="E37" s="1">
        <v>0</v>
      </c>
      <c r="F37" s="1">
        <v>0</v>
      </c>
      <c r="G37" s="1">
        <v>2</v>
      </c>
      <c r="H37" s="1">
        <v>4984640000000</v>
      </c>
      <c r="I37" s="1">
        <v>4452150000000</v>
      </c>
      <c r="J37" s="1">
        <v>4178250000000</v>
      </c>
      <c r="K37" s="1">
        <v>4013710000000</v>
      </c>
      <c r="L37" s="1">
        <v>3308900000000</v>
      </c>
      <c r="N37" s="8">
        <v>0.0350102</v>
      </c>
      <c r="O37" s="1">
        <v>0.0355509</v>
      </c>
      <c r="P37" s="1">
        <v>20691800000000</v>
      </c>
      <c r="Q37" s="1">
        <v>235542000</v>
      </c>
      <c r="R37" s="1">
        <v>0</v>
      </c>
      <c r="S37" s="1">
        <v>0</v>
      </c>
      <c r="T37" s="1">
        <v>2</v>
      </c>
      <c r="U37" s="1">
        <v>5148590000000</v>
      </c>
      <c r="V37" s="1">
        <v>4072920000000</v>
      </c>
      <c r="W37" s="1">
        <v>4312660000000</v>
      </c>
      <c r="X37" s="1">
        <v>4176050000000</v>
      </c>
      <c r="Y37" s="1">
        <v>2981610000000</v>
      </c>
      <c r="AA37" s="8">
        <v>0.0350164</v>
      </c>
      <c r="AB37" s="1">
        <v>0.035532</v>
      </c>
      <c r="AC37" s="1">
        <v>20661700000000</v>
      </c>
      <c r="AD37" s="1">
        <v>142503000</v>
      </c>
      <c r="AE37" s="1">
        <v>0</v>
      </c>
      <c r="AF37" s="1">
        <v>0</v>
      </c>
      <c r="AG37" s="1">
        <v>2</v>
      </c>
      <c r="AH37" s="1">
        <v>4990050000000</v>
      </c>
      <c r="AI37" s="1">
        <v>4178150000000</v>
      </c>
      <c r="AJ37" s="1">
        <v>4094210000000</v>
      </c>
      <c r="AK37" s="1">
        <v>4386100000000</v>
      </c>
      <c r="AL37" s="1">
        <v>3013170000000</v>
      </c>
      <c r="AN37" s="1">
        <f t="shared" ref="AN37:AN46" si="10">A37</f>
        <v>0.0350004</v>
      </c>
      <c r="AO37" s="1">
        <f t="shared" ref="AO37:AO46" si="11">(C37+P37)/2</f>
        <v>20814750000000</v>
      </c>
      <c r="AP37" s="1"/>
      <c r="AQ37" s="1"/>
      <c r="AR37" s="1">
        <f t="shared" ref="AR37:AR46" si="12">(Y37+L37)/2</f>
        <v>3145255000000</v>
      </c>
      <c r="AS37" s="1">
        <f t="shared" ref="AS37:AS46" si="13">MIN(Y37,L37)</f>
        <v>2981610000000</v>
      </c>
      <c r="AT37" s="1">
        <f t="shared" ref="AT37:AT46" si="14">MAX(Y37,L37)</f>
        <v>3308900000000</v>
      </c>
    </row>
    <row r="38" spans="1:46">
      <c r="A38" s="8">
        <v>0.0359813</v>
      </c>
      <c r="B38" s="1">
        <v>0.0365102</v>
      </c>
      <c r="C38" s="1">
        <v>20726100000000</v>
      </c>
      <c r="D38" s="1">
        <v>305947000</v>
      </c>
      <c r="E38" s="1">
        <v>0</v>
      </c>
      <c r="F38" s="1">
        <v>0</v>
      </c>
      <c r="G38" s="1">
        <v>2</v>
      </c>
      <c r="H38" s="1">
        <v>5023600000000</v>
      </c>
      <c r="I38" s="1">
        <v>4164190000000</v>
      </c>
      <c r="J38" s="1">
        <v>4188660000000</v>
      </c>
      <c r="K38" s="1">
        <v>3978330000000</v>
      </c>
      <c r="L38" s="1">
        <v>3371320000000</v>
      </c>
      <c r="N38" s="8">
        <v>0.0360168</v>
      </c>
      <c r="O38" s="1">
        <v>0.0365845</v>
      </c>
      <c r="P38" s="1">
        <v>20932800000000</v>
      </c>
      <c r="Q38" s="1">
        <v>176588000</v>
      </c>
      <c r="R38" s="1">
        <v>0</v>
      </c>
      <c r="S38" s="1">
        <v>0</v>
      </c>
      <c r="T38" s="1">
        <v>2</v>
      </c>
      <c r="U38" s="1">
        <v>5161710000000</v>
      </c>
      <c r="V38" s="1">
        <v>4066540000000</v>
      </c>
      <c r="W38" s="1">
        <v>4030330000000</v>
      </c>
      <c r="X38" s="1">
        <v>4075670000000</v>
      </c>
      <c r="Y38" s="1">
        <v>3598450000000</v>
      </c>
      <c r="AA38" s="8">
        <v>0.0360284</v>
      </c>
      <c r="AB38" s="1">
        <v>0.0365365</v>
      </c>
      <c r="AC38" s="1">
        <v>21074000000000</v>
      </c>
      <c r="AD38" s="1">
        <v>240334000</v>
      </c>
      <c r="AE38" s="1">
        <v>0</v>
      </c>
      <c r="AF38" s="1">
        <v>0</v>
      </c>
      <c r="AG38" s="1">
        <v>2</v>
      </c>
      <c r="AH38" s="1">
        <v>5191220000000</v>
      </c>
      <c r="AI38" s="1">
        <v>3987370000000</v>
      </c>
      <c r="AJ38" s="1">
        <v>4146720000000</v>
      </c>
      <c r="AK38" s="1">
        <v>4571430000000</v>
      </c>
      <c r="AL38" s="1">
        <v>3177160000000</v>
      </c>
      <c r="AN38" s="1">
        <f t="shared" si="10"/>
        <v>0.0359813</v>
      </c>
      <c r="AO38" s="1">
        <f t="shared" si="11"/>
        <v>20829450000000</v>
      </c>
      <c r="AP38" s="1"/>
      <c r="AQ38" s="1"/>
      <c r="AR38" s="1">
        <f t="shared" si="12"/>
        <v>3484885000000</v>
      </c>
      <c r="AS38" s="1">
        <f t="shared" si="13"/>
        <v>3371320000000</v>
      </c>
      <c r="AT38" s="1">
        <f t="shared" si="14"/>
        <v>3598450000000</v>
      </c>
    </row>
    <row r="39" spans="1:46">
      <c r="A39" s="8">
        <v>0.0369864</v>
      </c>
      <c r="B39" s="1">
        <v>0.0375247</v>
      </c>
      <c r="C39" s="1">
        <v>20750500000000</v>
      </c>
      <c r="D39" s="1">
        <v>289031000</v>
      </c>
      <c r="E39" s="1">
        <v>0</v>
      </c>
      <c r="F39" s="1">
        <v>0</v>
      </c>
      <c r="G39" s="1">
        <v>2</v>
      </c>
      <c r="H39" s="1">
        <v>5032430000000</v>
      </c>
      <c r="I39" s="1">
        <v>4171450000000</v>
      </c>
      <c r="J39" s="1">
        <v>4175000000000</v>
      </c>
      <c r="K39" s="1">
        <v>4322140000000</v>
      </c>
      <c r="L39" s="1">
        <v>3049450000000</v>
      </c>
      <c r="N39" s="8">
        <v>0.0370365</v>
      </c>
      <c r="O39" s="1">
        <v>0.0375709</v>
      </c>
      <c r="P39" s="1">
        <v>21004700000000</v>
      </c>
      <c r="Q39" s="1">
        <v>255114000</v>
      </c>
      <c r="R39" s="1">
        <v>0</v>
      </c>
      <c r="S39" s="1">
        <v>0</v>
      </c>
      <c r="T39" s="1">
        <v>2</v>
      </c>
      <c r="U39" s="1">
        <v>4819120000000</v>
      </c>
      <c r="V39" s="1">
        <v>3936240000000</v>
      </c>
      <c r="W39" s="1">
        <v>4179500000000</v>
      </c>
      <c r="X39" s="1">
        <v>4357840000000</v>
      </c>
      <c r="Y39" s="1">
        <v>3711980000000</v>
      </c>
      <c r="AA39" s="8">
        <v>0.0369932</v>
      </c>
      <c r="AB39" s="1">
        <v>0.0375312</v>
      </c>
      <c r="AC39" s="1">
        <v>21083300000000</v>
      </c>
      <c r="AD39" s="1">
        <v>174631000</v>
      </c>
      <c r="AE39" s="1">
        <v>0</v>
      </c>
      <c r="AF39" s="1">
        <v>0</v>
      </c>
      <c r="AG39" s="1">
        <v>2</v>
      </c>
      <c r="AH39" s="1">
        <v>5063090000000</v>
      </c>
      <c r="AI39" s="1">
        <v>3970150000000</v>
      </c>
      <c r="AJ39" s="1">
        <v>4061770000000</v>
      </c>
      <c r="AK39" s="1">
        <v>4300900000000</v>
      </c>
      <c r="AL39" s="1">
        <v>3687350000000</v>
      </c>
      <c r="AN39" s="1">
        <f t="shared" si="10"/>
        <v>0.0369864</v>
      </c>
      <c r="AO39" s="1">
        <f t="shared" si="11"/>
        <v>20877600000000</v>
      </c>
      <c r="AP39" s="1"/>
      <c r="AQ39" s="1"/>
      <c r="AR39" s="1">
        <f t="shared" si="12"/>
        <v>3380715000000</v>
      </c>
      <c r="AS39" s="1">
        <f t="shared" si="13"/>
        <v>3049450000000</v>
      </c>
      <c r="AT39" s="1">
        <f t="shared" si="14"/>
        <v>3711980000000</v>
      </c>
    </row>
    <row r="40" spans="1:46">
      <c r="A40" s="8">
        <v>0.0380011</v>
      </c>
      <c r="B40" s="1">
        <v>0.0385423</v>
      </c>
      <c r="C40" s="1">
        <v>20867200000000</v>
      </c>
      <c r="D40" s="1">
        <v>263193000</v>
      </c>
      <c r="E40" s="1">
        <v>0</v>
      </c>
      <c r="F40" s="1">
        <v>0</v>
      </c>
      <c r="G40" s="1">
        <v>2</v>
      </c>
      <c r="H40" s="1">
        <v>4978460000000</v>
      </c>
      <c r="I40" s="1">
        <v>3973920000000</v>
      </c>
      <c r="J40" s="1">
        <v>4059550000000</v>
      </c>
      <c r="K40" s="1">
        <v>4317550000000</v>
      </c>
      <c r="L40" s="1">
        <v>3537630000000</v>
      </c>
      <c r="N40" s="8">
        <v>0.0380065</v>
      </c>
      <c r="O40" s="1">
        <v>0.0385837</v>
      </c>
      <c r="P40" s="1">
        <v>21120700000000</v>
      </c>
      <c r="Q40" s="1">
        <v>203788000</v>
      </c>
      <c r="R40" s="1">
        <v>0</v>
      </c>
      <c r="S40" s="1">
        <v>0</v>
      </c>
      <c r="T40" s="1">
        <v>2</v>
      </c>
      <c r="U40" s="1">
        <v>5075520000000</v>
      </c>
      <c r="V40" s="1">
        <v>4043950000000</v>
      </c>
      <c r="W40" s="1">
        <v>4339070000000</v>
      </c>
      <c r="X40" s="1">
        <v>4042320000000</v>
      </c>
      <c r="Y40" s="1">
        <v>3619700000000</v>
      </c>
      <c r="AA40" s="8">
        <v>0.0379898</v>
      </c>
      <c r="AB40" s="1">
        <v>0.0385366</v>
      </c>
      <c r="AC40" s="1">
        <v>20726000000000</v>
      </c>
      <c r="AD40" s="1">
        <v>350698000</v>
      </c>
      <c r="AE40" s="1">
        <v>0</v>
      </c>
      <c r="AF40" s="1">
        <v>0</v>
      </c>
      <c r="AG40" s="1">
        <v>2</v>
      </c>
      <c r="AH40" s="1">
        <v>4731110000000</v>
      </c>
      <c r="AI40" s="1">
        <v>4205290000000</v>
      </c>
      <c r="AJ40" s="1">
        <v>3959880000000</v>
      </c>
      <c r="AK40" s="1">
        <v>4229000000000</v>
      </c>
      <c r="AL40" s="1">
        <v>3600550000000</v>
      </c>
      <c r="AN40" s="1">
        <f t="shared" si="10"/>
        <v>0.0380011</v>
      </c>
      <c r="AO40" s="1">
        <f t="shared" si="11"/>
        <v>20993950000000</v>
      </c>
      <c r="AP40" s="1"/>
      <c r="AQ40" s="1"/>
      <c r="AR40" s="1">
        <f t="shared" si="12"/>
        <v>3578665000000</v>
      </c>
      <c r="AS40" s="1">
        <f t="shared" si="13"/>
        <v>3537630000000</v>
      </c>
      <c r="AT40" s="1">
        <f t="shared" si="14"/>
        <v>3619700000000</v>
      </c>
    </row>
    <row r="41" spans="1:46">
      <c r="A41" s="8">
        <v>0.0389949</v>
      </c>
      <c r="B41" s="1">
        <v>0.039555</v>
      </c>
      <c r="C41" s="1">
        <v>20902700000000</v>
      </c>
      <c r="D41" s="1">
        <v>197861000</v>
      </c>
      <c r="E41" s="1">
        <v>0</v>
      </c>
      <c r="F41" s="1">
        <v>0</v>
      </c>
      <c r="G41" s="1">
        <v>2</v>
      </c>
      <c r="H41" s="1">
        <v>5021520000000</v>
      </c>
      <c r="I41" s="1">
        <v>3873210000000</v>
      </c>
      <c r="J41" s="1">
        <v>4156800000000</v>
      </c>
      <c r="K41" s="1">
        <v>4201410000000</v>
      </c>
      <c r="L41" s="1">
        <v>3649560000000</v>
      </c>
      <c r="N41" s="8">
        <v>0.0389788</v>
      </c>
      <c r="O41" s="1">
        <v>0.0395485</v>
      </c>
      <c r="P41" s="1">
        <v>21284300000000</v>
      </c>
      <c r="Q41" s="1">
        <v>734980000</v>
      </c>
      <c r="R41" s="1">
        <v>0</v>
      </c>
      <c r="S41" s="1">
        <v>0</v>
      </c>
      <c r="T41" s="1">
        <v>2</v>
      </c>
      <c r="U41" s="1">
        <v>4969630000000</v>
      </c>
      <c r="V41" s="1">
        <v>4107940000000</v>
      </c>
      <c r="W41" s="1">
        <v>4207440000000</v>
      </c>
      <c r="X41" s="1">
        <v>4193500000000</v>
      </c>
      <c r="Y41" s="1">
        <v>3805570000000</v>
      </c>
      <c r="AA41" s="8">
        <v>0.0389992</v>
      </c>
      <c r="AB41" s="1">
        <v>0.0395494</v>
      </c>
      <c r="AC41" s="1">
        <v>21286000000000</v>
      </c>
      <c r="AD41" s="1">
        <v>231559000</v>
      </c>
      <c r="AE41" s="1">
        <v>0</v>
      </c>
      <c r="AF41" s="1">
        <v>0</v>
      </c>
      <c r="AG41" s="1">
        <v>2</v>
      </c>
      <c r="AH41" s="1">
        <v>5398990000000</v>
      </c>
      <c r="AI41" s="1">
        <v>4390680000000</v>
      </c>
      <c r="AJ41" s="1">
        <v>4284390000000</v>
      </c>
      <c r="AK41" s="1">
        <v>4382420000000</v>
      </c>
      <c r="AL41" s="1">
        <v>2829490000000</v>
      </c>
      <c r="AN41" s="1">
        <f t="shared" si="10"/>
        <v>0.0389949</v>
      </c>
      <c r="AO41" s="1">
        <f t="shared" si="11"/>
        <v>21093500000000</v>
      </c>
      <c r="AP41" s="1"/>
      <c r="AQ41" s="1"/>
      <c r="AR41" s="1">
        <f t="shared" si="12"/>
        <v>3727565000000</v>
      </c>
      <c r="AS41" s="1">
        <f t="shared" si="13"/>
        <v>3649560000000</v>
      </c>
      <c r="AT41" s="1">
        <f t="shared" si="14"/>
        <v>3805570000000</v>
      </c>
    </row>
    <row r="42" spans="1:46">
      <c r="A42" s="8">
        <v>0.0399962</v>
      </c>
      <c r="B42" s="1">
        <v>0.0405429</v>
      </c>
      <c r="C42" s="1">
        <v>20748800000000</v>
      </c>
      <c r="D42" s="1">
        <v>298596000</v>
      </c>
      <c r="E42" s="1">
        <v>0</v>
      </c>
      <c r="F42" s="1">
        <v>0</v>
      </c>
      <c r="G42" s="1">
        <v>2</v>
      </c>
      <c r="H42" s="1">
        <v>5286870000000</v>
      </c>
      <c r="I42" s="1">
        <v>4054640000000</v>
      </c>
      <c r="J42" s="1">
        <v>4063760000000</v>
      </c>
      <c r="K42" s="1">
        <v>4021080000000</v>
      </c>
      <c r="L42" s="1">
        <v>3322410000000</v>
      </c>
      <c r="N42" s="8">
        <v>0.0400049</v>
      </c>
      <c r="O42" s="1">
        <v>0.0405223</v>
      </c>
      <c r="P42" s="1">
        <v>20914400000000</v>
      </c>
      <c r="Q42" s="1">
        <v>309850000</v>
      </c>
      <c r="R42" s="1">
        <v>0</v>
      </c>
      <c r="S42" s="1">
        <v>0</v>
      </c>
      <c r="T42" s="1">
        <v>2</v>
      </c>
      <c r="U42" s="1">
        <v>4818830000000</v>
      </c>
      <c r="V42" s="1">
        <v>4289990000000</v>
      </c>
      <c r="W42" s="1">
        <v>4261060000000</v>
      </c>
      <c r="X42" s="1">
        <v>4289460000000</v>
      </c>
      <c r="Y42" s="1">
        <v>3255050000000</v>
      </c>
      <c r="AA42" s="8">
        <v>0.0400059</v>
      </c>
      <c r="AB42" s="1">
        <v>0.0405403</v>
      </c>
      <c r="AC42" s="1">
        <v>20947800000000</v>
      </c>
      <c r="AD42" s="1">
        <v>167895000</v>
      </c>
      <c r="AE42" s="1">
        <v>0</v>
      </c>
      <c r="AF42" s="1">
        <v>0</v>
      </c>
      <c r="AG42" s="1">
        <v>2</v>
      </c>
      <c r="AH42" s="1">
        <v>4934360000000</v>
      </c>
      <c r="AI42" s="1">
        <v>4288910000000</v>
      </c>
      <c r="AJ42" s="1">
        <v>4226150000000</v>
      </c>
      <c r="AK42" s="1">
        <v>4273230000000</v>
      </c>
      <c r="AL42" s="1">
        <v>3225110000000</v>
      </c>
      <c r="AN42" s="1">
        <f t="shared" si="10"/>
        <v>0.0399962</v>
      </c>
      <c r="AO42" s="1">
        <f t="shared" si="11"/>
        <v>20831600000000</v>
      </c>
      <c r="AP42" s="1"/>
      <c r="AQ42" s="1"/>
      <c r="AR42" s="1">
        <f t="shared" si="12"/>
        <v>3288730000000</v>
      </c>
      <c r="AS42" s="1">
        <f t="shared" si="13"/>
        <v>3255050000000</v>
      </c>
      <c r="AT42" s="1">
        <f t="shared" si="14"/>
        <v>3322410000000</v>
      </c>
    </row>
    <row r="43" spans="1:46">
      <c r="A43" s="8">
        <v>0.0409955</v>
      </c>
      <c r="B43" s="1">
        <v>0.0415548</v>
      </c>
      <c r="C43" s="1">
        <v>20777900000000</v>
      </c>
      <c r="D43" s="1">
        <v>164969000</v>
      </c>
      <c r="E43" s="1">
        <v>0</v>
      </c>
      <c r="F43" s="1">
        <v>0</v>
      </c>
      <c r="G43" s="1">
        <v>2</v>
      </c>
      <c r="H43" s="1">
        <v>5128030000000</v>
      </c>
      <c r="I43" s="1">
        <v>4186390000000</v>
      </c>
      <c r="J43" s="1">
        <v>4221800000000</v>
      </c>
      <c r="K43" s="1">
        <v>4170470000000</v>
      </c>
      <c r="L43" s="1">
        <v>3071240000000</v>
      </c>
      <c r="N43" s="8">
        <v>0.0410231</v>
      </c>
      <c r="O43" s="1">
        <v>0.0415534</v>
      </c>
      <c r="P43" s="1">
        <v>20684400000000</v>
      </c>
      <c r="Q43" s="1">
        <v>188196000</v>
      </c>
      <c r="R43" s="1">
        <v>0</v>
      </c>
      <c r="S43" s="1">
        <v>0</v>
      </c>
      <c r="T43" s="1">
        <v>2</v>
      </c>
      <c r="U43" s="1">
        <v>4952480000000</v>
      </c>
      <c r="V43" s="1">
        <v>4346780000000</v>
      </c>
      <c r="W43" s="1">
        <v>4101510000000</v>
      </c>
      <c r="X43" s="1">
        <v>4168780000000</v>
      </c>
      <c r="Y43" s="1">
        <v>3114830000000</v>
      </c>
      <c r="AA43" s="8">
        <v>0.0409818</v>
      </c>
      <c r="AB43" s="1">
        <v>0.0415195</v>
      </c>
      <c r="AC43" s="1">
        <v>20608600000000</v>
      </c>
      <c r="AD43" s="1">
        <v>137847000</v>
      </c>
      <c r="AE43" s="1">
        <v>0</v>
      </c>
      <c r="AF43" s="1">
        <v>0</v>
      </c>
      <c r="AG43" s="1">
        <v>2</v>
      </c>
      <c r="AH43" s="1">
        <v>4977350000000</v>
      </c>
      <c r="AI43" s="1">
        <v>4067390000000</v>
      </c>
      <c r="AJ43" s="1">
        <v>4303940000000</v>
      </c>
      <c r="AK43" s="1">
        <v>4128680000000</v>
      </c>
      <c r="AL43" s="1">
        <v>3131180000000</v>
      </c>
      <c r="AN43" s="1">
        <f t="shared" si="10"/>
        <v>0.0409955</v>
      </c>
      <c r="AO43" s="1">
        <f t="shared" si="11"/>
        <v>20731150000000</v>
      </c>
      <c r="AP43" s="1"/>
      <c r="AQ43" s="1"/>
      <c r="AR43" s="1">
        <f t="shared" si="12"/>
        <v>3093035000000</v>
      </c>
      <c r="AS43" s="1">
        <f t="shared" si="13"/>
        <v>3071240000000</v>
      </c>
      <c r="AT43" s="1">
        <f t="shared" si="14"/>
        <v>3114830000000</v>
      </c>
    </row>
    <row r="44" spans="1:46">
      <c r="A44" s="8">
        <v>0.0419727</v>
      </c>
      <c r="B44" s="1">
        <v>0.0425378</v>
      </c>
      <c r="C44" s="1">
        <v>20808400000000</v>
      </c>
      <c r="D44" s="1">
        <v>183149000</v>
      </c>
      <c r="E44" s="1">
        <v>0</v>
      </c>
      <c r="F44" s="1">
        <v>0</v>
      </c>
      <c r="G44" s="1">
        <v>2</v>
      </c>
      <c r="H44" s="1">
        <v>4875010000000</v>
      </c>
      <c r="I44" s="1">
        <v>4158880000000</v>
      </c>
      <c r="J44" s="1">
        <v>4117160000000</v>
      </c>
      <c r="K44" s="1">
        <v>4326740000000</v>
      </c>
      <c r="L44" s="1">
        <v>3330570000000</v>
      </c>
      <c r="N44" s="8">
        <v>0.0420166</v>
      </c>
      <c r="O44" s="1">
        <v>0.0425896</v>
      </c>
      <c r="P44" s="1">
        <v>21207400000000</v>
      </c>
      <c r="Q44" s="1">
        <v>135172000</v>
      </c>
      <c r="R44" s="1">
        <v>0</v>
      </c>
      <c r="S44" s="1">
        <v>0</v>
      </c>
      <c r="T44" s="1">
        <v>2</v>
      </c>
      <c r="U44" s="1">
        <v>5398970000000</v>
      </c>
      <c r="V44" s="1">
        <v>4196380000000</v>
      </c>
      <c r="W44" s="1">
        <v>4189880000000</v>
      </c>
      <c r="X44" s="1">
        <v>4033650000000</v>
      </c>
      <c r="Y44" s="1">
        <v>3388470000000</v>
      </c>
      <c r="AA44" s="8">
        <v>0.0419929</v>
      </c>
      <c r="AB44" s="1">
        <v>0.042543</v>
      </c>
      <c r="AC44" s="1">
        <v>20822000000000</v>
      </c>
      <c r="AD44" s="1">
        <v>204439000</v>
      </c>
      <c r="AE44" s="1">
        <v>0</v>
      </c>
      <c r="AF44" s="1">
        <v>0</v>
      </c>
      <c r="AG44" s="1">
        <v>2</v>
      </c>
      <c r="AH44" s="1">
        <v>4965950000000</v>
      </c>
      <c r="AI44" s="1">
        <v>3974380000000</v>
      </c>
      <c r="AJ44" s="1">
        <v>4158550000000</v>
      </c>
      <c r="AK44" s="1">
        <v>4294000000000</v>
      </c>
      <c r="AL44" s="1">
        <v>3428970000000</v>
      </c>
      <c r="AN44" s="1">
        <f t="shared" si="10"/>
        <v>0.0419727</v>
      </c>
      <c r="AO44" s="1">
        <f t="shared" si="11"/>
        <v>21007900000000</v>
      </c>
      <c r="AP44" s="1"/>
      <c r="AQ44" s="1"/>
      <c r="AR44" s="1">
        <f t="shared" si="12"/>
        <v>3359520000000</v>
      </c>
      <c r="AS44" s="1">
        <f t="shared" si="13"/>
        <v>3330570000000</v>
      </c>
      <c r="AT44" s="1">
        <f t="shared" si="14"/>
        <v>3388470000000</v>
      </c>
    </row>
    <row r="45" spans="1:46">
      <c r="A45" s="8">
        <v>0.0430128</v>
      </c>
      <c r="B45" s="1">
        <v>0.0435879</v>
      </c>
      <c r="C45" s="1">
        <v>20862900000000</v>
      </c>
      <c r="D45" s="1">
        <v>506172000</v>
      </c>
      <c r="E45" s="1">
        <v>0</v>
      </c>
      <c r="F45" s="1">
        <v>0</v>
      </c>
      <c r="G45" s="1">
        <v>2</v>
      </c>
      <c r="H45" s="1">
        <v>4718110000000</v>
      </c>
      <c r="I45" s="1">
        <v>4216260000000</v>
      </c>
      <c r="J45" s="1">
        <v>4029150000000</v>
      </c>
      <c r="K45" s="1">
        <v>4269150000000</v>
      </c>
      <c r="L45" s="1">
        <v>3630180000000</v>
      </c>
      <c r="N45" s="8">
        <v>0.0430365</v>
      </c>
      <c r="O45" s="1">
        <v>0.0435808</v>
      </c>
      <c r="P45" s="1">
        <v>20996300000000</v>
      </c>
      <c r="Q45" s="1">
        <v>167880000</v>
      </c>
      <c r="R45" s="1">
        <v>0</v>
      </c>
      <c r="S45" s="1">
        <v>0</v>
      </c>
      <c r="T45" s="1">
        <v>2</v>
      </c>
      <c r="U45" s="1">
        <v>5025040000000</v>
      </c>
      <c r="V45" s="1">
        <v>4247260000000</v>
      </c>
      <c r="W45" s="1">
        <v>4318720000000</v>
      </c>
      <c r="X45" s="1">
        <v>4051470000000</v>
      </c>
      <c r="Y45" s="1">
        <v>3353770000000</v>
      </c>
      <c r="AA45" s="8">
        <v>0.0430168</v>
      </c>
      <c r="AB45" s="1">
        <v>0.043554</v>
      </c>
      <c r="AC45" s="1">
        <v>21466500000000</v>
      </c>
      <c r="AD45" s="1">
        <v>170114000</v>
      </c>
      <c r="AE45" s="1">
        <v>0</v>
      </c>
      <c r="AF45" s="1">
        <v>0</v>
      </c>
      <c r="AG45" s="1">
        <v>2</v>
      </c>
      <c r="AH45" s="1">
        <v>4743730000000</v>
      </c>
      <c r="AI45" s="1">
        <v>4054540000000</v>
      </c>
      <c r="AJ45" s="1">
        <v>4267090000000</v>
      </c>
      <c r="AK45" s="1">
        <v>4347780000000</v>
      </c>
      <c r="AL45" s="1">
        <v>4053360000000</v>
      </c>
      <c r="AN45" s="1">
        <f t="shared" si="10"/>
        <v>0.0430128</v>
      </c>
      <c r="AO45" s="1">
        <f t="shared" si="11"/>
        <v>20929600000000</v>
      </c>
      <c r="AP45" s="1"/>
      <c r="AQ45" s="1"/>
      <c r="AR45" s="1">
        <f t="shared" si="12"/>
        <v>3491975000000</v>
      </c>
      <c r="AS45" s="1">
        <f t="shared" si="13"/>
        <v>3353770000000</v>
      </c>
      <c r="AT45" s="1">
        <f t="shared" si="14"/>
        <v>3630180000000</v>
      </c>
    </row>
    <row r="46" spans="1:46">
      <c r="A46" s="8">
        <v>0.0439973</v>
      </c>
      <c r="B46" s="1">
        <v>0.0445549</v>
      </c>
      <c r="C46" s="1">
        <v>20882400000000</v>
      </c>
      <c r="D46" s="1">
        <v>295675000</v>
      </c>
      <c r="E46" s="1">
        <v>0</v>
      </c>
      <c r="F46" s="1">
        <v>0</v>
      </c>
      <c r="G46" s="1">
        <v>2</v>
      </c>
      <c r="H46" s="1">
        <v>4839410000000</v>
      </c>
      <c r="I46" s="1">
        <v>4232040000000</v>
      </c>
      <c r="J46" s="1">
        <v>4130280000000</v>
      </c>
      <c r="K46" s="1">
        <v>4170400000000</v>
      </c>
      <c r="L46" s="1">
        <v>3510170000000</v>
      </c>
      <c r="N46" s="8">
        <v>0.0439993</v>
      </c>
      <c r="O46" s="1">
        <v>0.0445523</v>
      </c>
      <c r="P46" s="1">
        <v>21143400000000</v>
      </c>
      <c r="Q46" s="1">
        <v>236641000</v>
      </c>
      <c r="R46" s="1">
        <v>0</v>
      </c>
      <c r="S46" s="1">
        <v>0</v>
      </c>
      <c r="T46" s="1">
        <v>2</v>
      </c>
      <c r="U46" s="1">
        <v>5058480000000</v>
      </c>
      <c r="V46" s="1">
        <v>4217800000000</v>
      </c>
      <c r="W46" s="1">
        <v>4392050000000</v>
      </c>
      <c r="X46" s="1">
        <v>4244840000000</v>
      </c>
      <c r="Y46" s="1">
        <v>3230190000000</v>
      </c>
      <c r="AA46" s="8">
        <v>0.0438273</v>
      </c>
      <c r="AB46" s="1">
        <v>0.0443731</v>
      </c>
      <c r="AC46" s="1">
        <v>20831500000000</v>
      </c>
      <c r="AD46" s="1">
        <v>246859000</v>
      </c>
      <c r="AE46" s="1">
        <v>0</v>
      </c>
      <c r="AF46" s="1">
        <v>0</v>
      </c>
      <c r="AG46" s="1">
        <v>2</v>
      </c>
      <c r="AH46" s="1">
        <v>4921530000000</v>
      </c>
      <c r="AI46" s="1">
        <v>4066460000000</v>
      </c>
      <c r="AJ46" s="1">
        <v>4125570000000</v>
      </c>
      <c r="AK46" s="1">
        <v>4144290000000</v>
      </c>
      <c r="AL46" s="1">
        <v>3573520000000</v>
      </c>
      <c r="AN46" s="1">
        <f t="shared" si="10"/>
        <v>0.0439973</v>
      </c>
      <c r="AO46" s="1">
        <f t="shared" si="11"/>
        <v>21012900000000</v>
      </c>
      <c r="AP46" s="1"/>
      <c r="AQ46" s="1"/>
      <c r="AR46" s="1">
        <f t="shared" si="12"/>
        <v>3370180000000</v>
      </c>
      <c r="AS46" s="1">
        <f t="shared" si="13"/>
        <v>3230190000000</v>
      </c>
      <c r="AT46" s="1">
        <f t="shared" si="14"/>
        <v>3510170000000</v>
      </c>
    </row>
    <row r="47" spans="1:25">
      <c r="A47" s="8">
        <v>0.0450104</v>
      </c>
      <c r="B47" s="1">
        <v>0.0455514</v>
      </c>
      <c r="C47" s="1">
        <v>20681900000000</v>
      </c>
      <c r="D47" s="1">
        <v>307958000</v>
      </c>
      <c r="E47" s="1">
        <v>0</v>
      </c>
      <c r="F47" s="1">
        <v>0</v>
      </c>
      <c r="G47" s="1">
        <v>2</v>
      </c>
      <c r="H47" s="1">
        <v>4784300000000</v>
      </c>
      <c r="I47" s="1">
        <v>4046430000000</v>
      </c>
      <c r="J47" s="1">
        <v>3945270000000</v>
      </c>
      <c r="K47" s="1">
        <v>4479250000000</v>
      </c>
      <c r="L47" s="1">
        <v>3426630000000</v>
      </c>
      <c r="N47" s="8">
        <v>0.0449989</v>
      </c>
      <c r="O47" s="1">
        <v>0.045548</v>
      </c>
      <c r="P47" s="1">
        <v>20950500000000</v>
      </c>
      <c r="Q47" s="1">
        <v>225047000</v>
      </c>
      <c r="R47" s="1">
        <v>0</v>
      </c>
      <c r="S47" s="1">
        <v>0</v>
      </c>
      <c r="T47" s="1">
        <v>2</v>
      </c>
      <c r="U47" s="1">
        <v>4995770000000</v>
      </c>
      <c r="V47" s="1">
        <v>4183510000000</v>
      </c>
      <c r="W47" s="1">
        <v>4056550000000</v>
      </c>
      <c r="X47" s="1">
        <v>4266580000000</v>
      </c>
      <c r="Y47" s="1">
        <v>3447990000000</v>
      </c>
    </row>
    <row r="48" spans="1:12">
      <c r="A48" s="8">
        <v>0.0459809</v>
      </c>
      <c r="B48" s="1">
        <v>0.0465514</v>
      </c>
      <c r="C48" s="1">
        <v>21163400000000</v>
      </c>
      <c r="D48" s="1">
        <v>204260000</v>
      </c>
      <c r="E48" s="1">
        <v>0</v>
      </c>
      <c r="F48" s="1">
        <v>0</v>
      </c>
      <c r="G48" s="1">
        <v>2</v>
      </c>
      <c r="H48" s="1">
        <v>5009220000000</v>
      </c>
      <c r="I48" s="1">
        <v>4181610000000</v>
      </c>
      <c r="J48" s="1">
        <v>4404090000000</v>
      </c>
      <c r="K48" s="1">
        <v>4392050000000</v>
      </c>
      <c r="L48" s="1">
        <v>3176410000000</v>
      </c>
    </row>
    <row r="49" spans="1:12">
      <c r="A49" s="8">
        <v>0.0469965</v>
      </c>
      <c r="B49" s="1">
        <v>0.0475609</v>
      </c>
      <c r="C49" s="1">
        <v>20780700000000</v>
      </c>
      <c r="D49" s="1">
        <v>216798000</v>
      </c>
      <c r="E49" s="1">
        <v>0</v>
      </c>
      <c r="F49" s="1">
        <v>0</v>
      </c>
      <c r="G49" s="1">
        <v>2</v>
      </c>
      <c r="H49" s="1">
        <v>4956150000000</v>
      </c>
      <c r="I49" s="1">
        <v>4099290000000</v>
      </c>
      <c r="J49" s="1">
        <v>4016980000000</v>
      </c>
      <c r="K49" s="1">
        <v>4257630000000</v>
      </c>
      <c r="L49" s="1">
        <v>3450660000000</v>
      </c>
    </row>
    <row r="50" spans="1:12">
      <c r="A50" s="8">
        <v>0.0479956</v>
      </c>
      <c r="B50" s="1">
        <v>0.0485568</v>
      </c>
      <c r="C50" s="1">
        <v>20787700000000</v>
      </c>
      <c r="D50" s="1">
        <v>165996000</v>
      </c>
      <c r="E50" s="1">
        <v>0</v>
      </c>
      <c r="F50" s="1">
        <v>0</v>
      </c>
      <c r="G50" s="1">
        <v>2</v>
      </c>
      <c r="H50" s="1">
        <v>4979550000000</v>
      </c>
      <c r="I50" s="1">
        <v>4134570000000</v>
      </c>
      <c r="J50" s="1">
        <v>4170470000000</v>
      </c>
      <c r="K50" s="1">
        <v>4333910000000</v>
      </c>
      <c r="L50" s="1">
        <v>3168930000000</v>
      </c>
    </row>
    <row r="51" spans="1:12">
      <c r="A51" s="8">
        <v>0.0490005</v>
      </c>
      <c r="B51" s="1">
        <v>0.0495358</v>
      </c>
      <c r="C51" s="1">
        <v>20628800000000</v>
      </c>
      <c r="D51" s="1">
        <v>187455000</v>
      </c>
      <c r="E51" s="1">
        <v>0</v>
      </c>
      <c r="F51" s="1">
        <v>0</v>
      </c>
      <c r="G51" s="1">
        <v>2</v>
      </c>
      <c r="H51" s="1">
        <v>5029090000000</v>
      </c>
      <c r="I51" s="1">
        <v>4321350000000</v>
      </c>
      <c r="J51" s="1">
        <v>4326900000000</v>
      </c>
      <c r="K51" s="1">
        <v>4119680000000</v>
      </c>
      <c r="L51" s="1">
        <v>2831810000000</v>
      </c>
    </row>
  </sheetData>
  <mergeCells count="3">
    <mergeCell ref="A1:L1"/>
    <mergeCell ref="N1:Y1"/>
    <mergeCell ref="AA1:AL1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4"/>
  <sheetViews>
    <sheetView workbookViewId="0">
      <selection activeCell="N6" sqref="N6"/>
    </sheetView>
  </sheetViews>
  <sheetFormatPr defaultColWidth="9" defaultRowHeight="15"/>
  <sheetData>
    <row r="1" spans="1:20">
      <c r="A1" s="9" t="s">
        <v>0</v>
      </c>
      <c r="B1" s="9"/>
      <c r="D1" s="9" t="s">
        <v>1</v>
      </c>
      <c r="E1" s="9"/>
      <c r="G1" s="9" t="s">
        <v>2</v>
      </c>
      <c r="H1" s="9"/>
      <c r="K1" s="9" t="s">
        <v>3</v>
      </c>
      <c r="L1" s="9"/>
      <c r="O1" s="2"/>
      <c r="P1" s="2"/>
      <c r="T1" s="2"/>
    </row>
    <row r="2" spans="1:20">
      <c r="A2" s="10">
        <v>0.000217904</v>
      </c>
      <c r="B2" s="1">
        <v>90326800</v>
      </c>
      <c r="D2" s="6">
        <v>0.000175086</v>
      </c>
      <c r="E2" s="1">
        <v>82694600</v>
      </c>
      <c r="G2" s="6">
        <v>0.000201766</v>
      </c>
      <c r="H2" s="1">
        <v>84358500</v>
      </c>
      <c r="L2" t="s">
        <v>4</v>
      </c>
      <c r="M2" t="s">
        <v>5</v>
      </c>
      <c r="N2" t="s">
        <v>6</v>
      </c>
      <c r="O2" s="2" t="s">
        <v>7</v>
      </c>
      <c r="P2" s="2" t="s">
        <v>8</v>
      </c>
      <c r="Q2" t="s">
        <v>9</v>
      </c>
      <c r="R2" t="s">
        <v>10</v>
      </c>
      <c r="S2" t="s">
        <v>11</v>
      </c>
      <c r="T2" s="2" t="s">
        <v>12</v>
      </c>
    </row>
    <row r="3" spans="1:20">
      <c r="A3" s="10">
        <v>0.00101758</v>
      </c>
      <c r="B3" s="1">
        <v>111428000</v>
      </c>
      <c r="D3" s="6">
        <v>0.00101665</v>
      </c>
      <c r="E3" s="1">
        <v>104825000</v>
      </c>
      <c r="G3" s="6">
        <v>0.00101327</v>
      </c>
      <c r="H3" s="1">
        <v>114010000</v>
      </c>
      <c r="K3" t="s">
        <v>0</v>
      </c>
      <c r="L3">
        <v>132</v>
      </c>
      <c r="M3" s="1">
        <v>3740000000000</v>
      </c>
      <c r="N3" s="1">
        <v>22100000000000</v>
      </c>
      <c r="O3" s="2">
        <f>0.5*80.9*0.248*SQRT(M3)/1000000</f>
        <v>19.4001910973681</v>
      </c>
      <c r="P3" s="2">
        <f>0.05*80.9*0.248*SQRT(N3)/1000000</f>
        <v>4.71591907073902</v>
      </c>
      <c r="Q3">
        <f>SQRT(O3^2+P3^2)</f>
        <v>19.9651523233899</v>
      </c>
      <c r="R3">
        <f>L3*0.4395</f>
        <v>58.014</v>
      </c>
      <c r="S3">
        <f>R3/Q3</f>
        <v>2.90576295438701</v>
      </c>
      <c r="T3" s="2">
        <f>M3/N3</f>
        <v>0.169230769230769</v>
      </c>
    </row>
    <row r="4" spans="1:20">
      <c r="A4" s="10">
        <v>0.00196209</v>
      </c>
      <c r="B4" s="1">
        <v>113317000</v>
      </c>
      <c r="D4" s="6">
        <v>0.00199834</v>
      </c>
      <c r="E4" s="1">
        <v>113314000</v>
      </c>
      <c r="G4" s="6">
        <v>0.00200906</v>
      </c>
      <c r="H4" s="1">
        <v>118470000</v>
      </c>
      <c r="K4" t="s">
        <v>1</v>
      </c>
      <c r="L4">
        <v>127</v>
      </c>
      <c r="M4" s="1">
        <v>3240000000000</v>
      </c>
      <c r="N4" s="1">
        <v>21800000000000</v>
      </c>
      <c r="O4" s="2">
        <f t="shared" ref="O4:O5" si="0">0.5*80.9*0.248*SQRT(M4)/1000000</f>
        <v>18.05688</v>
      </c>
      <c r="P4" s="2">
        <f t="shared" ref="P4:P5" si="1">0.05*80.9*0.248*SQRT(N4)/1000000</f>
        <v>4.68380120052933</v>
      </c>
      <c r="Q4">
        <f t="shared" ref="Q4:Q5" si="2">SQRT(O4^2+P4^2)</f>
        <v>18.6544608343549</v>
      </c>
      <c r="R4">
        <f t="shared" ref="R4:R5" si="3">L4*0.4395</f>
        <v>55.8165</v>
      </c>
      <c r="S4">
        <f t="shared" ref="S4:S5" si="4">R4/Q4</f>
        <v>2.99212614589245</v>
      </c>
      <c r="T4" s="2">
        <f t="shared" ref="T4:T5" si="5">M4/N4</f>
        <v>0.148623853211009</v>
      </c>
    </row>
    <row r="5" spans="1:20">
      <c r="A5" s="10">
        <v>0.00300524</v>
      </c>
      <c r="B5" s="1">
        <v>112915000</v>
      </c>
      <c r="D5" s="6">
        <v>0.00299421</v>
      </c>
      <c r="E5" s="1">
        <v>119173000</v>
      </c>
      <c r="G5" s="6">
        <v>0.00298592</v>
      </c>
      <c r="H5" s="1">
        <v>116651000</v>
      </c>
      <c r="K5" t="s">
        <v>13</v>
      </c>
      <c r="L5">
        <v>125</v>
      </c>
      <c r="M5" s="1">
        <v>2600000000000</v>
      </c>
      <c r="N5" s="1">
        <v>21000000000000</v>
      </c>
      <c r="O5" s="2">
        <f t="shared" si="0"/>
        <v>16.1754689655663</v>
      </c>
      <c r="P5" s="2">
        <f t="shared" si="1"/>
        <v>4.5970566341519</v>
      </c>
      <c r="Q5">
        <f t="shared" si="2"/>
        <v>16.8160258668212</v>
      </c>
      <c r="R5">
        <f t="shared" si="3"/>
        <v>54.9375</v>
      </c>
      <c r="S5">
        <f t="shared" si="4"/>
        <v>3.26697285286616</v>
      </c>
      <c r="T5" s="2">
        <f t="shared" si="5"/>
        <v>0.123809523809524</v>
      </c>
    </row>
    <row r="6" spans="1:8">
      <c r="A6" s="10">
        <v>0.00401159</v>
      </c>
      <c r="B6" s="1">
        <v>115487000</v>
      </c>
      <c r="D6" s="6">
        <v>0.00400249</v>
      </c>
      <c r="E6" s="1">
        <v>120672000</v>
      </c>
      <c r="G6" s="6">
        <v>0.00400594</v>
      </c>
      <c r="H6" s="1">
        <v>122301000</v>
      </c>
    </row>
    <row r="7" spans="1:8">
      <c r="A7" s="10">
        <v>0.00504132</v>
      </c>
      <c r="B7" s="1">
        <v>116457000</v>
      </c>
      <c r="D7" s="6">
        <v>0.0049987</v>
      </c>
      <c r="E7" s="1">
        <v>121707000</v>
      </c>
      <c r="G7" s="6">
        <v>0.00503626</v>
      </c>
      <c r="H7" s="1">
        <v>119311000</v>
      </c>
    </row>
    <row r="8" spans="1:8">
      <c r="A8" s="10">
        <v>0.00596342</v>
      </c>
      <c r="B8" s="1">
        <v>124585000</v>
      </c>
      <c r="D8" s="6">
        <v>0.00600173</v>
      </c>
      <c r="E8" s="1">
        <v>120835000</v>
      </c>
      <c r="G8" s="6">
        <v>0.00599367</v>
      </c>
      <c r="H8" s="1">
        <v>130673000</v>
      </c>
    </row>
    <row r="9" spans="1:8">
      <c r="A9" s="10">
        <v>0.00698525</v>
      </c>
      <c r="B9" s="1">
        <v>125080000</v>
      </c>
      <c r="D9" s="6">
        <v>0.00695968</v>
      </c>
      <c r="E9" s="1">
        <v>119794000</v>
      </c>
      <c r="G9" s="6">
        <v>0.00701428</v>
      </c>
      <c r="H9" s="1">
        <v>128127000</v>
      </c>
    </row>
    <row r="10" spans="1:8">
      <c r="A10" s="10">
        <v>0.00802571</v>
      </c>
      <c r="B10" s="1">
        <v>118507000</v>
      </c>
      <c r="D10" s="6">
        <v>0.0079782</v>
      </c>
      <c r="E10" s="1">
        <v>130072000</v>
      </c>
      <c r="G10" s="6">
        <v>0.00798885</v>
      </c>
      <c r="H10" s="1">
        <v>133436000</v>
      </c>
    </row>
    <row r="11" spans="1:8">
      <c r="A11" s="10">
        <v>0.00902825</v>
      </c>
      <c r="B11" s="1">
        <v>126885000</v>
      </c>
      <c r="D11" s="6">
        <v>0.00898474</v>
      </c>
      <c r="E11" s="1">
        <v>131293000</v>
      </c>
      <c r="G11" s="6">
        <v>0.0090261</v>
      </c>
      <c r="H11" s="1">
        <v>127660000</v>
      </c>
    </row>
    <row r="12" spans="1:8">
      <c r="A12" s="10">
        <v>0.0099968</v>
      </c>
      <c r="B12" s="1">
        <v>130065000</v>
      </c>
      <c r="D12" s="6">
        <v>0.0100095</v>
      </c>
      <c r="E12" s="1">
        <v>126642000</v>
      </c>
      <c r="G12" s="6">
        <v>0.0100356</v>
      </c>
      <c r="H12" s="1">
        <v>126977000</v>
      </c>
    </row>
    <row r="13" spans="1:8">
      <c r="A13" s="10">
        <v>0.0110157</v>
      </c>
      <c r="B13" s="1">
        <v>122120000</v>
      </c>
      <c r="D13" s="6">
        <v>0.0109939</v>
      </c>
      <c r="E13" s="1">
        <v>127654000</v>
      </c>
      <c r="G13" s="6">
        <v>0.0110037</v>
      </c>
      <c r="H13" s="1">
        <v>118724000</v>
      </c>
    </row>
    <row r="14" spans="1:8">
      <c r="A14" s="10">
        <v>0.0119749</v>
      </c>
      <c r="B14" s="1">
        <v>127325000</v>
      </c>
      <c r="D14" s="6">
        <v>0.0120259</v>
      </c>
      <c r="E14" s="1">
        <v>129465000</v>
      </c>
      <c r="G14" s="6">
        <v>0.0119718</v>
      </c>
      <c r="H14" s="1">
        <v>129890000</v>
      </c>
    </row>
    <row r="15" spans="1:8">
      <c r="A15" s="10">
        <v>0.0129916</v>
      </c>
      <c r="B15" s="1">
        <v>125828000</v>
      </c>
      <c r="D15" s="6">
        <v>0.0129887</v>
      </c>
      <c r="E15" s="1">
        <v>128765000</v>
      </c>
      <c r="G15" s="6">
        <v>0.0129294</v>
      </c>
      <c r="H15" s="1">
        <v>130008000</v>
      </c>
    </row>
    <row r="16" spans="1:8">
      <c r="A16" s="10">
        <v>0.0139521</v>
      </c>
      <c r="B16" s="1">
        <v>134678000</v>
      </c>
      <c r="D16" s="6">
        <v>0.0140115</v>
      </c>
      <c r="E16" s="1">
        <v>122121000</v>
      </c>
      <c r="G16" s="6">
        <v>0.0140224</v>
      </c>
      <c r="H16" s="1">
        <v>126467000</v>
      </c>
    </row>
    <row r="17" spans="1:8">
      <c r="A17" s="10">
        <v>0.0149306</v>
      </c>
      <c r="B17" s="1">
        <v>124654000</v>
      </c>
      <c r="D17" s="6">
        <v>0.0149665</v>
      </c>
      <c r="E17" s="1">
        <v>135250000</v>
      </c>
      <c r="G17" s="6">
        <v>0.0149863</v>
      </c>
      <c r="H17" s="1">
        <v>133369000</v>
      </c>
    </row>
    <row r="18" spans="1:8">
      <c r="A18" s="10">
        <v>0.015946</v>
      </c>
      <c r="B18" s="1">
        <v>122023000</v>
      </c>
      <c r="D18" s="6">
        <v>0.0160528</v>
      </c>
      <c r="E18" s="1">
        <v>130217000</v>
      </c>
      <c r="G18" s="6">
        <v>0.0159872</v>
      </c>
      <c r="H18" s="1">
        <v>128484000</v>
      </c>
    </row>
    <row r="19" spans="1:8">
      <c r="A19" s="10">
        <v>0.0169864</v>
      </c>
      <c r="B19" s="1">
        <v>128375000</v>
      </c>
      <c r="D19" s="6">
        <v>0.0170052</v>
      </c>
      <c r="E19" s="1">
        <v>133412000</v>
      </c>
      <c r="G19" s="6">
        <v>0.0169936</v>
      </c>
      <c r="H19" s="1">
        <v>131165000</v>
      </c>
    </row>
    <row r="20" spans="1:8">
      <c r="A20" s="10">
        <v>0.0179802</v>
      </c>
      <c r="B20" s="1">
        <v>128052000</v>
      </c>
      <c r="D20" s="6">
        <v>0.0179631</v>
      </c>
      <c r="E20" s="1">
        <v>126354000</v>
      </c>
      <c r="G20" s="6">
        <v>0.0180103</v>
      </c>
      <c r="H20" s="1">
        <v>124417000</v>
      </c>
    </row>
    <row r="21" spans="1:8">
      <c r="A21" s="10">
        <v>0.0189682</v>
      </c>
      <c r="B21" s="1">
        <v>131321000</v>
      </c>
      <c r="D21" s="6">
        <v>0.0189966</v>
      </c>
      <c r="E21" s="1">
        <v>124787000</v>
      </c>
      <c r="G21" s="6">
        <v>0.0189968</v>
      </c>
      <c r="H21" s="1">
        <v>131981000</v>
      </c>
    </row>
    <row r="22" spans="1:8">
      <c r="A22" s="10">
        <v>0.0199771</v>
      </c>
      <c r="B22" s="1">
        <v>128120000</v>
      </c>
      <c r="D22" s="6">
        <v>0.0199959</v>
      </c>
      <c r="E22" s="1">
        <v>122898000</v>
      </c>
      <c r="G22" s="6">
        <v>0.0200332</v>
      </c>
      <c r="H22" s="1">
        <v>128607000</v>
      </c>
    </row>
    <row r="23" spans="1:8">
      <c r="A23" s="10">
        <v>0.0210135</v>
      </c>
      <c r="B23" s="1">
        <v>130820000</v>
      </c>
      <c r="D23" s="6">
        <v>0.0209982</v>
      </c>
      <c r="E23" s="1">
        <v>129465000</v>
      </c>
      <c r="G23" s="6">
        <v>0.0210027</v>
      </c>
      <c r="H23" s="1">
        <v>128326000</v>
      </c>
    </row>
    <row r="24" spans="1:8">
      <c r="A24" s="10">
        <v>0.0220177</v>
      </c>
      <c r="B24" s="1">
        <v>124693000</v>
      </c>
      <c r="D24" s="6">
        <v>0.0219837</v>
      </c>
      <c r="E24" s="1">
        <v>130749000</v>
      </c>
      <c r="G24" s="6">
        <v>0.0220103</v>
      </c>
      <c r="H24" s="1">
        <v>122665000</v>
      </c>
    </row>
    <row r="25" spans="1:8">
      <c r="A25" s="10">
        <v>0.0229958</v>
      </c>
      <c r="B25" s="1">
        <v>130670000</v>
      </c>
      <c r="D25" s="6">
        <v>0.0229522</v>
      </c>
      <c r="E25" s="1">
        <v>133640000</v>
      </c>
      <c r="G25" s="6">
        <v>0.0229631</v>
      </c>
      <c r="H25" s="1">
        <v>134435000</v>
      </c>
    </row>
    <row r="26" spans="1:8">
      <c r="A26" s="10">
        <v>0.0239792</v>
      </c>
      <c r="B26" s="1">
        <v>125688000</v>
      </c>
      <c r="D26" s="6">
        <v>0.0239638</v>
      </c>
      <c r="E26" s="1">
        <v>131541000</v>
      </c>
      <c r="G26" s="6">
        <v>0.0239898</v>
      </c>
      <c r="H26" s="1">
        <v>129812000</v>
      </c>
    </row>
    <row r="27" spans="1:8">
      <c r="A27" s="10">
        <v>0.0250385</v>
      </c>
      <c r="B27" s="1">
        <v>125498000</v>
      </c>
      <c r="D27" s="6">
        <v>0.0250094</v>
      </c>
      <c r="E27" s="1">
        <v>132391000</v>
      </c>
      <c r="G27" s="6">
        <v>0.0249757</v>
      </c>
      <c r="H27" s="1">
        <v>125271000</v>
      </c>
    </row>
    <row r="28" spans="1:8">
      <c r="A28" s="10">
        <v>0.0259711</v>
      </c>
      <c r="B28" s="1">
        <v>137847000</v>
      </c>
      <c r="D28" s="6">
        <v>0.0259819</v>
      </c>
      <c r="E28" s="1">
        <v>135671000</v>
      </c>
      <c r="G28" s="6">
        <v>0.0260048</v>
      </c>
      <c r="H28" s="1">
        <v>129724000</v>
      </c>
    </row>
    <row r="29" spans="1:8">
      <c r="A29" s="10">
        <v>0.0270411</v>
      </c>
      <c r="B29" s="1">
        <v>131923000</v>
      </c>
      <c r="D29" s="6">
        <v>0.0269778</v>
      </c>
      <c r="E29" s="1">
        <v>123121000</v>
      </c>
      <c r="G29" s="6">
        <v>0.0269939</v>
      </c>
      <c r="H29" s="1">
        <v>122311000</v>
      </c>
    </row>
    <row r="30" spans="1:8">
      <c r="A30" s="10">
        <v>0.0279846</v>
      </c>
      <c r="B30" s="1">
        <v>128094000</v>
      </c>
      <c r="D30" s="6">
        <v>0.0280116</v>
      </c>
      <c r="E30" s="1">
        <v>121947000</v>
      </c>
      <c r="G30" s="6">
        <v>0.027993</v>
      </c>
      <c r="H30" s="1">
        <v>123593000</v>
      </c>
    </row>
    <row r="31" spans="1:8">
      <c r="A31" s="10">
        <v>0.0289733</v>
      </c>
      <c r="B31" s="1">
        <v>132977000</v>
      </c>
      <c r="D31" s="6">
        <v>0.0290093</v>
      </c>
      <c r="E31" s="1">
        <v>128681000</v>
      </c>
      <c r="G31" s="6">
        <v>0.0289668</v>
      </c>
      <c r="H31" s="1">
        <v>121766000</v>
      </c>
    </row>
    <row r="32" spans="1:8">
      <c r="A32" s="10">
        <v>0.029997</v>
      </c>
      <c r="B32" s="1">
        <v>130294000</v>
      </c>
      <c r="D32" s="6">
        <v>0.0299846</v>
      </c>
      <c r="E32" s="1">
        <v>124741000</v>
      </c>
      <c r="G32" s="6">
        <v>0.0299921</v>
      </c>
      <c r="H32" s="1">
        <v>126276000</v>
      </c>
    </row>
    <row r="33" spans="1:8">
      <c r="A33" s="10">
        <v>0.031047</v>
      </c>
      <c r="B33" s="1">
        <v>122272000</v>
      </c>
      <c r="D33" s="6">
        <v>0.0310264</v>
      </c>
      <c r="E33" s="1">
        <v>127375000</v>
      </c>
      <c r="G33" s="6">
        <v>0.0310002</v>
      </c>
      <c r="H33" s="1">
        <v>128585000</v>
      </c>
    </row>
    <row r="34" spans="1:8">
      <c r="A34" s="10">
        <v>0.0320034</v>
      </c>
      <c r="B34" s="1">
        <v>131233000</v>
      </c>
      <c r="D34" s="6">
        <v>0.0319747</v>
      </c>
      <c r="E34" s="1">
        <v>128884000</v>
      </c>
      <c r="G34" s="6">
        <v>0.032014</v>
      </c>
      <c r="H34" s="1">
        <v>119296000</v>
      </c>
    </row>
    <row r="35" spans="1:8">
      <c r="A35" s="10">
        <v>0.0330218</v>
      </c>
      <c r="B35" s="1">
        <v>131994000</v>
      </c>
      <c r="D35" s="6">
        <v>0.0329793</v>
      </c>
      <c r="E35" s="1">
        <v>126335000</v>
      </c>
      <c r="G35" s="6">
        <v>0.0330115</v>
      </c>
      <c r="H35" s="1">
        <v>125378000</v>
      </c>
    </row>
    <row r="36" spans="1:8">
      <c r="A36" s="10">
        <v>0.0339396</v>
      </c>
      <c r="B36" s="1">
        <v>136006000</v>
      </c>
      <c r="D36" s="6">
        <v>0.0340092</v>
      </c>
      <c r="E36" s="1">
        <v>122284000</v>
      </c>
      <c r="G36" s="6">
        <v>0.034001</v>
      </c>
      <c r="H36" s="1">
        <v>124565000</v>
      </c>
    </row>
    <row r="37" spans="1:8">
      <c r="A37" s="10">
        <v>0.0349819</v>
      </c>
      <c r="B37" s="1">
        <v>125163000</v>
      </c>
      <c r="D37" s="6">
        <v>0.0349888</v>
      </c>
      <c r="E37" s="1">
        <v>130626000</v>
      </c>
      <c r="G37" s="6">
        <v>0.0349605</v>
      </c>
      <c r="H37" s="1">
        <v>120475000</v>
      </c>
    </row>
    <row r="38" spans="1:8">
      <c r="A38" s="10">
        <v>0.0360416</v>
      </c>
      <c r="B38" s="1">
        <v>117386000</v>
      </c>
      <c r="D38" s="6">
        <v>0.0359777</v>
      </c>
      <c r="E38" s="1">
        <v>128717000</v>
      </c>
      <c r="G38" s="6">
        <v>0.0359784</v>
      </c>
      <c r="H38" s="1">
        <v>129784000</v>
      </c>
    </row>
    <row r="39" spans="1:8">
      <c r="A39" s="10">
        <v>0.0370234</v>
      </c>
      <c r="B39" s="1">
        <v>122859000</v>
      </c>
      <c r="D39" s="6">
        <v>0.036991</v>
      </c>
      <c r="E39" s="1">
        <v>127882000</v>
      </c>
      <c r="G39" s="6">
        <v>0.0370149</v>
      </c>
      <c r="H39" s="1">
        <v>124247000</v>
      </c>
    </row>
    <row r="40" spans="1:8">
      <c r="A40" s="10">
        <v>0.0380057</v>
      </c>
      <c r="B40" s="1">
        <v>130844000</v>
      </c>
      <c r="D40" s="6">
        <v>0.0379897</v>
      </c>
      <c r="E40" s="1">
        <v>127748000</v>
      </c>
      <c r="G40" s="6">
        <v>0.0379843</v>
      </c>
      <c r="H40" s="1">
        <v>130545000</v>
      </c>
    </row>
    <row r="41" spans="1:8">
      <c r="A41" s="10">
        <v>0.0389997</v>
      </c>
      <c r="B41" s="1">
        <v>129925000</v>
      </c>
      <c r="D41" s="6">
        <v>0.0389835</v>
      </c>
      <c r="E41" s="1">
        <v>132483000</v>
      </c>
      <c r="G41" s="6">
        <v>0.039027</v>
      </c>
      <c r="H41" s="1">
        <v>123470000</v>
      </c>
    </row>
    <row r="42" spans="1:8">
      <c r="A42" s="10">
        <v>0.039973</v>
      </c>
      <c r="B42" s="1">
        <v>130788000</v>
      </c>
      <c r="D42" s="6">
        <v>0.040029</v>
      </c>
      <c r="E42" s="1">
        <v>129482000</v>
      </c>
      <c r="G42" s="6">
        <v>0.0399922</v>
      </c>
      <c r="H42" s="1">
        <v>126097000</v>
      </c>
    </row>
    <row r="43" spans="1:8">
      <c r="A43" s="10">
        <v>0.041052</v>
      </c>
      <c r="B43" s="1">
        <v>122565000</v>
      </c>
      <c r="D43" s="6">
        <v>0.0410344</v>
      </c>
      <c r="E43" s="1">
        <v>128474000</v>
      </c>
      <c r="G43" s="6">
        <v>0.0409619</v>
      </c>
      <c r="H43" s="1">
        <v>126346000</v>
      </c>
    </row>
    <row r="44" spans="1:8">
      <c r="A44" s="10">
        <v>0.0420071</v>
      </c>
      <c r="B44" s="1">
        <v>126428000</v>
      </c>
      <c r="D44" s="6">
        <v>0.0420208</v>
      </c>
      <c r="E44" s="1">
        <v>126850000</v>
      </c>
      <c r="G44" s="6">
        <v>0.0419776</v>
      </c>
      <c r="H44" s="1">
        <v>126995000</v>
      </c>
    </row>
    <row r="45" spans="1:8">
      <c r="A45" s="10">
        <v>0.0430071</v>
      </c>
      <c r="B45" s="1">
        <v>128064000</v>
      </c>
      <c r="D45" s="6">
        <v>0.0431318</v>
      </c>
      <c r="E45" s="1">
        <v>119222000</v>
      </c>
      <c r="G45" s="6">
        <v>0.0429734</v>
      </c>
      <c r="H45" s="1">
        <v>128083000</v>
      </c>
    </row>
    <row r="46" spans="1:8">
      <c r="A46" s="10">
        <v>0.0439914</v>
      </c>
      <c r="B46" s="1">
        <v>128200000</v>
      </c>
      <c r="D46" s="6">
        <v>0.0440071</v>
      </c>
      <c r="E46" s="1">
        <v>124213000</v>
      </c>
      <c r="G46" s="6">
        <v>0.0439864</v>
      </c>
      <c r="H46" s="1">
        <v>122219000</v>
      </c>
    </row>
    <row r="47" spans="1:8">
      <c r="A47" s="10">
        <v>0.0449964</v>
      </c>
      <c r="B47" s="1">
        <v>125904000</v>
      </c>
      <c r="D47" s="6">
        <v>0.0450232</v>
      </c>
      <c r="E47" s="1">
        <v>123904000</v>
      </c>
      <c r="G47" s="6">
        <v>0.0450186</v>
      </c>
      <c r="H47" s="1">
        <v>128849000</v>
      </c>
    </row>
    <row r="48" spans="1:8">
      <c r="A48" s="10">
        <v>0.0460202</v>
      </c>
      <c r="B48" s="1">
        <v>131199000</v>
      </c>
      <c r="D48" s="6">
        <v>0.0459282</v>
      </c>
      <c r="E48" s="1">
        <v>141083000</v>
      </c>
      <c r="G48" s="6">
        <v>0.0459678</v>
      </c>
      <c r="H48" s="1">
        <v>130905000</v>
      </c>
    </row>
    <row r="49" spans="1:8">
      <c r="A49" s="10">
        <v>0.0469954</v>
      </c>
      <c r="B49" s="1">
        <v>122718000</v>
      </c>
      <c r="D49" s="6">
        <v>0.0470013</v>
      </c>
      <c r="E49" s="1">
        <v>123725000</v>
      </c>
      <c r="G49" s="6">
        <v>0.0469694</v>
      </c>
      <c r="H49" s="1">
        <v>129124000</v>
      </c>
    </row>
    <row r="50" spans="1:8">
      <c r="A50" s="10">
        <v>0.0479895</v>
      </c>
      <c r="B50" s="1">
        <v>127844000</v>
      </c>
      <c r="D50" s="6">
        <v>0.0479489</v>
      </c>
      <c r="E50" s="1">
        <v>126511000</v>
      </c>
      <c r="G50" s="6">
        <v>0.0480004</v>
      </c>
      <c r="H50" s="1">
        <v>136070000</v>
      </c>
    </row>
    <row r="51" spans="1:2">
      <c r="A51" s="10">
        <v>0.0490416</v>
      </c>
      <c r="B51" s="1">
        <v>125591000</v>
      </c>
    </row>
    <row r="52" spans="1:2">
      <c r="A52" s="10">
        <v>0.0499931</v>
      </c>
      <c r="B52" s="1">
        <v>131528000</v>
      </c>
    </row>
    <row r="53" spans="1:2">
      <c r="A53" s="10">
        <v>0.050997</v>
      </c>
      <c r="B53" s="1">
        <v>127550000</v>
      </c>
    </row>
    <row r="54" spans="1:2">
      <c r="A54" s="10">
        <v>0.051779</v>
      </c>
      <c r="B54" s="1">
        <v>127654000</v>
      </c>
    </row>
  </sheetData>
  <mergeCells count="4">
    <mergeCell ref="A1:B1"/>
    <mergeCell ref="D1:E1"/>
    <mergeCell ref="G1:H1"/>
    <mergeCell ref="K1:L1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4"/>
  <sheetViews>
    <sheetView topLeftCell="Q1" workbookViewId="0">
      <selection activeCell="AL28" sqref="AL28:AL32"/>
    </sheetView>
  </sheetViews>
  <sheetFormatPr defaultColWidth="9" defaultRowHeight="15"/>
  <sheetData>
    <row r="1" spans="1:46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16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0.000217904</v>
      </c>
      <c r="B2" s="1">
        <v>0.000639524</v>
      </c>
      <c r="C2" s="1">
        <v>19904600000000</v>
      </c>
      <c r="D2" s="1">
        <v>4280180000</v>
      </c>
      <c r="E2" s="1">
        <v>0</v>
      </c>
      <c r="F2" s="1">
        <v>0</v>
      </c>
      <c r="G2" s="1">
        <v>2</v>
      </c>
      <c r="H2" s="1">
        <v>5377250000000</v>
      </c>
      <c r="I2" s="1">
        <v>4617790000000</v>
      </c>
      <c r="J2" s="1">
        <v>4609950000000</v>
      </c>
      <c r="K2" s="1">
        <v>4687510000000</v>
      </c>
      <c r="L2" s="1">
        <v>612113000000</v>
      </c>
      <c r="N2" s="8">
        <v>0.000175086</v>
      </c>
      <c r="O2" s="1">
        <v>0.00056108</v>
      </c>
      <c r="P2" s="1">
        <v>19852200000000</v>
      </c>
      <c r="Q2" s="1">
        <v>663674000</v>
      </c>
      <c r="R2" s="1">
        <v>0</v>
      </c>
      <c r="S2" s="1">
        <v>0</v>
      </c>
      <c r="T2" s="1">
        <v>2</v>
      </c>
      <c r="U2" s="1">
        <v>5445280000000</v>
      </c>
      <c r="V2" s="1">
        <v>4656240000000</v>
      </c>
      <c r="W2" s="1">
        <v>4683930000000</v>
      </c>
      <c r="X2" s="1">
        <v>4669700000000</v>
      </c>
      <c r="Y2" s="1">
        <v>397010000000</v>
      </c>
      <c r="AA2" s="8">
        <v>0.000201766</v>
      </c>
      <c r="AB2" s="1">
        <v>0.000595527</v>
      </c>
      <c r="AC2" s="1">
        <v>19706200000000</v>
      </c>
      <c r="AD2" s="1">
        <v>2408710000</v>
      </c>
      <c r="AE2" s="1">
        <v>0</v>
      </c>
      <c r="AF2" s="1">
        <v>0</v>
      </c>
      <c r="AG2" s="1">
        <v>2</v>
      </c>
      <c r="AH2" s="1">
        <v>4827900000000</v>
      </c>
      <c r="AI2" s="1">
        <v>4837060000000</v>
      </c>
      <c r="AJ2" s="1">
        <v>4830900000000</v>
      </c>
      <c r="AK2" s="1">
        <v>4851320000000</v>
      </c>
      <c r="AL2" s="1">
        <v>359082000000</v>
      </c>
      <c r="AN2" s="1">
        <f>A2</f>
        <v>0.000217904</v>
      </c>
      <c r="AO2" s="1">
        <f>AVERAGE(C2,P2,AC2)</f>
        <v>19821000000000</v>
      </c>
      <c r="AP2" s="1"/>
      <c r="AQ2" s="1"/>
      <c r="AR2" s="1">
        <f>AVERAGE(L2,Y2,AL2)</f>
        <v>456068333333.333</v>
      </c>
      <c r="AS2" s="1">
        <f>MIN(L2,Y2,AL2)</f>
        <v>359082000000</v>
      </c>
      <c r="AT2" s="1">
        <f>MAX(L2,Y2,AL2)</f>
        <v>612113000000</v>
      </c>
    </row>
    <row r="3" spans="1:46">
      <c r="A3" s="8">
        <v>0.00101758</v>
      </c>
      <c r="B3" s="1">
        <v>0.00153769</v>
      </c>
      <c r="C3" s="1">
        <v>20254800000000</v>
      </c>
      <c r="D3" s="1">
        <v>270106000</v>
      </c>
      <c r="E3" s="1">
        <v>0</v>
      </c>
      <c r="F3" s="1">
        <v>0</v>
      </c>
      <c r="G3" s="1">
        <v>2</v>
      </c>
      <c r="H3" s="1">
        <v>5458810000000</v>
      </c>
      <c r="I3" s="1">
        <v>4705650000000</v>
      </c>
      <c r="J3" s="1">
        <v>4631080000000</v>
      </c>
      <c r="K3" s="1">
        <v>4753790000000</v>
      </c>
      <c r="L3" s="1">
        <v>705491000000</v>
      </c>
      <c r="N3" s="8">
        <v>0.00101665</v>
      </c>
      <c r="O3" s="1">
        <v>0.00150593</v>
      </c>
      <c r="P3" s="1">
        <v>19990500000000</v>
      </c>
      <c r="Q3" s="1">
        <v>177925000</v>
      </c>
      <c r="R3" s="1">
        <v>0</v>
      </c>
      <c r="S3" s="1">
        <v>0</v>
      </c>
      <c r="T3" s="1">
        <v>2</v>
      </c>
      <c r="U3" s="1">
        <v>5461810000000</v>
      </c>
      <c r="V3" s="1">
        <v>4679510000000</v>
      </c>
      <c r="W3" s="1">
        <v>4669510000000</v>
      </c>
      <c r="X3" s="1">
        <v>4631980000000</v>
      </c>
      <c r="Y3" s="1">
        <v>547659000000</v>
      </c>
      <c r="AA3" s="8">
        <v>0.00101327</v>
      </c>
      <c r="AB3" s="1">
        <v>0.00154543</v>
      </c>
      <c r="AC3" s="1">
        <v>20008400000000</v>
      </c>
      <c r="AD3" s="1">
        <v>247120000</v>
      </c>
      <c r="AE3" s="1">
        <v>0</v>
      </c>
      <c r="AF3" s="1">
        <v>0</v>
      </c>
      <c r="AG3" s="1">
        <v>2</v>
      </c>
      <c r="AH3" s="1">
        <v>4850700000000</v>
      </c>
      <c r="AI3" s="1">
        <v>4841230000000</v>
      </c>
      <c r="AJ3" s="1">
        <v>4859280000000</v>
      </c>
      <c r="AK3" s="1">
        <v>4842280000000</v>
      </c>
      <c r="AL3" s="1">
        <v>614873000000</v>
      </c>
      <c r="AN3" s="1">
        <f t="shared" ref="AN3:AN32" si="0">A3</f>
        <v>0.00101758</v>
      </c>
      <c r="AO3" s="1">
        <f t="shared" ref="AO3:AO32" si="1">AVERAGE(C3,P3,AC3)</f>
        <v>20084566666666.7</v>
      </c>
      <c r="AP3" s="1"/>
      <c r="AQ3" s="1"/>
      <c r="AR3" s="1">
        <f t="shared" ref="AR3:AR32" si="2">AVERAGE(L3,Y3,AL3)</f>
        <v>622674333333.333</v>
      </c>
      <c r="AS3" s="1">
        <f t="shared" ref="AS3:AS32" si="3">MIN(L3,Y3,AL3)</f>
        <v>547659000000</v>
      </c>
      <c r="AT3" s="1">
        <f t="shared" ref="AT3:AT32" si="4">MAX(L3,Y3,AL3)</f>
        <v>705491000000</v>
      </c>
    </row>
    <row r="4" spans="1:46">
      <c r="A4" s="8">
        <v>0.00196209</v>
      </c>
      <c r="B4" s="1">
        <v>0.00249102</v>
      </c>
      <c r="C4" s="1">
        <v>20200000000000</v>
      </c>
      <c r="D4" s="1">
        <v>190054000</v>
      </c>
      <c r="E4" s="1">
        <v>0</v>
      </c>
      <c r="F4" s="1">
        <v>0</v>
      </c>
      <c r="G4" s="1">
        <v>2</v>
      </c>
      <c r="H4" s="1">
        <v>5373500000000</v>
      </c>
      <c r="I4" s="1">
        <v>4740720000000</v>
      </c>
      <c r="J4" s="1">
        <v>4590100000000</v>
      </c>
      <c r="K4" s="1">
        <v>4677140000000</v>
      </c>
      <c r="L4" s="1">
        <v>818507000000</v>
      </c>
      <c r="N4" s="8">
        <v>0.00199834</v>
      </c>
      <c r="O4" s="1">
        <v>0.00252725</v>
      </c>
      <c r="P4" s="1">
        <v>20302800000000</v>
      </c>
      <c r="Q4" s="1">
        <v>334857000</v>
      </c>
      <c r="R4" s="1">
        <v>0</v>
      </c>
      <c r="S4" s="1">
        <v>0</v>
      </c>
      <c r="T4" s="1">
        <v>2</v>
      </c>
      <c r="U4" s="1">
        <v>5407460000000</v>
      </c>
      <c r="V4" s="1">
        <v>4632740000000</v>
      </c>
      <c r="W4" s="1">
        <v>4657280000000</v>
      </c>
      <c r="X4" s="1">
        <v>4648140000000</v>
      </c>
      <c r="Y4" s="1">
        <v>957163000000</v>
      </c>
      <c r="AA4" s="8">
        <v>0.00200906</v>
      </c>
      <c r="AB4" s="1">
        <v>0.00256204</v>
      </c>
      <c r="AC4" s="1">
        <v>20306000000000</v>
      </c>
      <c r="AD4" s="1">
        <v>203758000</v>
      </c>
      <c r="AE4" s="1">
        <v>0</v>
      </c>
      <c r="AF4" s="1">
        <v>0</v>
      </c>
      <c r="AG4" s="1">
        <v>2</v>
      </c>
      <c r="AH4" s="1">
        <v>4739580000000</v>
      </c>
      <c r="AI4" s="1">
        <v>4689160000000</v>
      </c>
      <c r="AJ4" s="1">
        <v>4775670000000</v>
      </c>
      <c r="AK4" s="1">
        <v>4736900000000</v>
      </c>
      <c r="AL4" s="1">
        <v>1364650000000</v>
      </c>
      <c r="AN4" s="1">
        <f t="shared" si="0"/>
        <v>0.00196209</v>
      </c>
      <c r="AO4" s="1">
        <f t="shared" si="1"/>
        <v>20269600000000</v>
      </c>
      <c r="AP4" s="1"/>
      <c r="AQ4" s="1"/>
      <c r="AR4" s="1">
        <f t="shared" si="2"/>
        <v>1046773333333.33</v>
      </c>
      <c r="AS4" s="1">
        <f t="shared" si="3"/>
        <v>818507000000</v>
      </c>
      <c r="AT4" s="1">
        <f t="shared" si="4"/>
        <v>1364650000000</v>
      </c>
    </row>
    <row r="5" spans="1:46">
      <c r="A5" s="8">
        <v>0.00300524</v>
      </c>
      <c r="B5" s="1">
        <v>0.0035323</v>
      </c>
      <c r="C5" s="1">
        <v>20351100000000</v>
      </c>
      <c r="D5" s="1">
        <v>269403000</v>
      </c>
      <c r="E5" s="1">
        <v>0</v>
      </c>
      <c r="F5" s="1">
        <v>0</v>
      </c>
      <c r="G5" s="1">
        <v>2</v>
      </c>
      <c r="H5" s="1">
        <v>5369140000000</v>
      </c>
      <c r="I5" s="1">
        <v>4681610000000</v>
      </c>
      <c r="J5" s="1">
        <v>4590580000000</v>
      </c>
      <c r="K5" s="1">
        <v>4701990000000</v>
      </c>
      <c r="L5" s="1">
        <v>1007750000000</v>
      </c>
      <c r="N5" s="8">
        <v>0.00299421</v>
      </c>
      <c r="O5" s="1">
        <v>0.00355047</v>
      </c>
      <c r="P5" s="1">
        <v>20501600000000</v>
      </c>
      <c r="Q5" s="1">
        <v>205711000</v>
      </c>
      <c r="R5" s="1">
        <v>0</v>
      </c>
      <c r="S5" s="1">
        <v>0</v>
      </c>
      <c r="T5" s="1">
        <v>2</v>
      </c>
      <c r="U5" s="1">
        <v>5395630000000</v>
      </c>
      <c r="V5" s="1">
        <v>4609970000000</v>
      </c>
      <c r="W5" s="1">
        <v>4556190000000</v>
      </c>
      <c r="X5" s="1">
        <v>4765200000000</v>
      </c>
      <c r="Y5" s="1">
        <v>1174610000000</v>
      </c>
      <c r="AA5" s="8">
        <v>0.00298592</v>
      </c>
      <c r="AB5" s="1">
        <v>0.00353041</v>
      </c>
      <c r="AC5" s="1">
        <v>20616900000000</v>
      </c>
      <c r="AD5" s="1">
        <v>226545000</v>
      </c>
      <c r="AE5" s="1">
        <v>0</v>
      </c>
      <c r="AF5" s="1">
        <v>0</v>
      </c>
      <c r="AG5" s="1">
        <v>2</v>
      </c>
      <c r="AH5" s="1">
        <v>4644360000000</v>
      </c>
      <c r="AI5" s="1">
        <v>4677400000000</v>
      </c>
      <c r="AJ5" s="1">
        <v>4787740000000</v>
      </c>
      <c r="AK5" s="1">
        <v>4784340000000</v>
      </c>
      <c r="AL5" s="1">
        <v>1723010000000</v>
      </c>
      <c r="AN5" s="1">
        <f t="shared" si="0"/>
        <v>0.00300524</v>
      </c>
      <c r="AO5" s="1">
        <f t="shared" si="1"/>
        <v>20489866666666.7</v>
      </c>
      <c r="AP5" s="1"/>
      <c r="AQ5" s="1"/>
      <c r="AR5" s="1">
        <f t="shared" si="2"/>
        <v>1301790000000</v>
      </c>
      <c r="AS5" s="1">
        <f t="shared" si="3"/>
        <v>1007750000000</v>
      </c>
      <c r="AT5" s="1">
        <f t="shared" si="4"/>
        <v>1723010000000</v>
      </c>
    </row>
    <row r="6" spans="1:46">
      <c r="A6" s="8">
        <v>0.00401159</v>
      </c>
      <c r="B6" s="1">
        <v>0.00455065</v>
      </c>
      <c r="C6" s="1">
        <v>20933300000000</v>
      </c>
      <c r="D6" s="1">
        <v>798069000</v>
      </c>
      <c r="E6" s="1">
        <v>0</v>
      </c>
      <c r="F6" s="1">
        <v>0</v>
      </c>
      <c r="G6" s="1">
        <v>2</v>
      </c>
      <c r="H6" s="1">
        <v>5470610000000</v>
      </c>
      <c r="I6" s="1">
        <v>4731050000000</v>
      </c>
      <c r="J6" s="1">
        <v>4561530000000</v>
      </c>
      <c r="K6" s="1">
        <v>4700260000000</v>
      </c>
      <c r="L6" s="1">
        <v>1469790000000</v>
      </c>
      <c r="N6" s="8">
        <v>0.00400249</v>
      </c>
      <c r="O6" s="1">
        <v>0.00456574</v>
      </c>
      <c r="P6" s="1">
        <v>20617700000000</v>
      </c>
      <c r="Q6" s="1">
        <v>252612000</v>
      </c>
      <c r="R6" s="1">
        <v>0</v>
      </c>
      <c r="S6" s="1">
        <v>0</v>
      </c>
      <c r="T6" s="1">
        <v>2</v>
      </c>
      <c r="U6" s="1">
        <v>5339000000000</v>
      </c>
      <c r="V6" s="1">
        <v>4599080000000</v>
      </c>
      <c r="W6" s="1">
        <v>4339350000000</v>
      </c>
      <c r="X6" s="1">
        <v>4421680000000</v>
      </c>
      <c r="Y6" s="1">
        <v>1918470000000</v>
      </c>
      <c r="AA6" s="8">
        <v>0.00400594</v>
      </c>
      <c r="AB6" s="1">
        <v>0.0045768</v>
      </c>
      <c r="AC6" s="1">
        <v>20826000000000</v>
      </c>
      <c r="AD6" s="1">
        <v>201766000</v>
      </c>
      <c r="AE6" s="1">
        <v>0</v>
      </c>
      <c r="AF6" s="1">
        <v>0</v>
      </c>
      <c r="AG6" s="1">
        <v>2</v>
      </c>
      <c r="AH6" s="1">
        <v>4829960000000</v>
      </c>
      <c r="AI6" s="1">
        <v>4620970000000</v>
      </c>
      <c r="AJ6" s="1">
        <v>4505710000000</v>
      </c>
      <c r="AK6" s="1">
        <v>4626360000000</v>
      </c>
      <c r="AL6" s="1">
        <v>2243010000000</v>
      </c>
      <c r="AN6" s="1">
        <f t="shared" si="0"/>
        <v>0.00401159</v>
      </c>
      <c r="AO6" s="1">
        <f t="shared" si="1"/>
        <v>20792333333333.3</v>
      </c>
      <c r="AP6" s="1"/>
      <c r="AQ6" s="1"/>
      <c r="AR6" s="1">
        <f t="shared" si="2"/>
        <v>1877090000000</v>
      </c>
      <c r="AS6" s="1">
        <f t="shared" si="3"/>
        <v>1469790000000</v>
      </c>
      <c r="AT6" s="1">
        <f t="shared" si="4"/>
        <v>2243010000000</v>
      </c>
    </row>
    <row r="7" spans="1:46">
      <c r="A7" s="8">
        <v>0.00504132</v>
      </c>
      <c r="B7" s="1">
        <v>0.0055849</v>
      </c>
      <c r="C7" s="1">
        <v>20765400000000</v>
      </c>
      <c r="D7" s="1">
        <v>469269000</v>
      </c>
      <c r="E7" s="1">
        <v>0</v>
      </c>
      <c r="F7" s="1">
        <v>0</v>
      </c>
      <c r="G7" s="1">
        <v>2</v>
      </c>
      <c r="H7" s="1">
        <v>5556780000000</v>
      </c>
      <c r="I7" s="1">
        <v>4470060000000</v>
      </c>
      <c r="J7" s="1">
        <v>4378530000000</v>
      </c>
      <c r="K7" s="1">
        <v>4586130000000</v>
      </c>
      <c r="L7" s="1">
        <v>1773910000000</v>
      </c>
      <c r="N7" s="8">
        <v>0.0049987</v>
      </c>
      <c r="O7" s="1">
        <v>0.00556679</v>
      </c>
      <c r="P7" s="1">
        <v>20778200000000</v>
      </c>
      <c r="Q7" s="1">
        <v>375204000</v>
      </c>
      <c r="R7" s="1">
        <v>0</v>
      </c>
      <c r="S7" s="1">
        <v>0</v>
      </c>
      <c r="T7" s="1">
        <v>2</v>
      </c>
      <c r="U7" s="1">
        <v>5220210000000</v>
      </c>
      <c r="V7" s="1">
        <v>4510160000000</v>
      </c>
      <c r="W7" s="1">
        <v>4359870000000</v>
      </c>
      <c r="X7" s="1">
        <v>4609970000000</v>
      </c>
      <c r="Y7" s="1">
        <v>2077950000000</v>
      </c>
      <c r="AA7" s="8">
        <v>0.00503626</v>
      </c>
      <c r="AB7" s="1">
        <v>0.00559317</v>
      </c>
      <c r="AC7" s="1">
        <v>21717800000000</v>
      </c>
      <c r="AD7" s="1">
        <v>423950000</v>
      </c>
      <c r="AE7" s="1">
        <v>0</v>
      </c>
      <c r="AF7" s="1">
        <v>0</v>
      </c>
      <c r="AG7" s="1">
        <v>2</v>
      </c>
      <c r="AH7" s="1">
        <v>5258140000000</v>
      </c>
      <c r="AI7" s="1">
        <v>4775850000000</v>
      </c>
      <c r="AJ7" s="1">
        <v>4525610000000</v>
      </c>
      <c r="AK7" s="1">
        <v>4661320000000</v>
      </c>
      <c r="AL7" s="1">
        <v>2496730000000</v>
      </c>
      <c r="AN7" s="1">
        <f t="shared" si="0"/>
        <v>0.00504132</v>
      </c>
      <c r="AO7" s="1">
        <f t="shared" si="1"/>
        <v>21087133333333.3</v>
      </c>
      <c r="AP7" s="1"/>
      <c r="AQ7" s="1"/>
      <c r="AR7" s="1">
        <f t="shared" si="2"/>
        <v>2116196666666.67</v>
      </c>
      <c r="AS7" s="1">
        <f t="shared" si="3"/>
        <v>1773910000000</v>
      </c>
      <c r="AT7" s="1">
        <f t="shared" si="4"/>
        <v>2496730000000</v>
      </c>
    </row>
    <row r="8" spans="1:46">
      <c r="A8" s="8">
        <v>0.00596342</v>
      </c>
      <c r="B8" s="1">
        <v>0.00654495</v>
      </c>
      <c r="C8" s="1">
        <v>20793000000000</v>
      </c>
      <c r="D8" s="1">
        <v>298340000</v>
      </c>
      <c r="E8" s="1">
        <v>0</v>
      </c>
      <c r="F8" s="1">
        <v>0</v>
      </c>
      <c r="G8" s="1">
        <v>2</v>
      </c>
      <c r="H8" s="1">
        <v>5069880000000</v>
      </c>
      <c r="I8" s="1">
        <v>4512290000000</v>
      </c>
      <c r="J8" s="1">
        <v>4392270000000</v>
      </c>
      <c r="K8" s="1">
        <v>4573540000000</v>
      </c>
      <c r="L8" s="1">
        <v>2244760000000</v>
      </c>
      <c r="N8" s="8">
        <v>0.00600173</v>
      </c>
      <c r="O8" s="1">
        <v>0.00656575</v>
      </c>
      <c r="P8" s="1">
        <v>20676400000000</v>
      </c>
      <c r="Q8" s="1">
        <v>307793000</v>
      </c>
      <c r="R8" s="1">
        <v>0</v>
      </c>
      <c r="S8" s="1">
        <v>0</v>
      </c>
      <c r="T8" s="1">
        <v>2</v>
      </c>
      <c r="U8" s="1">
        <v>4968930000000</v>
      </c>
      <c r="V8" s="1">
        <v>4443450000000</v>
      </c>
      <c r="W8" s="1">
        <v>4319940000000</v>
      </c>
      <c r="X8" s="1">
        <v>4478690000000</v>
      </c>
      <c r="Y8" s="1">
        <v>2465150000000</v>
      </c>
      <c r="AA8" s="8">
        <v>0.00599367</v>
      </c>
      <c r="AB8" s="1">
        <v>0.00660361</v>
      </c>
      <c r="AC8" s="1">
        <v>21761400000000</v>
      </c>
      <c r="AD8" s="1">
        <v>387697000</v>
      </c>
      <c r="AE8" s="1">
        <v>0</v>
      </c>
      <c r="AF8" s="1">
        <v>0</v>
      </c>
      <c r="AG8" s="1">
        <v>2</v>
      </c>
      <c r="AH8" s="1">
        <v>4767770000000</v>
      </c>
      <c r="AI8" s="1">
        <v>4730900000000</v>
      </c>
      <c r="AJ8" s="1">
        <v>4584700000000</v>
      </c>
      <c r="AK8" s="1">
        <v>4552010000000</v>
      </c>
      <c r="AL8" s="1">
        <v>3126050000000</v>
      </c>
      <c r="AN8" s="1">
        <f t="shared" si="0"/>
        <v>0.00596342</v>
      </c>
      <c r="AO8" s="1">
        <f t="shared" si="1"/>
        <v>21076933333333.3</v>
      </c>
      <c r="AP8" s="1"/>
      <c r="AQ8" s="1"/>
      <c r="AR8" s="1">
        <f t="shared" si="2"/>
        <v>2611986666666.67</v>
      </c>
      <c r="AS8" s="1">
        <f t="shared" si="3"/>
        <v>2244760000000</v>
      </c>
      <c r="AT8" s="1">
        <f t="shared" si="4"/>
        <v>3126050000000</v>
      </c>
    </row>
    <row r="9" spans="1:46">
      <c r="A9" s="8">
        <v>0.00698525</v>
      </c>
      <c r="B9" s="1">
        <v>0.00756909</v>
      </c>
      <c r="C9" s="1">
        <v>21051000000000</v>
      </c>
      <c r="D9" s="1">
        <v>529226000</v>
      </c>
      <c r="E9" s="1">
        <v>0</v>
      </c>
      <c r="F9" s="1">
        <v>0</v>
      </c>
      <c r="G9" s="1">
        <v>2</v>
      </c>
      <c r="H9" s="1">
        <v>4929850000000</v>
      </c>
      <c r="I9" s="1">
        <v>4321610000000</v>
      </c>
      <c r="J9" s="1">
        <v>4279360000000</v>
      </c>
      <c r="K9" s="1">
        <v>4815120000000</v>
      </c>
      <c r="L9" s="1">
        <v>2705100000000</v>
      </c>
      <c r="N9" s="8">
        <v>0.00695968</v>
      </c>
      <c r="O9" s="1">
        <v>0.00751884</v>
      </c>
      <c r="P9" s="1">
        <v>20686800000000</v>
      </c>
      <c r="Q9" s="1">
        <v>346052000</v>
      </c>
      <c r="R9" s="1">
        <v>0</v>
      </c>
      <c r="S9" s="1">
        <v>0</v>
      </c>
      <c r="T9" s="1">
        <v>2</v>
      </c>
      <c r="U9" s="1">
        <v>5131150000000</v>
      </c>
      <c r="V9" s="1">
        <v>4457110000000</v>
      </c>
      <c r="W9" s="1">
        <v>4458840000000</v>
      </c>
      <c r="X9" s="1">
        <v>4323950000000</v>
      </c>
      <c r="Y9" s="1">
        <v>2315750000000</v>
      </c>
      <c r="AA9" s="8">
        <v>0.00701428</v>
      </c>
      <c r="AB9" s="1">
        <v>0.00761233</v>
      </c>
      <c r="AC9" s="1">
        <v>21255200000000</v>
      </c>
      <c r="AD9" s="1">
        <v>623641000</v>
      </c>
      <c r="AE9" s="1">
        <v>0</v>
      </c>
      <c r="AF9" s="1">
        <v>0</v>
      </c>
      <c r="AG9" s="1">
        <v>2</v>
      </c>
      <c r="AH9" s="1">
        <v>4357670000000</v>
      </c>
      <c r="AI9" s="1">
        <v>4670040000000</v>
      </c>
      <c r="AJ9" s="1">
        <v>4226920000000</v>
      </c>
      <c r="AK9" s="1">
        <v>4762510000000</v>
      </c>
      <c r="AL9" s="1">
        <v>3237890000000</v>
      </c>
      <c r="AN9" s="1">
        <f t="shared" si="0"/>
        <v>0.00698525</v>
      </c>
      <c r="AO9" s="1">
        <f t="shared" si="1"/>
        <v>20997666666666.7</v>
      </c>
      <c r="AP9" s="1"/>
      <c r="AQ9" s="1"/>
      <c r="AR9" s="1">
        <f t="shared" si="2"/>
        <v>2752913333333.33</v>
      </c>
      <c r="AS9" s="1">
        <f t="shared" si="3"/>
        <v>2315750000000</v>
      </c>
      <c r="AT9" s="1">
        <f t="shared" si="4"/>
        <v>3237890000000</v>
      </c>
    </row>
    <row r="10" spans="1:46">
      <c r="A10" s="8">
        <v>0.00802571</v>
      </c>
      <c r="B10" s="1">
        <v>0.00857886</v>
      </c>
      <c r="C10" s="1">
        <v>22620800000000</v>
      </c>
      <c r="D10" s="1">
        <v>405124000</v>
      </c>
      <c r="E10" s="1">
        <v>0</v>
      </c>
      <c r="F10" s="1">
        <v>0</v>
      </c>
      <c r="G10" s="1">
        <v>2</v>
      </c>
      <c r="H10" s="1">
        <v>4896140000000</v>
      </c>
      <c r="I10" s="1">
        <v>4360200000000</v>
      </c>
      <c r="J10" s="1">
        <v>4389590000000</v>
      </c>
      <c r="K10" s="1">
        <v>6162190000000</v>
      </c>
      <c r="L10" s="1">
        <v>2812630000000</v>
      </c>
      <c r="N10" s="8">
        <v>0.0079782</v>
      </c>
      <c r="O10" s="1">
        <v>0.00858534</v>
      </c>
      <c r="P10" s="1">
        <v>21259300000000</v>
      </c>
      <c r="Q10" s="1">
        <v>246276000</v>
      </c>
      <c r="R10" s="1">
        <v>0</v>
      </c>
      <c r="S10" s="1">
        <v>0</v>
      </c>
      <c r="T10" s="1">
        <v>2</v>
      </c>
      <c r="U10" s="1">
        <v>5130150000000</v>
      </c>
      <c r="V10" s="1">
        <v>4630660000000</v>
      </c>
      <c r="W10" s="1">
        <v>4361450000000</v>
      </c>
      <c r="X10" s="1">
        <v>4186510000000</v>
      </c>
      <c r="Y10" s="1">
        <v>2950550000000</v>
      </c>
      <c r="AA10" s="8">
        <v>0.00798885</v>
      </c>
      <c r="AB10" s="1">
        <v>0.00861169</v>
      </c>
      <c r="AC10" s="1">
        <v>21885400000000</v>
      </c>
      <c r="AD10" s="1">
        <v>319941000</v>
      </c>
      <c r="AE10" s="1">
        <v>0</v>
      </c>
      <c r="AF10" s="1">
        <v>0</v>
      </c>
      <c r="AG10" s="1">
        <v>2</v>
      </c>
      <c r="AH10" s="1">
        <v>4276840000000</v>
      </c>
      <c r="AI10" s="1">
        <v>4513300000000</v>
      </c>
      <c r="AJ10" s="1">
        <v>4526600000000</v>
      </c>
      <c r="AK10" s="1">
        <v>5226310000000</v>
      </c>
      <c r="AL10" s="1">
        <v>3342310000000</v>
      </c>
      <c r="AN10" s="1">
        <f t="shared" si="0"/>
        <v>0.00802571</v>
      </c>
      <c r="AO10" s="1">
        <f t="shared" si="1"/>
        <v>21921833333333.3</v>
      </c>
      <c r="AP10" s="1"/>
      <c r="AQ10" s="1"/>
      <c r="AR10" s="1">
        <f t="shared" si="2"/>
        <v>3035163333333.33</v>
      </c>
      <c r="AS10" s="1">
        <f t="shared" si="3"/>
        <v>2812630000000</v>
      </c>
      <c r="AT10" s="1">
        <f t="shared" si="4"/>
        <v>3342310000000</v>
      </c>
    </row>
    <row r="11" spans="1:46">
      <c r="A11" s="8">
        <v>0.00902825</v>
      </c>
      <c r="B11" s="1">
        <v>0.00962051</v>
      </c>
      <c r="C11" s="1">
        <v>21819800000000</v>
      </c>
      <c r="D11" s="1">
        <v>561069000</v>
      </c>
      <c r="E11" s="1">
        <v>0</v>
      </c>
      <c r="F11" s="1">
        <v>0</v>
      </c>
      <c r="G11" s="1">
        <v>2</v>
      </c>
      <c r="H11" s="1">
        <v>4697150000000</v>
      </c>
      <c r="I11" s="1">
        <v>4189050000000</v>
      </c>
      <c r="J11" s="1">
        <v>4165750000000</v>
      </c>
      <c r="K11" s="1">
        <v>5447150000000</v>
      </c>
      <c r="L11" s="1">
        <v>3320630000000</v>
      </c>
      <c r="N11" s="8">
        <v>0.00898474</v>
      </c>
      <c r="O11" s="1">
        <v>0.00959757</v>
      </c>
      <c r="P11" s="1">
        <v>21211600000000</v>
      </c>
      <c r="Q11" s="1">
        <v>491134000</v>
      </c>
      <c r="R11" s="1">
        <v>0</v>
      </c>
      <c r="S11" s="1">
        <v>0</v>
      </c>
      <c r="T11" s="1">
        <v>2</v>
      </c>
      <c r="U11" s="1">
        <v>5051720000000</v>
      </c>
      <c r="V11" s="1">
        <v>4437000000000</v>
      </c>
      <c r="W11" s="1">
        <v>4405970000000</v>
      </c>
      <c r="X11" s="1">
        <v>4106630000000</v>
      </c>
      <c r="Y11" s="1">
        <v>3210220000000</v>
      </c>
      <c r="AA11" s="8">
        <v>0.0090261</v>
      </c>
      <c r="AB11" s="1">
        <v>0.00962197</v>
      </c>
      <c r="AC11" s="1">
        <v>21233900000000</v>
      </c>
      <c r="AD11" s="1">
        <v>673857000</v>
      </c>
      <c r="AE11" s="1">
        <v>0</v>
      </c>
      <c r="AF11" s="1">
        <v>0</v>
      </c>
      <c r="AG11" s="1">
        <v>2</v>
      </c>
      <c r="AH11" s="1">
        <v>4361610000000</v>
      </c>
      <c r="AI11" s="1">
        <v>4330950000000</v>
      </c>
      <c r="AJ11" s="1">
        <v>4751010000000</v>
      </c>
      <c r="AK11" s="1">
        <v>4599680000000</v>
      </c>
      <c r="AL11" s="1">
        <v>3190490000000</v>
      </c>
      <c r="AN11" s="1">
        <f t="shared" si="0"/>
        <v>0.00902825</v>
      </c>
      <c r="AO11" s="1">
        <f t="shared" si="1"/>
        <v>21421766666666.7</v>
      </c>
      <c r="AP11" s="1"/>
      <c r="AQ11" s="1"/>
      <c r="AR11" s="1">
        <f t="shared" si="2"/>
        <v>3240446666666.67</v>
      </c>
      <c r="AS11" s="1">
        <f t="shared" si="3"/>
        <v>3190490000000</v>
      </c>
      <c r="AT11" s="1">
        <f t="shared" si="4"/>
        <v>3320630000000</v>
      </c>
    </row>
    <row r="12" spans="1:46">
      <c r="A12" s="8">
        <v>0.0099968</v>
      </c>
      <c r="B12" s="1">
        <v>0.0106039</v>
      </c>
      <c r="C12" s="1">
        <v>21201200000000</v>
      </c>
      <c r="D12" s="1">
        <v>531153000</v>
      </c>
      <c r="E12" s="1">
        <v>0</v>
      </c>
      <c r="F12" s="1">
        <v>0</v>
      </c>
      <c r="G12" s="1">
        <v>2</v>
      </c>
      <c r="H12" s="1">
        <v>5125170000000</v>
      </c>
      <c r="I12" s="1">
        <v>4082770000000</v>
      </c>
      <c r="J12" s="1">
        <v>4263780000000</v>
      </c>
      <c r="K12" s="1">
        <v>4303170000000</v>
      </c>
      <c r="L12" s="1">
        <v>3426310000000</v>
      </c>
      <c r="N12" s="8">
        <v>0.0100095</v>
      </c>
      <c r="O12" s="1">
        <v>0.0106007</v>
      </c>
      <c r="P12" s="1">
        <v>21418500000000</v>
      </c>
      <c r="Q12" s="1">
        <v>493932000</v>
      </c>
      <c r="R12" s="1">
        <v>0</v>
      </c>
      <c r="S12" s="1">
        <v>0</v>
      </c>
      <c r="T12" s="1">
        <v>2</v>
      </c>
      <c r="U12" s="1">
        <v>5121650000000</v>
      </c>
      <c r="V12" s="1">
        <v>4442690000000</v>
      </c>
      <c r="W12" s="1">
        <v>4396890000000</v>
      </c>
      <c r="X12" s="1">
        <v>4187500000000</v>
      </c>
      <c r="Y12" s="1">
        <v>3268290000000</v>
      </c>
      <c r="AA12" s="8">
        <v>0.0100356</v>
      </c>
      <c r="AB12" s="1">
        <v>0.0106283</v>
      </c>
      <c r="AC12" s="1">
        <v>21114400000000</v>
      </c>
      <c r="AD12" s="1">
        <v>398309000</v>
      </c>
      <c r="AE12" s="1">
        <v>0</v>
      </c>
      <c r="AF12" s="1">
        <v>0</v>
      </c>
      <c r="AG12" s="1">
        <v>2</v>
      </c>
      <c r="AH12" s="1">
        <v>4549460000000</v>
      </c>
      <c r="AI12" s="1">
        <v>4588540000000</v>
      </c>
      <c r="AJ12" s="1">
        <v>4408730000000</v>
      </c>
      <c r="AK12" s="1">
        <v>4712990000000</v>
      </c>
      <c r="AL12" s="1">
        <v>2854570000000</v>
      </c>
      <c r="AN12" s="1">
        <f t="shared" si="0"/>
        <v>0.0099968</v>
      </c>
      <c r="AO12" s="1">
        <f t="shared" si="1"/>
        <v>21244700000000</v>
      </c>
      <c r="AP12" s="1"/>
      <c r="AQ12" s="1"/>
      <c r="AR12" s="1">
        <f t="shared" si="2"/>
        <v>3183056666666.67</v>
      </c>
      <c r="AS12" s="1">
        <f t="shared" si="3"/>
        <v>2854570000000</v>
      </c>
      <c r="AT12" s="1">
        <f t="shared" si="4"/>
        <v>3426310000000</v>
      </c>
    </row>
    <row r="13" spans="1:46">
      <c r="A13" s="8">
        <v>0.0110157</v>
      </c>
      <c r="B13" s="1">
        <v>0.0115857</v>
      </c>
      <c r="C13" s="1">
        <v>21201800000000</v>
      </c>
      <c r="D13" s="1">
        <v>216497000</v>
      </c>
      <c r="E13" s="1">
        <v>0</v>
      </c>
      <c r="F13" s="1">
        <v>0</v>
      </c>
      <c r="G13" s="1">
        <v>2</v>
      </c>
      <c r="H13" s="1">
        <v>5168810000000</v>
      </c>
      <c r="I13" s="1">
        <v>4404740000000</v>
      </c>
      <c r="J13" s="1">
        <v>4419580000000</v>
      </c>
      <c r="K13" s="1">
        <v>4101490000000</v>
      </c>
      <c r="L13" s="1">
        <v>3107110000000</v>
      </c>
      <c r="N13" s="8">
        <v>0.0109939</v>
      </c>
      <c r="O13" s="1">
        <v>0.0115898</v>
      </c>
      <c r="P13" s="1">
        <v>21550700000000</v>
      </c>
      <c r="Q13" s="1">
        <v>464452000</v>
      </c>
      <c r="R13" s="1">
        <v>0</v>
      </c>
      <c r="S13" s="1">
        <v>0</v>
      </c>
      <c r="T13" s="1">
        <v>2</v>
      </c>
      <c r="U13" s="1">
        <v>4919900000000</v>
      </c>
      <c r="V13" s="1">
        <v>4375060000000</v>
      </c>
      <c r="W13" s="1">
        <v>4593680000000</v>
      </c>
      <c r="X13" s="1">
        <v>4299520000000</v>
      </c>
      <c r="Y13" s="1">
        <v>3362230000000</v>
      </c>
      <c r="AA13" s="8">
        <v>0.0110037</v>
      </c>
      <c r="AB13" s="1">
        <v>0.0115578</v>
      </c>
      <c r="AC13" s="1">
        <v>21766300000000</v>
      </c>
      <c r="AD13" s="1">
        <v>367717000</v>
      </c>
      <c r="AE13" s="1">
        <v>0</v>
      </c>
      <c r="AF13" s="1">
        <v>0</v>
      </c>
      <c r="AG13" s="1">
        <v>2</v>
      </c>
      <c r="AH13" s="1">
        <v>4466590000000</v>
      </c>
      <c r="AI13" s="1">
        <v>5258450000000</v>
      </c>
      <c r="AJ13" s="1">
        <v>4397600000000</v>
      </c>
      <c r="AK13" s="1">
        <v>4762730000000</v>
      </c>
      <c r="AL13" s="1">
        <v>2880910000000</v>
      </c>
      <c r="AN13" s="1">
        <f t="shared" si="0"/>
        <v>0.0110157</v>
      </c>
      <c r="AO13" s="1">
        <f t="shared" si="1"/>
        <v>21506266666666.7</v>
      </c>
      <c r="AP13" s="1"/>
      <c r="AQ13" s="1"/>
      <c r="AR13" s="1">
        <f t="shared" si="2"/>
        <v>3116750000000</v>
      </c>
      <c r="AS13" s="1">
        <f t="shared" si="3"/>
        <v>2880910000000</v>
      </c>
      <c r="AT13" s="1">
        <f t="shared" si="4"/>
        <v>3362230000000</v>
      </c>
    </row>
    <row r="14" spans="1:46">
      <c r="A14" s="8">
        <v>0.0119749</v>
      </c>
      <c r="B14" s="1">
        <v>0.0125692</v>
      </c>
      <c r="C14" s="1">
        <v>21225600000000</v>
      </c>
      <c r="D14" s="1">
        <v>492720000</v>
      </c>
      <c r="E14" s="1">
        <v>0</v>
      </c>
      <c r="F14" s="1">
        <v>0</v>
      </c>
      <c r="G14" s="1">
        <v>2</v>
      </c>
      <c r="H14" s="1">
        <v>5209580000000</v>
      </c>
      <c r="I14" s="1">
        <v>4421600000000</v>
      </c>
      <c r="J14" s="1">
        <v>4068860000000</v>
      </c>
      <c r="K14" s="1">
        <v>3981680000000</v>
      </c>
      <c r="L14" s="1">
        <v>3543910000000</v>
      </c>
      <c r="N14" s="8">
        <v>0.0120259</v>
      </c>
      <c r="O14" s="1">
        <v>0.0126302</v>
      </c>
      <c r="P14" s="1">
        <v>21789700000000</v>
      </c>
      <c r="Q14" s="1">
        <v>464516000</v>
      </c>
      <c r="R14" s="1">
        <v>0</v>
      </c>
      <c r="S14" s="1">
        <v>0</v>
      </c>
      <c r="T14" s="1">
        <v>2</v>
      </c>
      <c r="U14" s="1">
        <v>4969410000000</v>
      </c>
      <c r="V14" s="1">
        <v>4519740000000</v>
      </c>
      <c r="W14" s="1">
        <v>4369940000000</v>
      </c>
      <c r="X14" s="1">
        <v>4621450000000</v>
      </c>
      <c r="Y14" s="1">
        <v>3309100000000</v>
      </c>
      <c r="AA14" s="8">
        <v>0.0119718</v>
      </c>
      <c r="AB14" s="1">
        <v>0.012578</v>
      </c>
      <c r="AC14" s="1">
        <v>21404800000000</v>
      </c>
      <c r="AD14" s="1">
        <v>316987000</v>
      </c>
      <c r="AE14" s="1">
        <v>0</v>
      </c>
      <c r="AF14" s="1">
        <v>0</v>
      </c>
      <c r="AG14" s="1">
        <v>2</v>
      </c>
      <c r="AH14" s="1">
        <v>4352650000000</v>
      </c>
      <c r="AI14" s="1">
        <v>4434790000000</v>
      </c>
      <c r="AJ14" s="1">
        <v>4435960000000</v>
      </c>
      <c r="AK14" s="1">
        <v>4835540000000</v>
      </c>
      <c r="AL14" s="1">
        <v>3345330000000</v>
      </c>
      <c r="AN14" s="1">
        <f t="shared" si="0"/>
        <v>0.0119749</v>
      </c>
      <c r="AO14" s="1">
        <f t="shared" si="1"/>
        <v>21473366666666.7</v>
      </c>
      <c r="AP14" s="1"/>
      <c r="AQ14" s="1"/>
      <c r="AR14" s="1">
        <f t="shared" si="2"/>
        <v>3399446666666.67</v>
      </c>
      <c r="AS14" s="1">
        <f t="shared" si="3"/>
        <v>3309100000000</v>
      </c>
      <c r="AT14" s="1">
        <f t="shared" si="4"/>
        <v>3543910000000</v>
      </c>
    </row>
    <row r="15" spans="1:46">
      <c r="A15" s="8">
        <v>0.0129916</v>
      </c>
      <c r="B15" s="1">
        <v>0.0135789</v>
      </c>
      <c r="C15" s="1">
        <v>22018800000000</v>
      </c>
      <c r="D15" s="1">
        <v>453008000</v>
      </c>
      <c r="E15" s="1">
        <v>0</v>
      </c>
      <c r="F15" s="1">
        <v>0</v>
      </c>
      <c r="G15" s="1">
        <v>2</v>
      </c>
      <c r="H15" s="1">
        <v>5192000000000</v>
      </c>
      <c r="I15" s="1">
        <v>4650910000000</v>
      </c>
      <c r="J15" s="1">
        <v>4279950000000</v>
      </c>
      <c r="K15" s="1">
        <v>4416090000000</v>
      </c>
      <c r="L15" s="1">
        <v>3479330000000</v>
      </c>
      <c r="N15" s="8">
        <v>0.0129887</v>
      </c>
      <c r="O15" s="1">
        <v>0.0135898</v>
      </c>
      <c r="P15" s="1">
        <v>21476000000000</v>
      </c>
      <c r="Q15" s="1">
        <v>469095000</v>
      </c>
      <c r="R15" s="1">
        <v>0</v>
      </c>
      <c r="S15" s="1">
        <v>0</v>
      </c>
      <c r="T15" s="1">
        <v>2</v>
      </c>
      <c r="U15" s="1">
        <v>4948980000000</v>
      </c>
      <c r="V15" s="1">
        <v>4529390000000</v>
      </c>
      <c r="W15" s="1">
        <v>4286310000000</v>
      </c>
      <c r="X15" s="1">
        <v>4589210000000</v>
      </c>
      <c r="Y15" s="1">
        <v>3121900000000</v>
      </c>
      <c r="AA15" s="8">
        <v>0.0129294</v>
      </c>
      <c r="AB15" s="1">
        <v>0.0135362</v>
      </c>
      <c r="AC15" s="1">
        <v>21615100000000</v>
      </c>
      <c r="AD15" s="1">
        <v>513251000</v>
      </c>
      <c r="AE15" s="1">
        <v>0</v>
      </c>
      <c r="AF15" s="1">
        <v>0</v>
      </c>
      <c r="AG15" s="1">
        <v>2</v>
      </c>
      <c r="AH15" s="1">
        <v>4700020000000</v>
      </c>
      <c r="AI15" s="1">
        <v>4371950000000</v>
      </c>
      <c r="AJ15" s="1">
        <v>4841890000000</v>
      </c>
      <c r="AK15" s="1">
        <v>4560330000000</v>
      </c>
      <c r="AL15" s="1">
        <v>3140920000000</v>
      </c>
      <c r="AN15" s="1">
        <f t="shared" si="0"/>
        <v>0.0129916</v>
      </c>
      <c r="AO15" s="1">
        <f t="shared" si="1"/>
        <v>21703300000000</v>
      </c>
      <c r="AP15" s="1"/>
      <c r="AQ15" s="1"/>
      <c r="AR15" s="1">
        <f t="shared" si="2"/>
        <v>3247383333333.33</v>
      </c>
      <c r="AS15" s="1">
        <f t="shared" si="3"/>
        <v>3121900000000</v>
      </c>
      <c r="AT15" s="1">
        <f t="shared" si="4"/>
        <v>3479330000000</v>
      </c>
    </row>
    <row r="16" spans="1:46">
      <c r="A16" s="8">
        <v>0.0139521</v>
      </c>
      <c r="B16" s="1">
        <v>0.0145807</v>
      </c>
      <c r="C16" s="1">
        <v>22096500000000</v>
      </c>
      <c r="D16" s="1">
        <v>564557000</v>
      </c>
      <c r="E16" s="1">
        <v>0</v>
      </c>
      <c r="F16" s="1">
        <v>0</v>
      </c>
      <c r="G16" s="1">
        <v>2</v>
      </c>
      <c r="H16" s="1">
        <v>5578990000000</v>
      </c>
      <c r="I16" s="1">
        <v>4482520000000</v>
      </c>
      <c r="J16" s="1">
        <v>4210160000000</v>
      </c>
      <c r="K16" s="1">
        <v>4628370000000</v>
      </c>
      <c r="L16" s="1">
        <v>3196390000000</v>
      </c>
      <c r="N16" s="8">
        <v>0.0140115</v>
      </c>
      <c r="O16" s="1">
        <v>0.0145815</v>
      </c>
      <c r="P16" s="1">
        <v>21258100000000</v>
      </c>
      <c r="Q16" s="1">
        <v>1029770000</v>
      </c>
      <c r="R16" s="1">
        <v>0</v>
      </c>
      <c r="S16" s="1">
        <v>0</v>
      </c>
      <c r="T16" s="1">
        <v>2</v>
      </c>
      <c r="U16" s="1">
        <v>5064660000000</v>
      </c>
      <c r="V16" s="1">
        <v>4670980000000</v>
      </c>
      <c r="W16" s="1">
        <v>4110590000000</v>
      </c>
      <c r="X16" s="1">
        <v>4358830000000</v>
      </c>
      <c r="Y16" s="1">
        <v>3052990000000</v>
      </c>
      <c r="AA16" s="8">
        <v>0.0140224</v>
      </c>
      <c r="AB16" s="1">
        <v>0.0146127</v>
      </c>
      <c r="AC16" s="1">
        <v>21520700000000</v>
      </c>
      <c r="AD16" s="1">
        <v>443886000</v>
      </c>
      <c r="AE16" s="1">
        <v>0</v>
      </c>
      <c r="AF16" s="1">
        <v>0</v>
      </c>
      <c r="AG16" s="1">
        <v>2</v>
      </c>
      <c r="AH16" s="1">
        <v>4302520000000</v>
      </c>
      <c r="AI16" s="1">
        <v>4319470000000</v>
      </c>
      <c r="AJ16" s="1">
        <v>4747040000000</v>
      </c>
      <c r="AK16" s="1">
        <v>4738100000000</v>
      </c>
      <c r="AL16" s="1">
        <v>3413570000000</v>
      </c>
      <c r="AN16" s="1">
        <f t="shared" si="0"/>
        <v>0.0139521</v>
      </c>
      <c r="AO16" s="1">
        <f t="shared" si="1"/>
        <v>21625100000000</v>
      </c>
      <c r="AP16" s="1"/>
      <c r="AQ16" s="1"/>
      <c r="AR16" s="1">
        <f t="shared" si="2"/>
        <v>3220983333333.33</v>
      </c>
      <c r="AS16" s="1">
        <f t="shared" si="3"/>
        <v>3052990000000</v>
      </c>
      <c r="AT16" s="1">
        <f t="shared" si="4"/>
        <v>3413570000000</v>
      </c>
    </row>
    <row r="17" spans="1:46">
      <c r="A17" s="8">
        <v>0.0149306</v>
      </c>
      <c r="B17" s="1">
        <v>0.0155124</v>
      </c>
      <c r="C17" s="1">
        <v>22258700000000</v>
      </c>
      <c r="D17" s="1">
        <v>511811000</v>
      </c>
      <c r="E17" s="1">
        <v>0</v>
      </c>
      <c r="F17" s="1">
        <v>0</v>
      </c>
      <c r="G17" s="1">
        <v>2</v>
      </c>
      <c r="H17" s="1">
        <v>5459290000000</v>
      </c>
      <c r="I17" s="1">
        <v>4427600000000</v>
      </c>
      <c r="J17" s="1">
        <v>4760330000000</v>
      </c>
      <c r="K17" s="1">
        <v>4703240000000</v>
      </c>
      <c r="L17" s="1">
        <v>2908230000000</v>
      </c>
      <c r="N17" s="8">
        <v>0.0149665</v>
      </c>
      <c r="O17" s="1">
        <v>0.0155977</v>
      </c>
      <c r="P17" s="1">
        <v>21127400000000</v>
      </c>
      <c r="Q17" s="1">
        <v>355382000</v>
      </c>
      <c r="R17" s="1">
        <v>0</v>
      </c>
      <c r="S17" s="1">
        <v>0</v>
      </c>
      <c r="T17" s="1">
        <v>2</v>
      </c>
      <c r="U17" s="1">
        <v>5043400000000</v>
      </c>
      <c r="V17" s="1">
        <v>4309400000000</v>
      </c>
      <c r="W17" s="1">
        <v>4163840000000</v>
      </c>
      <c r="X17" s="1">
        <v>4256490000000</v>
      </c>
      <c r="Y17" s="1">
        <v>3354190000000</v>
      </c>
      <c r="AA17" s="8">
        <v>0.0149863</v>
      </c>
      <c r="AB17" s="1">
        <v>0.0156089</v>
      </c>
      <c r="AC17" s="1">
        <v>21379400000000</v>
      </c>
      <c r="AD17" s="1">
        <v>520077000</v>
      </c>
      <c r="AE17" s="1">
        <v>0</v>
      </c>
      <c r="AF17" s="1">
        <v>0</v>
      </c>
      <c r="AG17" s="1">
        <v>2</v>
      </c>
      <c r="AH17" s="1">
        <v>4458780000000</v>
      </c>
      <c r="AI17" s="1">
        <v>4380580000000</v>
      </c>
      <c r="AJ17" s="1">
        <v>4470900000000</v>
      </c>
      <c r="AK17" s="1">
        <v>4493050000000</v>
      </c>
      <c r="AL17" s="1">
        <v>3575950000000</v>
      </c>
      <c r="AN17" s="1">
        <f t="shared" si="0"/>
        <v>0.0149306</v>
      </c>
      <c r="AO17" s="1">
        <f t="shared" si="1"/>
        <v>21588500000000</v>
      </c>
      <c r="AP17" s="1"/>
      <c r="AQ17" s="1"/>
      <c r="AR17" s="1">
        <f t="shared" si="2"/>
        <v>3279456666666.67</v>
      </c>
      <c r="AS17" s="1">
        <f t="shared" si="3"/>
        <v>2908230000000</v>
      </c>
      <c r="AT17" s="1">
        <f t="shared" si="4"/>
        <v>3575950000000</v>
      </c>
    </row>
    <row r="18" spans="1:46">
      <c r="A18" s="8">
        <v>0.015946</v>
      </c>
      <c r="B18" s="1">
        <v>0.0165155</v>
      </c>
      <c r="C18" s="1">
        <v>21357600000000</v>
      </c>
      <c r="D18" s="1">
        <v>376527000</v>
      </c>
      <c r="E18" s="1">
        <v>0</v>
      </c>
      <c r="F18" s="1">
        <v>0</v>
      </c>
      <c r="G18" s="1">
        <v>2</v>
      </c>
      <c r="H18" s="1">
        <v>5119290000000</v>
      </c>
      <c r="I18" s="1">
        <v>4424170000000</v>
      </c>
      <c r="J18" s="1">
        <v>4540210000000</v>
      </c>
      <c r="K18" s="1">
        <v>4476300000000</v>
      </c>
      <c r="L18" s="1">
        <v>2797650000000</v>
      </c>
      <c r="N18" s="8">
        <v>0.0160528</v>
      </c>
      <c r="O18" s="1">
        <v>0.0166606</v>
      </c>
      <c r="P18" s="1">
        <v>21506600000000</v>
      </c>
      <c r="Q18" s="1">
        <v>516095000</v>
      </c>
      <c r="R18" s="1">
        <v>0</v>
      </c>
      <c r="S18" s="1">
        <v>0</v>
      </c>
      <c r="T18" s="1">
        <v>2</v>
      </c>
      <c r="U18" s="1">
        <v>5434950000000</v>
      </c>
      <c r="V18" s="1">
        <v>4177560000000</v>
      </c>
      <c r="W18" s="1">
        <v>4051300000000</v>
      </c>
      <c r="X18" s="1">
        <v>3968260000000</v>
      </c>
      <c r="Y18" s="1">
        <v>3874480000000</v>
      </c>
      <c r="AA18" s="8">
        <v>0.0159872</v>
      </c>
      <c r="AB18" s="1">
        <v>0.0165869</v>
      </c>
      <c r="AC18" s="1">
        <v>21245500000000</v>
      </c>
      <c r="AD18" s="1">
        <v>351599000</v>
      </c>
      <c r="AE18" s="1">
        <v>0</v>
      </c>
      <c r="AF18" s="1">
        <v>0</v>
      </c>
      <c r="AG18" s="1">
        <v>2</v>
      </c>
      <c r="AH18" s="1">
        <v>4478740000000</v>
      </c>
      <c r="AI18" s="1">
        <v>4375280000000</v>
      </c>
      <c r="AJ18" s="1">
        <v>4374480000000</v>
      </c>
      <c r="AK18" s="1">
        <v>4755910000000</v>
      </c>
      <c r="AL18" s="1">
        <v>3260860000000</v>
      </c>
      <c r="AN18" s="1">
        <f t="shared" si="0"/>
        <v>0.015946</v>
      </c>
      <c r="AO18" s="1">
        <f t="shared" si="1"/>
        <v>21369900000000</v>
      </c>
      <c r="AP18" s="1"/>
      <c r="AQ18" s="1"/>
      <c r="AR18" s="1">
        <f t="shared" si="2"/>
        <v>3310996666666.67</v>
      </c>
      <c r="AS18" s="1">
        <f t="shared" si="3"/>
        <v>2797650000000</v>
      </c>
      <c r="AT18" s="1">
        <f t="shared" si="4"/>
        <v>3874480000000</v>
      </c>
    </row>
    <row r="19" spans="1:46">
      <c r="A19" s="8">
        <v>0.0169864</v>
      </c>
      <c r="B19" s="1">
        <v>0.0175856</v>
      </c>
      <c r="C19" s="1">
        <v>21313900000000</v>
      </c>
      <c r="D19" s="1">
        <v>631278000</v>
      </c>
      <c r="E19" s="1">
        <v>0</v>
      </c>
      <c r="F19" s="1">
        <v>0</v>
      </c>
      <c r="G19" s="1">
        <v>2</v>
      </c>
      <c r="H19" s="1">
        <v>5108890000000</v>
      </c>
      <c r="I19" s="1">
        <v>4259240000000</v>
      </c>
      <c r="J19" s="1">
        <v>4305330000000</v>
      </c>
      <c r="K19" s="1">
        <v>4650110000000</v>
      </c>
      <c r="L19" s="1">
        <v>2990380000000</v>
      </c>
      <c r="N19" s="8">
        <v>0.0170052</v>
      </c>
      <c r="O19" s="1">
        <v>0.0176279</v>
      </c>
      <c r="P19" s="1">
        <v>21788900000000</v>
      </c>
      <c r="Q19" s="1">
        <v>440141000</v>
      </c>
      <c r="R19" s="1">
        <v>0</v>
      </c>
      <c r="S19" s="1">
        <v>0</v>
      </c>
      <c r="T19" s="1">
        <v>2</v>
      </c>
      <c r="U19" s="1">
        <v>4950480000000</v>
      </c>
      <c r="V19" s="1">
        <v>4278870000000</v>
      </c>
      <c r="W19" s="1">
        <v>4405860000000</v>
      </c>
      <c r="X19" s="1">
        <v>4069980000000</v>
      </c>
      <c r="Y19" s="1">
        <v>4083770000000</v>
      </c>
      <c r="AA19" s="8">
        <v>0.0169936</v>
      </c>
      <c r="AB19" s="1">
        <v>0.0176059</v>
      </c>
      <c r="AC19" s="1">
        <v>22017100000000</v>
      </c>
      <c r="AD19" s="1">
        <v>494533000</v>
      </c>
      <c r="AE19" s="1">
        <v>0</v>
      </c>
      <c r="AF19" s="1">
        <v>0</v>
      </c>
      <c r="AG19" s="1">
        <v>2</v>
      </c>
      <c r="AH19" s="1">
        <v>4361550000000</v>
      </c>
      <c r="AI19" s="1">
        <v>4918240000000</v>
      </c>
      <c r="AJ19" s="1">
        <v>4681230000000</v>
      </c>
      <c r="AK19" s="1">
        <v>5046440000000</v>
      </c>
      <c r="AL19" s="1">
        <v>3009530000000</v>
      </c>
      <c r="AN19" s="1">
        <f t="shared" si="0"/>
        <v>0.0169864</v>
      </c>
      <c r="AO19" s="1">
        <f t="shared" si="1"/>
        <v>21706633333333.3</v>
      </c>
      <c r="AP19" s="1"/>
      <c r="AQ19" s="1"/>
      <c r="AR19" s="1">
        <f t="shared" si="2"/>
        <v>3361226666666.67</v>
      </c>
      <c r="AS19" s="1">
        <f t="shared" si="3"/>
        <v>2990380000000</v>
      </c>
      <c r="AT19" s="1">
        <f t="shared" si="4"/>
        <v>4083770000000</v>
      </c>
    </row>
    <row r="20" spans="1:46">
      <c r="A20" s="8">
        <v>0.0179802</v>
      </c>
      <c r="B20" s="1">
        <v>0.0185779</v>
      </c>
      <c r="C20" s="1">
        <v>21037700000000</v>
      </c>
      <c r="D20" s="1">
        <v>300112000</v>
      </c>
      <c r="E20" s="1">
        <v>0</v>
      </c>
      <c r="F20" s="1">
        <v>0</v>
      </c>
      <c r="G20" s="1">
        <v>2</v>
      </c>
      <c r="H20" s="1">
        <v>5236310000000</v>
      </c>
      <c r="I20" s="1">
        <v>4147260000000</v>
      </c>
      <c r="J20" s="1">
        <v>4086310000000</v>
      </c>
      <c r="K20" s="1">
        <v>4483580000000</v>
      </c>
      <c r="L20" s="1">
        <v>3084260000000</v>
      </c>
      <c r="N20" s="8">
        <v>0.0179631</v>
      </c>
      <c r="O20" s="1">
        <v>0.0185529</v>
      </c>
      <c r="P20" s="1">
        <v>22262600000000</v>
      </c>
      <c r="Q20" s="1">
        <v>573000000</v>
      </c>
      <c r="R20" s="1">
        <v>0</v>
      </c>
      <c r="S20" s="1">
        <v>0</v>
      </c>
      <c r="T20" s="1">
        <v>2</v>
      </c>
      <c r="U20" s="1">
        <v>5348140000000</v>
      </c>
      <c r="V20" s="1">
        <v>4594220000000</v>
      </c>
      <c r="W20" s="1">
        <v>4933590000000</v>
      </c>
      <c r="X20" s="1">
        <v>3890090000000</v>
      </c>
      <c r="Y20" s="1">
        <v>3496460000000</v>
      </c>
      <c r="AA20" s="8">
        <v>0.0180103</v>
      </c>
      <c r="AB20" s="1">
        <v>0.018591</v>
      </c>
      <c r="AC20" s="1">
        <v>21886600000000</v>
      </c>
      <c r="AD20" s="1">
        <v>595705000</v>
      </c>
      <c r="AE20" s="1">
        <v>0</v>
      </c>
      <c r="AF20" s="1">
        <v>0</v>
      </c>
      <c r="AG20" s="1">
        <v>2</v>
      </c>
      <c r="AH20" s="1">
        <v>4266740000000</v>
      </c>
      <c r="AI20" s="1">
        <v>4534260000000</v>
      </c>
      <c r="AJ20" s="1">
        <v>5148640000000</v>
      </c>
      <c r="AK20" s="1">
        <v>4734830000000</v>
      </c>
      <c r="AL20" s="1">
        <v>3202010000000</v>
      </c>
      <c r="AN20" s="1">
        <f t="shared" si="0"/>
        <v>0.0179802</v>
      </c>
      <c r="AO20" s="1">
        <f t="shared" si="1"/>
        <v>21728966666666.7</v>
      </c>
      <c r="AP20" s="1"/>
      <c r="AQ20" s="1"/>
      <c r="AR20" s="1">
        <f t="shared" si="2"/>
        <v>3260910000000</v>
      </c>
      <c r="AS20" s="1">
        <f t="shared" si="3"/>
        <v>3084260000000</v>
      </c>
      <c r="AT20" s="1">
        <f t="shared" si="4"/>
        <v>3496460000000</v>
      </c>
    </row>
    <row r="21" spans="1:46">
      <c r="A21" s="8">
        <v>0.0189682</v>
      </c>
      <c r="B21" s="1">
        <v>0.0195811</v>
      </c>
      <c r="C21" s="1">
        <v>20903200000000</v>
      </c>
      <c r="D21" s="1">
        <v>506506000</v>
      </c>
      <c r="E21" s="1">
        <v>0</v>
      </c>
      <c r="F21" s="1">
        <v>0</v>
      </c>
      <c r="G21" s="1">
        <v>2</v>
      </c>
      <c r="H21" s="1">
        <v>5066210000000</v>
      </c>
      <c r="I21" s="1">
        <v>4154070000000</v>
      </c>
      <c r="J21" s="1">
        <v>4269300000000</v>
      </c>
      <c r="K21" s="1">
        <v>4317750000000</v>
      </c>
      <c r="L21" s="1">
        <v>3095830000000</v>
      </c>
      <c r="N21" s="8">
        <v>0.0189966</v>
      </c>
      <c r="O21" s="1">
        <v>0.019579</v>
      </c>
      <c r="P21" s="1">
        <v>21866200000000</v>
      </c>
      <c r="Q21" s="1">
        <v>447417000</v>
      </c>
      <c r="R21" s="1">
        <v>0</v>
      </c>
      <c r="S21" s="1">
        <v>0</v>
      </c>
      <c r="T21" s="1">
        <v>2</v>
      </c>
      <c r="U21" s="1">
        <v>5540710000000</v>
      </c>
      <c r="V21" s="1">
        <v>4228820000000</v>
      </c>
      <c r="W21" s="1">
        <v>4973960000000</v>
      </c>
      <c r="X21" s="1">
        <v>4121360000000</v>
      </c>
      <c r="Y21" s="1">
        <v>3001340000000</v>
      </c>
      <c r="AA21" s="8">
        <v>0.0189968</v>
      </c>
      <c r="AB21" s="1">
        <v>0.0196128</v>
      </c>
      <c r="AC21" s="1">
        <v>21141300000000</v>
      </c>
      <c r="AD21" s="1">
        <v>532200000</v>
      </c>
      <c r="AE21" s="1">
        <v>0</v>
      </c>
      <c r="AF21" s="1">
        <v>0</v>
      </c>
      <c r="AG21" s="1">
        <v>2</v>
      </c>
      <c r="AH21" s="1">
        <v>4429610000000</v>
      </c>
      <c r="AI21" s="1">
        <v>4309410000000</v>
      </c>
      <c r="AJ21" s="1">
        <v>4457870000000</v>
      </c>
      <c r="AK21" s="1">
        <v>4696920000000</v>
      </c>
      <c r="AL21" s="1">
        <v>3247450000000</v>
      </c>
      <c r="AN21" s="1">
        <f t="shared" si="0"/>
        <v>0.0189682</v>
      </c>
      <c r="AO21" s="1">
        <f t="shared" si="1"/>
        <v>21303566666666.7</v>
      </c>
      <c r="AP21" s="1"/>
      <c r="AQ21" s="1"/>
      <c r="AR21" s="1">
        <f t="shared" si="2"/>
        <v>3114873333333.33</v>
      </c>
      <c r="AS21" s="1">
        <f t="shared" si="3"/>
        <v>3001340000000</v>
      </c>
      <c r="AT21" s="1">
        <f t="shared" si="4"/>
        <v>3247450000000</v>
      </c>
    </row>
    <row r="22" spans="1:46">
      <c r="A22" s="8">
        <v>0.0199771</v>
      </c>
      <c r="B22" s="1">
        <v>0.0205751</v>
      </c>
      <c r="C22" s="1">
        <v>21053500000000</v>
      </c>
      <c r="D22" s="1">
        <v>224073000</v>
      </c>
      <c r="E22" s="1">
        <v>0</v>
      </c>
      <c r="F22" s="1">
        <v>0</v>
      </c>
      <c r="G22" s="1">
        <v>2</v>
      </c>
      <c r="H22" s="1">
        <v>5303680000000</v>
      </c>
      <c r="I22" s="1">
        <v>4270300000000</v>
      </c>
      <c r="J22" s="1">
        <v>4253940000000</v>
      </c>
      <c r="K22" s="1">
        <v>4403190000000</v>
      </c>
      <c r="L22" s="1">
        <v>2822330000000</v>
      </c>
      <c r="N22" s="8">
        <v>0.0199959</v>
      </c>
      <c r="O22" s="1">
        <v>0.0205695</v>
      </c>
      <c r="P22" s="1">
        <v>21383700000000</v>
      </c>
      <c r="Q22" s="1">
        <v>327526000</v>
      </c>
      <c r="R22" s="1">
        <v>0</v>
      </c>
      <c r="S22" s="1">
        <v>0</v>
      </c>
      <c r="T22" s="1">
        <v>2</v>
      </c>
      <c r="U22" s="1">
        <v>5298970000000</v>
      </c>
      <c r="V22" s="1">
        <v>4449590000000</v>
      </c>
      <c r="W22" s="1">
        <v>4447000000000</v>
      </c>
      <c r="X22" s="1">
        <v>4129420000000</v>
      </c>
      <c r="Y22" s="1">
        <v>3058640000000</v>
      </c>
      <c r="AA22" s="8">
        <v>0.0200332</v>
      </c>
      <c r="AB22" s="1">
        <v>0.0206335</v>
      </c>
      <c r="AC22" s="1">
        <v>21245500000000</v>
      </c>
      <c r="AD22" s="1">
        <v>447049000</v>
      </c>
      <c r="AE22" s="1">
        <v>0</v>
      </c>
      <c r="AF22" s="1">
        <v>0</v>
      </c>
      <c r="AG22" s="1">
        <v>2</v>
      </c>
      <c r="AH22" s="1">
        <v>4435110000000</v>
      </c>
      <c r="AI22" s="1">
        <v>4364470000000</v>
      </c>
      <c r="AJ22" s="1">
        <v>4446700000000</v>
      </c>
      <c r="AK22" s="1">
        <v>4308660000000</v>
      </c>
      <c r="AL22" s="1">
        <v>3690210000000</v>
      </c>
      <c r="AN22" s="1">
        <f t="shared" si="0"/>
        <v>0.0199771</v>
      </c>
      <c r="AO22" s="1">
        <f t="shared" si="1"/>
        <v>21227566666666.7</v>
      </c>
      <c r="AP22" s="1"/>
      <c r="AQ22" s="1"/>
      <c r="AR22" s="1">
        <f t="shared" si="2"/>
        <v>3190393333333.33</v>
      </c>
      <c r="AS22" s="1">
        <f t="shared" si="3"/>
        <v>2822330000000</v>
      </c>
      <c r="AT22" s="1">
        <f t="shared" si="4"/>
        <v>3690210000000</v>
      </c>
    </row>
    <row r="23" spans="1:46">
      <c r="A23" s="8">
        <v>0.0210135</v>
      </c>
      <c r="B23" s="1">
        <v>0.0216241</v>
      </c>
      <c r="C23" s="1">
        <v>21467700000000</v>
      </c>
      <c r="D23" s="1">
        <v>550400000</v>
      </c>
      <c r="E23" s="1">
        <v>0</v>
      </c>
      <c r="F23" s="1">
        <v>0</v>
      </c>
      <c r="G23" s="1">
        <v>2</v>
      </c>
      <c r="H23" s="1">
        <v>5245420000000</v>
      </c>
      <c r="I23" s="1">
        <v>4429850000000</v>
      </c>
      <c r="J23" s="1">
        <v>4318530000000</v>
      </c>
      <c r="K23" s="1">
        <v>4293210000000</v>
      </c>
      <c r="L23" s="1">
        <v>3180510000000</v>
      </c>
      <c r="N23" s="8">
        <v>0.0209982</v>
      </c>
      <c r="O23" s="1">
        <v>0.0216025</v>
      </c>
      <c r="P23" s="1">
        <v>21171200000000</v>
      </c>
      <c r="Q23" s="1">
        <v>359377000</v>
      </c>
      <c r="R23" s="1">
        <v>0</v>
      </c>
      <c r="S23" s="1">
        <v>0</v>
      </c>
      <c r="T23" s="1">
        <v>2</v>
      </c>
      <c r="U23" s="1">
        <v>5060180000000</v>
      </c>
      <c r="V23" s="1">
        <v>4405430000000</v>
      </c>
      <c r="W23" s="1">
        <v>4231440000000</v>
      </c>
      <c r="X23" s="1">
        <v>4165900000000</v>
      </c>
      <c r="Y23" s="1">
        <v>3308040000000</v>
      </c>
      <c r="AA23" s="8">
        <v>0.0210027</v>
      </c>
      <c r="AB23" s="1">
        <v>0.0216017</v>
      </c>
      <c r="AC23" s="1">
        <v>21675700000000</v>
      </c>
      <c r="AD23" s="1">
        <v>422562000</v>
      </c>
      <c r="AE23" s="1">
        <v>0</v>
      </c>
      <c r="AF23" s="1">
        <v>0</v>
      </c>
      <c r="AG23" s="1">
        <v>2</v>
      </c>
      <c r="AH23" s="1">
        <v>4787830000000</v>
      </c>
      <c r="AI23" s="1">
        <v>4266530000000</v>
      </c>
      <c r="AJ23" s="1">
        <v>4548630000000</v>
      </c>
      <c r="AK23" s="1">
        <v>4654600000000</v>
      </c>
      <c r="AL23" s="1">
        <v>3418020000000</v>
      </c>
      <c r="AN23" s="1">
        <f t="shared" si="0"/>
        <v>0.0210135</v>
      </c>
      <c r="AO23" s="1">
        <f t="shared" si="1"/>
        <v>21438200000000</v>
      </c>
      <c r="AP23" s="1"/>
      <c r="AQ23" s="1"/>
      <c r="AR23" s="1">
        <f t="shared" si="2"/>
        <v>3302190000000</v>
      </c>
      <c r="AS23" s="1">
        <f t="shared" si="3"/>
        <v>3180510000000</v>
      </c>
      <c r="AT23" s="1">
        <f t="shared" si="4"/>
        <v>3418020000000</v>
      </c>
    </row>
    <row r="24" spans="1:46">
      <c r="A24" s="8">
        <v>0.0220177</v>
      </c>
      <c r="B24" s="1">
        <v>0.0225997</v>
      </c>
      <c r="C24" s="1">
        <v>21469400000000</v>
      </c>
      <c r="D24" s="1">
        <v>689197000</v>
      </c>
      <c r="E24" s="1">
        <v>0</v>
      </c>
      <c r="F24" s="1">
        <v>0</v>
      </c>
      <c r="G24" s="1">
        <v>2</v>
      </c>
      <c r="H24" s="1">
        <v>5254130000000</v>
      </c>
      <c r="I24" s="1">
        <v>4414150000000</v>
      </c>
      <c r="J24" s="1">
        <v>4250890000000</v>
      </c>
      <c r="K24" s="1">
        <v>4253400000000</v>
      </c>
      <c r="L24" s="1">
        <v>3296690000000</v>
      </c>
      <c r="N24" s="8">
        <v>0.0219837</v>
      </c>
      <c r="O24" s="1">
        <v>0.022594</v>
      </c>
      <c r="P24" s="1">
        <v>21155000000000</v>
      </c>
      <c r="Q24" s="1">
        <v>400294000</v>
      </c>
      <c r="R24" s="1">
        <v>0</v>
      </c>
      <c r="S24" s="1">
        <v>0</v>
      </c>
      <c r="T24" s="1">
        <v>2</v>
      </c>
      <c r="U24" s="1">
        <v>5051240000000</v>
      </c>
      <c r="V24" s="1">
        <v>4066050000000</v>
      </c>
      <c r="W24" s="1">
        <v>4007750000000</v>
      </c>
      <c r="X24" s="1">
        <v>4320840000000</v>
      </c>
      <c r="Y24" s="1">
        <v>3708890000000</v>
      </c>
      <c r="AA24" s="8">
        <v>0.0220103</v>
      </c>
      <c r="AB24" s="1">
        <v>0.0225828</v>
      </c>
      <c r="AC24" s="1">
        <v>21455200000000</v>
      </c>
      <c r="AD24" s="1">
        <v>504709000</v>
      </c>
      <c r="AE24" s="1">
        <v>0</v>
      </c>
      <c r="AF24" s="1">
        <v>0</v>
      </c>
      <c r="AG24" s="1">
        <v>2</v>
      </c>
      <c r="AH24" s="1">
        <v>4698070000000</v>
      </c>
      <c r="AI24" s="1">
        <v>4742360000000</v>
      </c>
      <c r="AJ24" s="1">
        <v>4386250000000</v>
      </c>
      <c r="AK24" s="1">
        <v>4454640000000</v>
      </c>
      <c r="AL24" s="1">
        <v>3173890000000</v>
      </c>
      <c r="AN24" s="1">
        <f t="shared" si="0"/>
        <v>0.0220177</v>
      </c>
      <c r="AO24" s="1">
        <f t="shared" si="1"/>
        <v>21359866666666.7</v>
      </c>
      <c r="AP24" s="1"/>
      <c r="AQ24" s="1"/>
      <c r="AR24" s="1">
        <f t="shared" si="2"/>
        <v>3393156666666.67</v>
      </c>
      <c r="AS24" s="1">
        <f t="shared" si="3"/>
        <v>3173890000000</v>
      </c>
      <c r="AT24" s="1">
        <f t="shared" si="4"/>
        <v>3708890000000</v>
      </c>
    </row>
    <row r="25" spans="1:46">
      <c r="A25" s="8">
        <v>0.0229958</v>
      </c>
      <c r="B25" s="1">
        <v>0.0236057</v>
      </c>
      <c r="C25" s="1">
        <v>21657300000000</v>
      </c>
      <c r="D25" s="1">
        <v>586200000</v>
      </c>
      <c r="E25" s="1">
        <v>0</v>
      </c>
      <c r="F25" s="1">
        <v>0</v>
      </c>
      <c r="G25" s="1">
        <v>2</v>
      </c>
      <c r="H25" s="1">
        <v>5268440000000</v>
      </c>
      <c r="I25" s="1">
        <v>4107900000000</v>
      </c>
      <c r="J25" s="1">
        <v>4393590000000</v>
      </c>
      <c r="K25" s="1">
        <v>4269070000000</v>
      </c>
      <c r="L25" s="1">
        <v>3618300000000</v>
      </c>
      <c r="N25" s="8">
        <v>0.0229522</v>
      </c>
      <c r="O25" s="1">
        <v>0.023576</v>
      </c>
      <c r="P25" s="1">
        <v>21515700000000</v>
      </c>
      <c r="Q25" s="1">
        <v>289592000</v>
      </c>
      <c r="R25" s="1">
        <v>0</v>
      </c>
      <c r="S25" s="1">
        <v>0</v>
      </c>
      <c r="T25" s="1">
        <v>2</v>
      </c>
      <c r="U25" s="1">
        <v>5306490000000</v>
      </c>
      <c r="V25" s="1">
        <v>4199050000000</v>
      </c>
      <c r="W25" s="1">
        <v>4183260000000</v>
      </c>
      <c r="X25" s="1">
        <v>4344500000000</v>
      </c>
      <c r="Y25" s="1">
        <v>3480480000000</v>
      </c>
      <c r="AA25" s="8">
        <v>0.0229631</v>
      </c>
      <c r="AB25" s="1">
        <v>0.0235906</v>
      </c>
      <c r="AC25" s="1">
        <v>21181800000000</v>
      </c>
      <c r="AD25" s="1">
        <v>287734000</v>
      </c>
      <c r="AE25" s="1">
        <v>0</v>
      </c>
      <c r="AF25" s="1">
        <v>0</v>
      </c>
      <c r="AG25" s="1">
        <v>2</v>
      </c>
      <c r="AH25" s="1">
        <v>4351990000000</v>
      </c>
      <c r="AI25" s="1">
        <v>4424950000000</v>
      </c>
      <c r="AJ25" s="1">
        <v>4371100000000</v>
      </c>
      <c r="AK25" s="1">
        <v>4698090000000</v>
      </c>
      <c r="AL25" s="1">
        <v>3335610000000</v>
      </c>
      <c r="AN25" s="1">
        <f t="shared" si="0"/>
        <v>0.0229958</v>
      </c>
      <c r="AO25" s="1">
        <f t="shared" si="1"/>
        <v>21451600000000</v>
      </c>
      <c r="AP25" s="1"/>
      <c r="AQ25" s="1"/>
      <c r="AR25" s="1">
        <f t="shared" si="2"/>
        <v>3478130000000</v>
      </c>
      <c r="AS25" s="1">
        <f t="shared" si="3"/>
        <v>3335610000000</v>
      </c>
      <c r="AT25" s="1">
        <f t="shared" si="4"/>
        <v>3618300000000</v>
      </c>
    </row>
    <row r="26" spans="1:46">
      <c r="A26" s="8">
        <v>0.0239792</v>
      </c>
      <c r="B26" s="1">
        <v>0.0245659</v>
      </c>
      <c r="C26" s="1">
        <v>21392400000000</v>
      </c>
      <c r="D26" s="1">
        <v>506719000</v>
      </c>
      <c r="E26" s="1">
        <v>0</v>
      </c>
      <c r="F26" s="1">
        <v>0</v>
      </c>
      <c r="G26" s="1">
        <v>2</v>
      </c>
      <c r="H26" s="1">
        <v>5134130000000</v>
      </c>
      <c r="I26" s="1">
        <v>4158340000000</v>
      </c>
      <c r="J26" s="1">
        <v>4124940000000</v>
      </c>
      <c r="K26" s="1">
        <v>4337050000000</v>
      </c>
      <c r="L26" s="1">
        <v>3637910000000</v>
      </c>
      <c r="N26" s="8">
        <v>0.0239638</v>
      </c>
      <c r="O26" s="1">
        <v>0.0245778</v>
      </c>
      <c r="P26" s="1">
        <v>21202400000000</v>
      </c>
      <c r="Q26" s="1">
        <v>648504000</v>
      </c>
      <c r="R26" s="1">
        <v>0</v>
      </c>
      <c r="S26" s="1">
        <v>0</v>
      </c>
      <c r="T26" s="1">
        <v>2</v>
      </c>
      <c r="U26" s="1">
        <v>5096200000000</v>
      </c>
      <c r="V26" s="1">
        <v>4257010000000</v>
      </c>
      <c r="W26" s="1">
        <v>4171480000000</v>
      </c>
      <c r="X26" s="1">
        <v>4319320000000</v>
      </c>
      <c r="Y26" s="1">
        <v>3358150000000</v>
      </c>
      <c r="AA26" s="8">
        <v>0.0239898</v>
      </c>
      <c r="AB26" s="1">
        <v>0.0245957</v>
      </c>
      <c r="AC26" s="1">
        <v>21919100000000</v>
      </c>
      <c r="AD26" s="1">
        <v>699057000</v>
      </c>
      <c r="AE26" s="1">
        <v>0</v>
      </c>
      <c r="AF26" s="1">
        <v>0</v>
      </c>
      <c r="AG26" s="1">
        <v>2</v>
      </c>
      <c r="AH26" s="1">
        <v>4276170000000</v>
      </c>
      <c r="AI26" s="1">
        <v>4632560000000</v>
      </c>
      <c r="AJ26" s="1">
        <v>4994390000000</v>
      </c>
      <c r="AK26" s="1">
        <v>4727510000000</v>
      </c>
      <c r="AL26" s="1">
        <v>3288440000000</v>
      </c>
      <c r="AN26" s="1">
        <f t="shared" si="0"/>
        <v>0.0239792</v>
      </c>
      <c r="AO26" s="1">
        <f t="shared" si="1"/>
        <v>21504633333333.3</v>
      </c>
      <c r="AP26" s="1"/>
      <c r="AQ26" s="1"/>
      <c r="AR26" s="1">
        <f t="shared" si="2"/>
        <v>3428166666666.67</v>
      </c>
      <c r="AS26" s="1">
        <f t="shared" si="3"/>
        <v>3288440000000</v>
      </c>
      <c r="AT26" s="1">
        <f t="shared" si="4"/>
        <v>3637910000000</v>
      </c>
    </row>
    <row r="27" spans="1:46">
      <c r="A27" s="8">
        <v>0.0250385</v>
      </c>
      <c r="B27" s="1">
        <v>0.0256243</v>
      </c>
      <c r="C27" s="1">
        <v>21781800000000</v>
      </c>
      <c r="D27" s="1">
        <v>557788000</v>
      </c>
      <c r="E27" s="1">
        <v>0</v>
      </c>
      <c r="F27" s="1">
        <v>0</v>
      </c>
      <c r="G27" s="1">
        <v>2</v>
      </c>
      <c r="H27" s="1">
        <v>4894740000000</v>
      </c>
      <c r="I27" s="1">
        <v>4111780000000</v>
      </c>
      <c r="J27" s="1">
        <v>4133620000000</v>
      </c>
      <c r="K27" s="1">
        <v>4096200000000</v>
      </c>
      <c r="L27" s="1">
        <v>4545240000000</v>
      </c>
      <c r="N27" s="8">
        <v>0.0250094</v>
      </c>
      <c r="O27" s="1">
        <v>0.0256274</v>
      </c>
      <c r="P27" s="1">
        <v>21155000000000</v>
      </c>
      <c r="Q27" s="1">
        <v>271492000</v>
      </c>
      <c r="R27" s="1">
        <v>0</v>
      </c>
      <c r="S27" s="1">
        <v>0</v>
      </c>
      <c r="T27" s="1">
        <v>2</v>
      </c>
      <c r="U27" s="1">
        <v>5021290000000</v>
      </c>
      <c r="V27" s="1">
        <v>4372800000000</v>
      </c>
      <c r="W27" s="1">
        <v>4083490000000</v>
      </c>
      <c r="X27" s="1">
        <v>4166610000000</v>
      </c>
      <c r="Y27" s="1">
        <v>3510330000000</v>
      </c>
      <c r="AA27" s="8">
        <v>0.0249757</v>
      </c>
      <c r="AB27" s="1">
        <v>0.0255604</v>
      </c>
      <c r="AC27" s="1">
        <v>21261800000000</v>
      </c>
      <c r="AD27" s="1">
        <v>586782000</v>
      </c>
      <c r="AE27" s="1">
        <v>0</v>
      </c>
      <c r="AF27" s="1">
        <v>0</v>
      </c>
      <c r="AG27" s="1">
        <v>2</v>
      </c>
      <c r="AH27" s="1">
        <v>4422750000000</v>
      </c>
      <c r="AI27" s="1">
        <v>4621860000000</v>
      </c>
      <c r="AJ27" s="1">
        <v>4679440000000</v>
      </c>
      <c r="AK27" s="1">
        <v>4534450000000</v>
      </c>
      <c r="AL27" s="1">
        <v>3003010000000</v>
      </c>
      <c r="AN27" s="1">
        <f t="shared" si="0"/>
        <v>0.0250385</v>
      </c>
      <c r="AO27" s="1">
        <f t="shared" si="1"/>
        <v>21399533333333.3</v>
      </c>
      <c r="AP27" s="1"/>
      <c r="AQ27" s="1"/>
      <c r="AR27" s="1">
        <f t="shared" si="2"/>
        <v>3686193333333.33</v>
      </c>
      <c r="AS27" s="1">
        <f t="shared" si="3"/>
        <v>3003010000000</v>
      </c>
      <c r="AT27" s="1">
        <f t="shared" si="4"/>
        <v>4545240000000</v>
      </c>
    </row>
    <row r="28" spans="1:46">
      <c r="A28" s="8">
        <v>0.0259711</v>
      </c>
      <c r="B28" s="1">
        <v>0.0266145</v>
      </c>
      <c r="C28" s="1">
        <v>21849100000000</v>
      </c>
      <c r="D28" s="1">
        <v>623106000</v>
      </c>
      <c r="E28" s="1">
        <v>0</v>
      </c>
      <c r="F28" s="1">
        <v>0</v>
      </c>
      <c r="G28" s="1">
        <v>2</v>
      </c>
      <c r="H28" s="1">
        <v>4883690000000</v>
      </c>
      <c r="I28" s="1">
        <v>4220000000000</v>
      </c>
      <c r="J28" s="1">
        <v>4362710000000</v>
      </c>
      <c r="K28" s="1">
        <v>3955010000000</v>
      </c>
      <c r="L28" s="1">
        <v>4426930000000</v>
      </c>
      <c r="N28" s="8">
        <v>0.0259819</v>
      </c>
      <c r="O28" s="1">
        <v>0.0266152</v>
      </c>
      <c r="P28" s="1">
        <v>21539100000000</v>
      </c>
      <c r="Q28" s="1">
        <v>350053000</v>
      </c>
      <c r="R28" s="1">
        <v>0</v>
      </c>
      <c r="S28" s="1">
        <v>0</v>
      </c>
      <c r="T28" s="1">
        <v>2</v>
      </c>
      <c r="U28" s="1">
        <v>4955340000000</v>
      </c>
      <c r="V28" s="1">
        <v>4630400000000</v>
      </c>
      <c r="W28" s="1">
        <v>4025310000000</v>
      </c>
      <c r="X28" s="1">
        <v>4127680000000</v>
      </c>
      <c r="Y28" s="1">
        <v>3797740000000</v>
      </c>
      <c r="AA28" s="8">
        <v>0.0260048</v>
      </c>
      <c r="AB28" s="1">
        <v>0.0266103</v>
      </c>
      <c r="AC28" s="1">
        <v>21396200000000</v>
      </c>
      <c r="AD28" s="1">
        <v>396530000</v>
      </c>
      <c r="AE28" s="1">
        <v>0</v>
      </c>
      <c r="AF28" s="1">
        <v>0</v>
      </c>
      <c r="AG28" s="1">
        <v>2</v>
      </c>
      <c r="AH28" s="1">
        <v>4256640000000</v>
      </c>
      <c r="AI28" s="1">
        <v>4582210000000</v>
      </c>
      <c r="AJ28" s="1">
        <v>4864650000000</v>
      </c>
      <c r="AK28" s="1">
        <v>4477360000000</v>
      </c>
      <c r="AL28" s="1">
        <v>3215270000000</v>
      </c>
      <c r="AN28" s="1">
        <f t="shared" si="0"/>
        <v>0.0259711</v>
      </c>
      <c r="AO28" s="1">
        <f t="shared" si="1"/>
        <v>21594800000000</v>
      </c>
      <c r="AP28" s="1"/>
      <c r="AQ28" s="1"/>
      <c r="AR28" s="1">
        <f t="shared" si="2"/>
        <v>3813313333333.33</v>
      </c>
      <c r="AS28" s="1">
        <f t="shared" si="3"/>
        <v>3215270000000</v>
      </c>
      <c r="AT28" s="1">
        <f t="shared" si="4"/>
        <v>4426930000000</v>
      </c>
    </row>
    <row r="29" spans="1:46">
      <c r="A29" s="8">
        <v>0.0270411</v>
      </c>
      <c r="B29" s="1">
        <v>0.0276569</v>
      </c>
      <c r="C29" s="1">
        <v>22333600000000</v>
      </c>
      <c r="D29" s="1">
        <v>339221000</v>
      </c>
      <c r="E29" s="1">
        <v>0</v>
      </c>
      <c r="F29" s="1">
        <v>0</v>
      </c>
      <c r="G29" s="1">
        <v>2</v>
      </c>
      <c r="H29" s="1">
        <v>5311410000000</v>
      </c>
      <c r="I29" s="1">
        <v>4468250000000</v>
      </c>
      <c r="J29" s="1">
        <v>4285660000000</v>
      </c>
      <c r="K29" s="1">
        <v>4652770000000</v>
      </c>
      <c r="L29" s="1">
        <v>3615470000000</v>
      </c>
      <c r="N29" s="8">
        <v>0.0269778</v>
      </c>
      <c r="O29" s="1">
        <v>0.0275525</v>
      </c>
      <c r="P29" s="1">
        <v>22118700000000</v>
      </c>
      <c r="Q29" s="1">
        <v>443366000</v>
      </c>
      <c r="R29" s="1">
        <v>0</v>
      </c>
      <c r="S29" s="1">
        <v>0</v>
      </c>
      <c r="T29" s="1">
        <v>2</v>
      </c>
      <c r="U29" s="1">
        <v>5431830000000</v>
      </c>
      <c r="V29" s="1">
        <v>4476860000000</v>
      </c>
      <c r="W29" s="1">
        <v>4081830000000</v>
      </c>
      <c r="X29" s="1">
        <v>4647250000000</v>
      </c>
      <c r="Y29" s="1">
        <v>3480910000000</v>
      </c>
      <c r="AA29" s="8">
        <v>0.0269939</v>
      </c>
      <c r="AB29" s="1">
        <v>0.0275649</v>
      </c>
      <c r="AC29" s="1">
        <v>21517500000000</v>
      </c>
      <c r="AD29" s="1">
        <v>427100000</v>
      </c>
      <c r="AE29" s="1">
        <v>0</v>
      </c>
      <c r="AF29" s="1">
        <v>0</v>
      </c>
      <c r="AG29" s="1">
        <v>2</v>
      </c>
      <c r="AH29" s="1">
        <v>4656430000000</v>
      </c>
      <c r="AI29" s="1">
        <v>4712330000000</v>
      </c>
      <c r="AJ29" s="1">
        <v>4822370000000</v>
      </c>
      <c r="AK29" s="1">
        <v>4667560000000</v>
      </c>
      <c r="AL29" s="1">
        <v>2658760000000</v>
      </c>
      <c r="AN29" s="1">
        <f t="shared" si="0"/>
        <v>0.0270411</v>
      </c>
      <c r="AO29" s="1">
        <f t="shared" si="1"/>
        <v>21989933333333.3</v>
      </c>
      <c r="AP29" s="1"/>
      <c r="AQ29" s="1"/>
      <c r="AR29" s="1">
        <f t="shared" si="2"/>
        <v>3251713333333.33</v>
      </c>
      <c r="AS29" s="1">
        <f t="shared" si="3"/>
        <v>2658760000000</v>
      </c>
      <c r="AT29" s="1">
        <f t="shared" si="4"/>
        <v>3615470000000</v>
      </c>
    </row>
    <row r="30" spans="1:46">
      <c r="A30" s="8">
        <v>0.0279846</v>
      </c>
      <c r="B30" s="1">
        <v>0.0285826</v>
      </c>
      <c r="C30" s="1">
        <v>21993700000000</v>
      </c>
      <c r="D30" s="1">
        <v>573857000</v>
      </c>
      <c r="E30" s="1">
        <v>0</v>
      </c>
      <c r="F30" s="1">
        <v>0</v>
      </c>
      <c r="G30" s="1">
        <v>2</v>
      </c>
      <c r="H30" s="1">
        <v>5303750000000</v>
      </c>
      <c r="I30" s="1">
        <v>4346220000000</v>
      </c>
      <c r="J30" s="1">
        <v>4397730000000</v>
      </c>
      <c r="K30" s="1">
        <v>4515000000000</v>
      </c>
      <c r="L30" s="1">
        <v>3430640000000</v>
      </c>
      <c r="N30" s="8">
        <v>0.0280116</v>
      </c>
      <c r="O30" s="1">
        <v>0.0285809</v>
      </c>
      <c r="P30" s="1">
        <v>22215900000000</v>
      </c>
      <c r="Q30" s="1">
        <v>500107000</v>
      </c>
      <c r="R30" s="1">
        <v>0</v>
      </c>
      <c r="S30" s="1">
        <v>0</v>
      </c>
      <c r="T30" s="1">
        <v>2</v>
      </c>
      <c r="U30" s="1">
        <v>5320440000000</v>
      </c>
      <c r="V30" s="1">
        <v>4305220000000</v>
      </c>
      <c r="W30" s="1">
        <v>4543940000000</v>
      </c>
      <c r="X30" s="1">
        <v>4835830000000</v>
      </c>
      <c r="Y30" s="1">
        <v>3210400000000</v>
      </c>
      <c r="AA30" s="8">
        <v>0.027993</v>
      </c>
      <c r="AB30" s="1">
        <v>0.0285699</v>
      </c>
      <c r="AC30" s="1">
        <v>21105500000000</v>
      </c>
      <c r="AD30" s="1">
        <v>524129000</v>
      </c>
      <c r="AE30" s="1">
        <v>0</v>
      </c>
      <c r="AF30" s="1">
        <v>0</v>
      </c>
      <c r="AG30" s="1">
        <v>2</v>
      </c>
      <c r="AH30" s="1">
        <v>4599990000000</v>
      </c>
      <c r="AI30" s="1">
        <v>4727220000000</v>
      </c>
      <c r="AJ30" s="1">
        <v>4700700000000</v>
      </c>
      <c r="AK30" s="1">
        <v>4667630000000</v>
      </c>
      <c r="AL30" s="1">
        <v>2409920000000</v>
      </c>
      <c r="AN30" s="1">
        <f t="shared" si="0"/>
        <v>0.0279846</v>
      </c>
      <c r="AO30" s="1">
        <f t="shared" si="1"/>
        <v>21771700000000</v>
      </c>
      <c r="AP30" s="1"/>
      <c r="AQ30" s="1"/>
      <c r="AR30" s="1">
        <f t="shared" si="2"/>
        <v>3016986666666.67</v>
      </c>
      <c r="AS30" s="1">
        <f t="shared" si="3"/>
        <v>2409920000000</v>
      </c>
      <c r="AT30" s="1">
        <f t="shared" si="4"/>
        <v>3430640000000</v>
      </c>
    </row>
    <row r="31" spans="1:46">
      <c r="A31" s="8">
        <v>0.0289733</v>
      </c>
      <c r="B31" s="1">
        <v>0.029594</v>
      </c>
      <c r="C31" s="1">
        <v>22234500000000</v>
      </c>
      <c r="D31" s="1">
        <v>587933000</v>
      </c>
      <c r="E31" s="1">
        <v>0</v>
      </c>
      <c r="F31" s="1">
        <v>0</v>
      </c>
      <c r="G31" s="1">
        <v>2</v>
      </c>
      <c r="H31" s="1">
        <v>5559980000000</v>
      </c>
      <c r="I31" s="1">
        <v>4455820000000</v>
      </c>
      <c r="J31" s="1">
        <v>4248940000000</v>
      </c>
      <c r="K31" s="1">
        <v>4192960000000</v>
      </c>
      <c r="L31" s="1">
        <v>3776660000000</v>
      </c>
      <c r="N31" s="8">
        <v>0.0290093</v>
      </c>
      <c r="O31" s="1">
        <v>0.02961</v>
      </c>
      <c r="P31" s="1">
        <v>21836500000000</v>
      </c>
      <c r="Q31" s="1">
        <v>511823000</v>
      </c>
      <c r="R31" s="1">
        <v>0</v>
      </c>
      <c r="S31" s="1">
        <v>0</v>
      </c>
      <c r="T31" s="1">
        <v>2</v>
      </c>
      <c r="U31" s="1">
        <v>5460260000000</v>
      </c>
      <c r="V31" s="1">
        <v>4405090000000</v>
      </c>
      <c r="W31" s="1">
        <v>4667390000000</v>
      </c>
      <c r="X31" s="1">
        <v>4433630000000</v>
      </c>
      <c r="Y31" s="1">
        <v>2870070000000</v>
      </c>
      <c r="AA31" s="8">
        <v>0.0289668</v>
      </c>
      <c r="AB31" s="1">
        <v>0.0295351</v>
      </c>
      <c r="AC31" s="1">
        <v>20557700000000</v>
      </c>
      <c r="AD31" s="1">
        <v>457896000</v>
      </c>
      <c r="AE31" s="1">
        <v>0</v>
      </c>
      <c r="AF31" s="1">
        <v>0</v>
      </c>
      <c r="AG31" s="1">
        <v>2</v>
      </c>
      <c r="AH31" s="1">
        <v>4483430000000</v>
      </c>
      <c r="AI31" s="1">
        <v>4522980000000</v>
      </c>
      <c r="AJ31" s="1">
        <v>4442480000000</v>
      </c>
      <c r="AK31" s="1">
        <v>4583330000000</v>
      </c>
      <c r="AL31" s="1">
        <v>2525400000000</v>
      </c>
      <c r="AN31" s="1">
        <f t="shared" si="0"/>
        <v>0.0289733</v>
      </c>
      <c r="AO31" s="1">
        <f t="shared" si="1"/>
        <v>21542900000000</v>
      </c>
      <c r="AP31" s="1"/>
      <c r="AQ31" s="1"/>
      <c r="AR31" s="1">
        <f t="shared" si="2"/>
        <v>3057376666666.67</v>
      </c>
      <c r="AS31" s="1">
        <f t="shared" si="3"/>
        <v>2525400000000</v>
      </c>
      <c r="AT31" s="1">
        <f t="shared" si="4"/>
        <v>3776660000000</v>
      </c>
    </row>
    <row r="32" spans="1:46">
      <c r="A32" s="8">
        <v>0.029997</v>
      </c>
      <c r="B32" s="1">
        <v>0.0306052</v>
      </c>
      <c r="C32" s="1">
        <v>21980800000000</v>
      </c>
      <c r="D32" s="1">
        <v>301139000</v>
      </c>
      <c r="E32" s="1">
        <v>0</v>
      </c>
      <c r="F32" s="1">
        <v>0</v>
      </c>
      <c r="G32" s="1">
        <v>2</v>
      </c>
      <c r="H32" s="1">
        <v>5137640000000</v>
      </c>
      <c r="I32" s="1">
        <v>4482540000000</v>
      </c>
      <c r="J32" s="1">
        <v>4400630000000</v>
      </c>
      <c r="K32" s="1">
        <v>4526370000000</v>
      </c>
      <c r="L32" s="1">
        <v>3433570000000</v>
      </c>
      <c r="N32" s="8">
        <v>0.0299846</v>
      </c>
      <c r="O32" s="1">
        <v>0.0305669</v>
      </c>
      <c r="P32" s="1">
        <v>21279700000000</v>
      </c>
      <c r="Q32" s="1">
        <v>379452000</v>
      </c>
      <c r="R32" s="1">
        <v>0</v>
      </c>
      <c r="S32" s="1">
        <v>0</v>
      </c>
      <c r="T32" s="1">
        <v>2</v>
      </c>
      <c r="U32" s="1">
        <v>5250330000000</v>
      </c>
      <c r="V32" s="1">
        <v>4494290000000</v>
      </c>
      <c r="W32" s="1">
        <v>4278640000000</v>
      </c>
      <c r="X32" s="1">
        <v>4427650000000</v>
      </c>
      <c r="Y32" s="1">
        <v>2828750000000</v>
      </c>
      <c r="AA32" s="8">
        <v>0.0299921</v>
      </c>
      <c r="AB32" s="1">
        <v>0.0305815</v>
      </c>
      <c r="AC32" s="1">
        <v>20568600000000</v>
      </c>
      <c r="AD32" s="1">
        <v>263488000</v>
      </c>
      <c r="AE32" s="1">
        <v>0</v>
      </c>
      <c r="AF32" s="1">
        <v>0</v>
      </c>
      <c r="AG32" s="1">
        <v>2</v>
      </c>
      <c r="AH32" s="1">
        <v>4615390000000</v>
      </c>
      <c r="AI32" s="1">
        <v>4448210000000</v>
      </c>
      <c r="AJ32" s="1">
        <v>4557210000000</v>
      </c>
      <c r="AK32" s="1">
        <v>4747320000000</v>
      </c>
      <c r="AL32" s="1">
        <v>2200520000000</v>
      </c>
      <c r="AN32" s="1">
        <f t="shared" si="0"/>
        <v>0.029997</v>
      </c>
      <c r="AO32" s="1">
        <f t="shared" si="1"/>
        <v>21276366666666.7</v>
      </c>
      <c r="AP32" s="1"/>
      <c r="AQ32" s="1"/>
      <c r="AR32" s="1">
        <f t="shared" si="2"/>
        <v>2820946666666.67</v>
      </c>
      <c r="AS32" s="1">
        <f t="shared" si="3"/>
        <v>2200520000000</v>
      </c>
      <c r="AT32" s="1">
        <f t="shared" si="4"/>
        <v>3433570000000</v>
      </c>
    </row>
    <row r="33" spans="1:46">
      <c r="A33" s="8">
        <v>0.031047</v>
      </c>
      <c r="B33" s="1">
        <v>0.0316177</v>
      </c>
      <c r="C33" s="1">
        <v>21840200000000</v>
      </c>
      <c r="D33" s="1">
        <v>767607000</v>
      </c>
      <c r="E33" s="1">
        <v>0</v>
      </c>
      <c r="F33" s="1">
        <v>0</v>
      </c>
      <c r="G33" s="1">
        <v>2</v>
      </c>
      <c r="H33" s="1">
        <v>5485300000000</v>
      </c>
      <c r="I33" s="1">
        <v>4291030000000</v>
      </c>
      <c r="J33" s="1">
        <v>4644010000000</v>
      </c>
      <c r="K33" s="1">
        <v>4371630000000</v>
      </c>
      <c r="L33" s="1">
        <v>3048220000000</v>
      </c>
      <c r="N33" s="8">
        <v>0.0310264</v>
      </c>
      <c r="O33" s="1">
        <v>0.031621</v>
      </c>
      <c r="P33" s="1">
        <v>20955100000000</v>
      </c>
      <c r="Q33" s="1">
        <v>228547000</v>
      </c>
      <c r="R33" s="1">
        <v>0</v>
      </c>
      <c r="S33" s="1">
        <v>0</v>
      </c>
      <c r="T33" s="1">
        <v>2</v>
      </c>
      <c r="U33" s="1">
        <v>5095480000000</v>
      </c>
      <c r="V33" s="1">
        <v>4318940000000</v>
      </c>
      <c r="W33" s="1">
        <v>4384080000000</v>
      </c>
      <c r="X33" s="1">
        <v>4339110000000</v>
      </c>
      <c r="Y33" s="1">
        <v>2817410000000</v>
      </c>
      <c r="AA33" s="8">
        <v>0.0310002</v>
      </c>
      <c r="AB33" s="1">
        <v>0.0316004</v>
      </c>
      <c r="AC33" s="1">
        <v>20652200000000</v>
      </c>
      <c r="AD33" s="1">
        <v>226748000</v>
      </c>
      <c r="AE33" s="1">
        <v>0</v>
      </c>
      <c r="AF33" s="1">
        <v>0</v>
      </c>
      <c r="AG33" s="1">
        <v>2</v>
      </c>
      <c r="AH33" s="1">
        <v>4456710000000</v>
      </c>
      <c r="AI33" s="1">
        <v>4440150000000</v>
      </c>
      <c r="AJ33" s="1">
        <v>4436890000000</v>
      </c>
      <c r="AK33" s="1">
        <v>4598980000000</v>
      </c>
      <c r="AL33" s="1">
        <v>2719480000000</v>
      </c>
      <c r="AN33" s="1">
        <f t="shared" ref="AN33:AN49" si="5">A33</f>
        <v>0.031047</v>
      </c>
      <c r="AO33" s="1">
        <f t="shared" ref="AO33:AO49" si="6">AVERAGE(C33,P33,AC33)</f>
        <v>21149166666666.7</v>
      </c>
      <c r="AP33" s="1"/>
      <c r="AQ33" s="1"/>
      <c r="AR33" s="1">
        <f t="shared" ref="AR33:AR49" si="7">AVERAGE(L33,Y33,AL33)</f>
        <v>2861703333333.33</v>
      </c>
      <c r="AS33" s="1">
        <f t="shared" ref="AS33:AS49" si="8">MIN(L33,Y33,AL33)</f>
        <v>2719480000000</v>
      </c>
      <c r="AT33" s="1">
        <f t="shared" ref="AT33:AT49" si="9">MAX(L33,Y33,AL33)</f>
        <v>3048220000000</v>
      </c>
    </row>
    <row r="34" spans="1:46">
      <c r="A34" s="8">
        <v>0.0320034</v>
      </c>
      <c r="B34" s="1">
        <v>0.0326159</v>
      </c>
      <c r="C34" s="1">
        <v>21169300000000</v>
      </c>
      <c r="D34" s="1">
        <v>392675000</v>
      </c>
      <c r="E34" s="1">
        <v>0</v>
      </c>
      <c r="F34" s="1">
        <v>0</v>
      </c>
      <c r="G34" s="1">
        <v>2</v>
      </c>
      <c r="H34" s="1">
        <v>5193590000000</v>
      </c>
      <c r="I34" s="1">
        <v>4255540000000</v>
      </c>
      <c r="J34" s="1">
        <v>4231290000000</v>
      </c>
      <c r="K34" s="1">
        <v>4540770000000</v>
      </c>
      <c r="L34" s="1">
        <v>2948020000000</v>
      </c>
      <c r="N34" s="8">
        <v>0.0319747</v>
      </c>
      <c r="O34" s="1">
        <v>0.0325763</v>
      </c>
      <c r="P34" s="1">
        <v>21509100000000</v>
      </c>
      <c r="Q34" s="1">
        <v>269454000</v>
      </c>
      <c r="R34" s="1">
        <v>0</v>
      </c>
      <c r="S34" s="1">
        <v>0</v>
      </c>
      <c r="T34" s="1">
        <v>2</v>
      </c>
      <c r="U34" s="1">
        <v>5088100000000</v>
      </c>
      <c r="V34" s="1">
        <v>4499250000000</v>
      </c>
      <c r="W34" s="1">
        <v>4543990000000</v>
      </c>
      <c r="X34" s="1">
        <v>4442090000000</v>
      </c>
      <c r="Y34" s="1">
        <v>2935610000000</v>
      </c>
      <c r="AA34" s="8">
        <v>0.032014</v>
      </c>
      <c r="AB34" s="1">
        <v>0.0325709</v>
      </c>
      <c r="AC34" s="1">
        <v>20944600000000</v>
      </c>
      <c r="AD34" s="1">
        <v>337676000</v>
      </c>
      <c r="AE34" s="1">
        <v>0</v>
      </c>
      <c r="AF34" s="1">
        <v>0</v>
      </c>
      <c r="AG34" s="1">
        <v>2</v>
      </c>
      <c r="AH34" s="1">
        <v>4666220000000</v>
      </c>
      <c r="AI34" s="1">
        <v>4722260000000</v>
      </c>
      <c r="AJ34" s="1">
        <v>4490070000000</v>
      </c>
      <c r="AK34" s="1">
        <v>4751260000000</v>
      </c>
      <c r="AL34" s="1">
        <v>2314760000000</v>
      </c>
      <c r="AN34" s="1">
        <f t="shared" si="5"/>
        <v>0.0320034</v>
      </c>
      <c r="AO34" s="1">
        <f t="shared" si="6"/>
        <v>21207666666666.7</v>
      </c>
      <c r="AP34" s="1"/>
      <c r="AQ34" s="1"/>
      <c r="AR34" s="1">
        <f t="shared" si="7"/>
        <v>2732796666666.67</v>
      </c>
      <c r="AS34" s="1">
        <f t="shared" si="8"/>
        <v>2314760000000</v>
      </c>
      <c r="AT34" s="1">
        <f t="shared" si="9"/>
        <v>2948020000000</v>
      </c>
    </row>
    <row r="35" spans="1:46">
      <c r="A35" s="8">
        <v>0.0330218</v>
      </c>
      <c r="B35" s="1">
        <v>0.0336379</v>
      </c>
      <c r="C35" s="1">
        <v>21543900000000</v>
      </c>
      <c r="D35" s="1">
        <v>354478000</v>
      </c>
      <c r="E35" s="1">
        <v>0</v>
      </c>
      <c r="F35" s="1">
        <v>0</v>
      </c>
      <c r="G35" s="1">
        <v>2</v>
      </c>
      <c r="H35" s="1">
        <v>5188080000000</v>
      </c>
      <c r="I35" s="1">
        <v>4163960000000</v>
      </c>
      <c r="J35" s="1">
        <v>4360380000000</v>
      </c>
      <c r="K35" s="1">
        <v>4621760000000</v>
      </c>
      <c r="L35" s="1">
        <v>3209750000000</v>
      </c>
      <c r="N35" s="8">
        <v>0.0329793</v>
      </c>
      <c r="O35" s="1">
        <v>0.0335691</v>
      </c>
      <c r="P35" s="1">
        <v>21630500000000</v>
      </c>
      <c r="Q35" s="1">
        <v>196895000</v>
      </c>
      <c r="R35" s="1">
        <v>0</v>
      </c>
      <c r="S35" s="1">
        <v>0</v>
      </c>
      <c r="T35" s="1">
        <v>2</v>
      </c>
      <c r="U35" s="1">
        <v>5144840000000</v>
      </c>
      <c r="V35" s="1">
        <v>4412680000000</v>
      </c>
      <c r="W35" s="1">
        <v>4476270000000</v>
      </c>
      <c r="X35" s="1">
        <v>4613250000000</v>
      </c>
      <c r="Y35" s="1">
        <v>2983430000000</v>
      </c>
      <c r="AA35" s="8">
        <v>0.0330115</v>
      </c>
      <c r="AB35" s="1">
        <v>0.0335967</v>
      </c>
      <c r="AC35" s="1">
        <v>21043700000000</v>
      </c>
      <c r="AD35" s="1">
        <v>323174000</v>
      </c>
      <c r="AE35" s="1">
        <v>0</v>
      </c>
      <c r="AF35" s="1">
        <v>0</v>
      </c>
      <c r="AG35" s="1">
        <v>2</v>
      </c>
      <c r="AH35" s="1">
        <v>4696870000000</v>
      </c>
      <c r="AI35" s="1">
        <v>4346930000000</v>
      </c>
      <c r="AJ35" s="1">
        <v>4540740000000</v>
      </c>
      <c r="AK35" s="1">
        <v>4621440000000</v>
      </c>
      <c r="AL35" s="1">
        <v>2837750000000</v>
      </c>
      <c r="AN35" s="1">
        <f t="shared" si="5"/>
        <v>0.0330218</v>
      </c>
      <c r="AO35" s="1">
        <f t="shared" si="6"/>
        <v>21406033333333.3</v>
      </c>
      <c r="AP35" s="1"/>
      <c r="AQ35" s="1"/>
      <c r="AR35" s="1">
        <f t="shared" si="7"/>
        <v>3010310000000</v>
      </c>
      <c r="AS35" s="1">
        <f t="shared" si="8"/>
        <v>2837750000000</v>
      </c>
      <c r="AT35" s="1">
        <f t="shared" si="9"/>
        <v>3209750000000</v>
      </c>
    </row>
    <row r="36" spans="1:46">
      <c r="A36" s="8">
        <v>0.0339396</v>
      </c>
      <c r="B36" s="1">
        <v>0.0345744</v>
      </c>
      <c r="C36" s="1">
        <v>21579300000000</v>
      </c>
      <c r="D36" s="1">
        <v>436464000</v>
      </c>
      <c r="E36" s="1">
        <v>0</v>
      </c>
      <c r="F36" s="1">
        <v>0</v>
      </c>
      <c r="G36" s="1">
        <v>2</v>
      </c>
      <c r="H36" s="1">
        <v>5245650000000</v>
      </c>
      <c r="I36" s="1">
        <v>4112050000000</v>
      </c>
      <c r="J36" s="1">
        <v>4362920000000</v>
      </c>
      <c r="K36" s="1">
        <v>4274600000000</v>
      </c>
      <c r="L36" s="1">
        <v>3584010000000</v>
      </c>
      <c r="N36" s="8">
        <v>0.0340092</v>
      </c>
      <c r="O36" s="1">
        <v>0.03458</v>
      </c>
      <c r="P36" s="1">
        <v>22032900000000</v>
      </c>
      <c r="Q36" s="1">
        <v>497489000</v>
      </c>
      <c r="R36" s="1">
        <v>0</v>
      </c>
      <c r="S36" s="1">
        <v>0</v>
      </c>
      <c r="T36" s="1">
        <v>2</v>
      </c>
      <c r="U36" s="1">
        <v>5579230000000</v>
      </c>
      <c r="V36" s="1">
        <v>4201150000000</v>
      </c>
      <c r="W36" s="1">
        <v>4731470000000</v>
      </c>
      <c r="X36" s="1">
        <v>4251640000000</v>
      </c>
      <c r="Y36" s="1">
        <v>3269400000000</v>
      </c>
      <c r="AA36" s="8">
        <v>0.034001</v>
      </c>
      <c r="AB36" s="1">
        <v>0.0345824</v>
      </c>
      <c r="AC36" s="1">
        <v>21182800000000</v>
      </c>
      <c r="AD36" s="1">
        <v>424182000</v>
      </c>
      <c r="AE36" s="1">
        <v>0</v>
      </c>
      <c r="AF36" s="1">
        <v>0</v>
      </c>
      <c r="AG36" s="1">
        <v>2</v>
      </c>
      <c r="AH36" s="1">
        <v>4668440000000</v>
      </c>
      <c r="AI36" s="1">
        <v>4402220000000</v>
      </c>
      <c r="AJ36" s="1">
        <v>4515320000000</v>
      </c>
      <c r="AK36" s="1">
        <v>4824120000000</v>
      </c>
      <c r="AL36" s="1">
        <v>2772560000000</v>
      </c>
      <c r="AN36" s="1">
        <f t="shared" si="5"/>
        <v>0.0339396</v>
      </c>
      <c r="AO36" s="1">
        <f t="shared" si="6"/>
        <v>21598333333333.3</v>
      </c>
      <c r="AP36" s="1"/>
      <c r="AQ36" s="1"/>
      <c r="AR36" s="1">
        <f t="shared" si="7"/>
        <v>3208656666666.67</v>
      </c>
      <c r="AS36" s="1">
        <f t="shared" si="8"/>
        <v>2772560000000</v>
      </c>
      <c r="AT36" s="1">
        <f t="shared" si="9"/>
        <v>3584010000000</v>
      </c>
    </row>
    <row r="37" spans="1:46">
      <c r="A37" s="8">
        <v>0.0349819</v>
      </c>
      <c r="B37" s="1">
        <v>0.0355661</v>
      </c>
      <c r="C37" s="1">
        <v>22033000000000</v>
      </c>
      <c r="D37" s="1">
        <v>480024000</v>
      </c>
      <c r="E37" s="1">
        <v>0</v>
      </c>
      <c r="F37" s="1">
        <v>0</v>
      </c>
      <c r="G37" s="1">
        <v>2</v>
      </c>
      <c r="H37" s="1">
        <v>5460680000000</v>
      </c>
      <c r="I37" s="1">
        <v>4194470000000</v>
      </c>
      <c r="J37" s="1">
        <v>4727050000000</v>
      </c>
      <c r="K37" s="1">
        <v>4390690000000</v>
      </c>
      <c r="L37" s="1">
        <v>3260090000000</v>
      </c>
      <c r="N37" s="8">
        <v>0.0349888</v>
      </c>
      <c r="O37" s="1">
        <v>0.0355986</v>
      </c>
      <c r="P37" s="1">
        <v>21479000000000</v>
      </c>
      <c r="Q37" s="1">
        <v>302744000</v>
      </c>
      <c r="R37" s="1">
        <v>0</v>
      </c>
      <c r="S37" s="1">
        <v>0</v>
      </c>
      <c r="T37" s="1">
        <v>2</v>
      </c>
      <c r="U37" s="1">
        <v>5525370000000</v>
      </c>
      <c r="V37" s="1">
        <v>4253090000000</v>
      </c>
      <c r="W37" s="1">
        <v>4145850000000</v>
      </c>
      <c r="X37" s="1">
        <v>4106740000000</v>
      </c>
      <c r="Y37" s="1">
        <v>3447860000000</v>
      </c>
      <c r="AA37" s="8">
        <v>0.0349605</v>
      </c>
      <c r="AB37" s="1">
        <v>0.0355229</v>
      </c>
      <c r="AC37" s="1">
        <v>21312900000000</v>
      </c>
      <c r="AD37" s="1">
        <v>410846000</v>
      </c>
      <c r="AE37" s="1">
        <v>0</v>
      </c>
      <c r="AF37" s="1">
        <v>0</v>
      </c>
      <c r="AG37" s="1">
        <v>2</v>
      </c>
      <c r="AH37" s="1">
        <v>4399500000000</v>
      </c>
      <c r="AI37" s="1">
        <v>4344680000000</v>
      </c>
      <c r="AJ37" s="1">
        <v>4159260000000</v>
      </c>
      <c r="AK37" s="1">
        <v>5196630000000</v>
      </c>
      <c r="AL37" s="1">
        <v>3212620000000</v>
      </c>
      <c r="AN37" s="1">
        <f t="shared" si="5"/>
        <v>0.0349819</v>
      </c>
      <c r="AO37" s="1">
        <f t="shared" si="6"/>
        <v>21608300000000</v>
      </c>
      <c r="AP37" s="1"/>
      <c r="AQ37" s="1"/>
      <c r="AR37" s="1">
        <f t="shared" si="7"/>
        <v>3306856666666.67</v>
      </c>
      <c r="AS37" s="1">
        <f t="shared" si="8"/>
        <v>3212620000000</v>
      </c>
      <c r="AT37" s="1">
        <f t="shared" si="9"/>
        <v>3447860000000</v>
      </c>
    </row>
    <row r="38" spans="1:46">
      <c r="A38" s="8">
        <v>0.0360416</v>
      </c>
      <c r="B38" s="1">
        <v>0.0365896</v>
      </c>
      <c r="C38" s="1">
        <v>22492100000000</v>
      </c>
      <c r="D38" s="1">
        <v>326740000</v>
      </c>
      <c r="E38" s="1">
        <v>0</v>
      </c>
      <c r="F38" s="1">
        <v>0</v>
      </c>
      <c r="G38" s="1">
        <v>2</v>
      </c>
      <c r="H38" s="1">
        <v>5795830000000</v>
      </c>
      <c r="I38" s="1">
        <v>4404710000000</v>
      </c>
      <c r="J38" s="1">
        <v>4823720000000</v>
      </c>
      <c r="K38" s="1">
        <v>4417920000000</v>
      </c>
      <c r="L38" s="1">
        <v>3049890000000</v>
      </c>
      <c r="N38" s="8">
        <v>0.0359777</v>
      </c>
      <c r="O38" s="1">
        <v>0.0365785</v>
      </c>
      <c r="P38" s="1">
        <v>21226600000000</v>
      </c>
      <c r="Q38" s="1">
        <v>517028000</v>
      </c>
      <c r="R38" s="1">
        <v>0</v>
      </c>
      <c r="S38" s="1">
        <v>0</v>
      </c>
      <c r="T38" s="1">
        <v>2</v>
      </c>
      <c r="U38" s="1">
        <v>5212860000000</v>
      </c>
      <c r="V38" s="1">
        <v>4391020000000</v>
      </c>
      <c r="W38" s="1">
        <v>4104930000000</v>
      </c>
      <c r="X38" s="1">
        <v>4296580000000</v>
      </c>
      <c r="Y38" s="1">
        <v>3221150000000</v>
      </c>
      <c r="AA38" s="8">
        <v>0.0359784</v>
      </c>
      <c r="AB38" s="1">
        <v>0.0365842</v>
      </c>
      <c r="AC38" s="1">
        <v>21005600000000</v>
      </c>
      <c r="AD38" s="1">
        <v>563601000</v>
      </c>
      <c r="AE38" s="1">
        <v>0</v>
      </c>
      <c r="AF38" s="1">
        <v>0</v>
      </c>
      <c r="AG38" s="1">
        <v>2</v>
      </c>
      <c r="AH38" s="1">
        <v>4263560000000</v>
      </c>
      <c r="AI38" s="1">
        <v>4259720000000</v>
      </c>
      <c r="AJ38" s="1">
        <v>4427170000000</v>
      </c>
      <c r="AK38" s="1">
        <v>4484420000000</v>
      </c>
      <c r="AL38" s="1">
        <v>3570110000000</v>
      </c>
      <c r="AN38" s="1">
        <f t="shared" si="5"/>
        <v>0.0360416</v>
      </c>
      <c r="AO38" s="1">
        <f t="shared" si="6"/>
        <v>21574766666666.7</v>
      </c>
      <c r="AP38" s="1"/>
      <c r="AQ38" s="1"/>
      <c r="AR38" s="1">
        <f t="shared" si="7"/>
        <v>3280383333333.33</v>
      </c>
      <c r="AS38" s="1">
        <f t="shared" si="8"/>
        <v>3049890000000</v>
      </c>
      <c r="AT38" s="1">
        <f t="shared" si="9"/>
        <v>3570110000000</v>
      </c>
    </row>
    <row r="39" spans="1:46">
      <c r="A39" s="8">
        <v>0.0370234</v>
      </c>
      <c r="B39" s="1">
        <v>0.0375969</v>
      </c>
      <c r="C39" s="1">
        <v>21887700000000</v>
      </c>
      <c r="D39" s="1">
        <v>583878000</v>
      </c>
      <c r="E39" s="1">
        <v>0</v>
      </c>
      <c r="F39" s="1">
        <v>0</v>
      </c>
      <c r="G39" s="1">
        <v>2</v>
      </c>
      <c r="H39" s="1">
        <v>4975910000000</v>
      </c>
      <c r="I39" s="1">
        <v>4556710000000</v>
      </c>
      <c r="J39" s="1">
        <v>4727380000000</v>
      </c>
      <c r="K39" s="1">
        <v>4444090000000</v>
      </c>
      <c r="L39" s="1">
        <v>3183540000000</v>
      </c>
      <c r="N39" s="8">
        <v>0.036991</v>
      </c>
      <c r="O39" s="1">
        <v>0.0375879</v>
      </c>
      <c r="P39" s="1">
        <v>21478000000000</v>
      </c>
      <c r="Q39" s="1">
        <v>706543000</v>
      </c>
      <c r="R39" s="1">
        <v>0</v>
      </c>
      <c r="S39" s="1">
        <v>0</v>
      </c>
      <c r="T39" s="1">
        <v>2</v>
      </c>
      <c r="U39" s="1">
        <v>5103670000000</v>
      </c>
      <c r="V39" s="1">
        <v>4432000000000</v>
      </c>
      <c r="W39" s="1">
        <v>4232300000000</v>
      </c>
      <c r="X39" s="1">
        <v>4575900000000</v>
      </c>
      <c r="Y39" s="1">
        <v>3134120000000</v>
      </c>
      <c r="AA39" s="8">
        <v>0.0370149</v>
      </c>
      <c r="AB39" s="1">
        <v>0.0375948</v>
      </c>
      <c r="AC39" s="1">
        <v>21742400000000</v>
      </c>
      <c r="AD39" s="1">
        <v>354701000</v>
      </c>
      <c r="AE39" s="1">
        <v>0</v>
      </c>
      <c r="AF39" s="1">
        <v>0</v>
      </c>
      <c r="AG39" s="1">
        <v>2</v>
      </c>
      <c r="AH39" s="1">
        <v>4272760000000</v>
      </c>
      <c r="AI39" s="1">
        <v>4385210000000</v>
      </c>
      <c r="AJ39" s="1">
        <v>4150850000000</v>
      </c>
      <c r="AK39" s="1">
        <v>5168320000000</v>
      </c>
      <c r="AL39" s="1">
        <v>3765230000000</v>
      </c>
      <c r="AN39" s="1">
        <f t="shared" si="5"/>
        <v>0.0370234</v>
      </c>
      <c r="AO39" s="1">
        <f t="shared" si="6"/>
        <v>21702700000000</v>
      </c>
      <c r="AP39" s="1"/>
      <c r="AQ39" s="1"/>
      <c r="AR39" s="1">
        <f t="shared" si="7"/>
        <v>3360963333333.33</v>
      </c>
      <c r="AS39" s="1">
        <f t="shared" si="8"/>
        <v>3134120000000</v>
      </c>
      <c r="AT39" s="1">
        <f t="shared" si="9"/>
        <v>3765230000000</v>
      </c>
    </row>
    <row r="40" spans="1:46">
      <c r="A40" s="8">
        <v>0.0380057</v>
      </c>
      <c r="B40" s="1">
        <v>0.0386164</v>
      </c>
      <c r="C40" s="1">
        <v>21503200000000</v>
      </c>
      <c r="D40" s="1">
        <v>310244000</v>
      </c>
      <c r="E40" s="1">
        <v>0</v>
      </c>
      <c r="F40" s="1">
        <v>0</v>
      </c>
      <c r="G40" s="1">
        <v>2</v>
      </c>
      <c r="H40" s="1">
        <v>5039930000000</v>
      </c>
      <c r="I40" s="1">
        <v>4156340000000</v>
      </c>
      <c r="J40" s="1">
        <v>4505630000000</v>
      </c>
      <c r="K40" s="1">
        <v>4175090000000</v>
      </c>
      <c r="L40" s="1">
        <v>3626120000000</v>
      </c>
      <c r="N40" s="8">
        <v>0.0379897</v>
      </c>
      <c r="O40" s="1">
        <v>0.038586</v>
      </c>
      <c r="P40" s="1">
        <v>21409800000000</v>
      </c>
      <c r="Q40" s="1">
        <v>339391000</v>
      </c>
      <c r="R40" s="1">
        <v>0</v>
      </c>
      <c r="S40" s="1">
        <v>0</v>
      </c>
      <c r="T40" s="1">
        <v>2</v>
      </c>
      <c r="U40" s="1">
        <v>4953760000000</v>
      </c>
      <c r="V40" s="1">
        <v>4331890000000</v>
      </c>
      <c r="W40" s="1">
        <v>4371950000000</v>
      </c>
      <c r="X40" s="1">
        <v>4645780000000</v>
      </c>
      <c r="Y40" s="1">
        <v>3106350000000</v>
      </c>
      <c r="AA40" s="8">
        <v>0.0379843</v>
      </c>
      <c r="AB40" s="1">
        <v>0.0385937</v>
      </c>
      <c r="AC40" s="1">
        <v>22044200000000</v>
      </c>
      <c r="AD40" s="1">
        <v>311633000</v>
      </c>
      <c r="AE40" s="1">
        <v>0</v>
      </c>
      <c r="AF40" s="1">
        <v>0</v>
      </c>
      <c r="AG40" s="1">
        <v>2</v>
      </c>
      <c r="AH40" s="1">
        <v>4753240000000</v>
      </c>
      <c r="AI40" s="1">
        <v>4611240000000</v>
      </c>
      <c r="AJ40" s="1">
        <v>4297360000000</v>
      </c>
      <c r="AK40" s="1">
        <v>4747960000000</v>
      </c>
      <c r="AL40" s="1">
        <v>3634350000000</v>
      </c>
      <c r="AN40" s="1">
        <f t="shared" si="5"/>
        <v>0.0380057</v>
      </c>
      <c r="AO40" s="1">
        <f t="shared" si="6"/>
        <v>21652400000000</v>
      </c>
      <c r="AP40" s="1"/>
      <c r="AQ40" s="1"/>
      <c r="AR40" s="1">
        <f t="shared" si="7"/>
        <v>3455606666666.67</v>
      </c>
      <c r="AS40" s="1">
        <f t="shared" si="8"/>
        <v>3106350000000</v>
      </c>
      <c r="AT40" s="1">
        <f t="shared" si="9"/>
        <v>3634350000000</v>
      </c>
    </row>
    <row r="41" spans="1:46">
      <c r="A41" s="8">
        <v>0.0389997</v>
      </c>
      <c r="B41" s="1">
        <v>0.0396061</v>
      </c>
      <c r="C41" s="1">
        <v>21618200000000</v>
      </c>
      <c r="D41" s="1">
        <v>431880000</v>
      </c>
      <c r="E41" s="1">
        <v>0</v>
      </c>
      <c r="F41" s="1">
        <v>0</v>
      </c>
      <c r="G41" s="1">
        <v>2</v>
      </c>
      <c r="H41" s="1">
        <v>5130300000000</v>
      </c>
      <c r="I41" s="1">
        <v>4260010000000</v>
      </c>
      <c r="J41" s="1">
        <v>4758060000000</v>
      </c>
      <c r="K41" s="1">
        <v>4144750000000</v>
      </c>
      <c r="L41" s="1">
        <v>3325100000000</v>
      </c>
      <c r="N41" s="8">
        <v>0.0389835</v>
      </c>
      <c r="O41" s="1">
        <v>0.0396019</v>
      </c>
      <c r="P41" s="1">
        <v>21060600000000</v>
      </c>
      <c r="Q41" s="1">
        <v>386123000</v>
      </c>
      <c r="R41" s="1">
        <v>0</v>
      </c>
      <c r="S41" s="1">
        <v>0</v>
      </c>
      <c r="T41" s="1">
        <v>2</v>
      </c>
      <c r="U41" s="1">
        <v>4992010000000</v>
      </c>
      <c r="V41" s="1">
        <v>4190050000000</v>
      </c>
      <c r="W41" s="1">
        <v>4362720000000</v>
      </c>
      <c r="X41" s="1">
        <v>4380430000000</v>
      </c>
      <c r="Y41" s="1">
        <v>3135240000000</v>
      </c>
      <c r="AA41" s="8">
        <v>0.039027</v>
      </c>
      <c r="AB41" s="1">
        <v>0.0396033</v>
      </c>
      <c r="AC41" s="1">
        <v>21630400000000</v>
      </c>
      <c r="AD41" s="1">
        <v>693365000</v>
      </c>
      <c r="AE41" s="1">
        <v>0</v>
      </c>
      <c r="AF41" s="1">
        <v>0</v>
      </c>
      <c r="AG41" s="1">
        <v>2</v>
      </c>
      <c r="AH41" s="1">
        <v>4463570000000</v>
      </c>
      <c r="AI41" s="1">
        <v>4865000000000</v>
      </c>
      <c r="AJ41" s="1">
        <v>4729060000000</v>
      </c>
      <c r="AK41" s="1">
        <v>4243700000000</v>
      </c>
      <c r="AL41" s="1">
        <v>3329070000000</v>
      </c>
      <c r="AN41" s="1">
        <f t="shared" si="5"/>
        <v>0.0389997</v>
      </c>
      <c r="AO41" s="1">
        <f t="shared" si="6"/>
        <v>21436400000000</v>
      </c>
      <c r="AP41" s="1"/>
      <c r="AQ41" s="1"/>
      <c r="AR41" s="1">
        <f t="shared" si="7"/>
        <v>3263136666666.67</v>
      </c>
      <c r="AS41" s="1">
        <f t="shared" si="8"/>
        <v>3135240000000</v>
      </c>
      <c r="AT41" s="1">
        <f t="shared" si="9"/>
        <v>3329070000000</v>
      </c>
    </row>
    <row r="42" spans="1:46">
      <c r="A42" s="8">
        <v>0.039973</v>
      </c>
      <c r="B42" s="1">
        <v>0.0405834</v>
      </c>
      <c r="C42" s="1">
        <v>21715300000000</v>
      </c>
      <c r="D42" s="1">
        <v>347471000</v>
      </c>
      <c r="E42" s="1">
        <v>0</v>
      </c>
      <c r="F42" s="1">
        <v>0</v>
      </c>
      <c r="G42" s="1">
        <v>2</v>
      </c>
      <c r="H42" s="1">
        <v>4931500000000</v>
      </c>
      <c r="I42" s="1">
        <v>4162990000000</v>
      </c>
      <c r="J42" s="1">
        <v>4762130000000</v>
      </c>
      <c r="K42" s="1">
        <v>4248120000000</v>
      </c>
      <c r="L42" s="1">
        <v>3610330000000</v>
      </c>
      <c r="N42" s="8">
        <v>0.040029</v>
      </c>
      <c r="O42" s="1">
        <v>0.0406334</v>
      </c>
      <c r="P42" s="1">
        <v>21652600000000</v>
      </c>
      <c r="Q42" s="1">
        <v>254754000</v>
      </c>
      <c r="R42" s="1">
        <v>0</v>
      </c>
      <c r="S42" s="1">
        <v>0</v>
      </c>
      <c r="T42" s="1">
        <v>2</v>
      </c>
      <c r="U42" s="1">
        <v>5274360000000</v>
      </c>
      <c r="V42" s="1">
        <v>4514920000000</v>
      </c>
      <c r="W42" s="1">
        <v>4432530000000</v>
      </c>
      <c r="X42" s="1">
        <v>4300490000000</v>
      </c>
      <c r="Y42" s="1">
        <v>3130210000000</v>
      </c>
      <c r="AA42" s="8">
        <v>0.0399922</v>
      </c>
      <c r="AB42" s="1">
        <v>0.0405808</v>
      </c>
      <c r="AC42" s="1">
        <v>21468600000000</v>
      </c>
      <c r="AD42" s="1">
        <v>481814000</v>
      </c>
      <c r="AE42" s="1">
        <v>0</v>
      </c>
      <c r="AF42" s="1">
        <v>0</v>
      </c>
      <c r="AG42" s="1">
        <v>2</v>
      </c>
      <c r="AH42" s="1">
        <v>4152680000000</v>
      </c>
      <c r="AI42" s="1">
        <v>4623960000000</v>
      </c>
      <c r="AJ42" s="1">
        <v>4447740000000</v>
      </c>
      <c r="AK42" s="1">
        <v>4431830000000</v>
      </c>
      <c r="AL42" s="1">
        <v>3812360000000</v>
      </c>
      <c r="AN42" s="1">
        <f t="shared" si="5"/>
        <v>0.039973</v>
      </c>
      <c r="AO42" s="1">
        <f t="shared" si="6"/>
        <v>21612166666666.7</v>
      </c>
      <c r="AP42" s="1"/>
      <c r="AQ42" s="1"/>
      <c r="AR42" s="1">
        <f t="shared" si="7"/>
        <v>3517633333333.33</v>
      </c>
      <c r="AS42" s="1">
        <f t="shared" si="8"/>
        <v>3130210000000</v>
      </c>
      <c r="AT42" s="1">
        <f t="shared" si="9"/>
        <v>3812360000000</v>
      </c>
    </row>
    <row r="43" spans="1:46">
      <c r="A43" s="8">
        <v>0.041052</v>
      </c>
      <c r="B43" s="1">
        <v>0.0416241</v>
      </c>
      <c r="C43" s="1">
        <v>21824700000000</v>
      </c>
      <c r="D43" s="1">
        <v>549286000</v>
      </c>
      <c r="E43" s="1">
        <v>0</v>
      </c>
      <c r="F43" s="1">
        <v>0</v>
      </c>
      <c r="G43" s="1">
        <v>2</v>
      </c>
      <c r="H43" s="1">
        <v>5213920000000</v>
      </c>
      <c r="I43" s="1">
        <v>4205790000000</v>
      </c>
      <c r="J43" s="1">
        <v>4927450000000</v>
      </c>
      <c r="K43" s="1">
        <v>4372280000000</v>
      </c>
      <c r="L43" s="1">
        <v>3105260000000</v>
      </c>
      <c r="N43" s="8">
        <v>0.0410344</v>
      </c>
      <c r="O43" s="1">
        <v>0.0416341</v>
      </c>
      <c r="P43" s="1">
        <v>21477600000000</v>
      </c>
      <c r="Q43" s="1">
        <v>458048000</v>
      </c>
      <c r="R43" s="1">
        <v>0</v>
      </c>
      <c r="S43" s="1">
        <v>0</v>
      </c>
      <c r="T43" s="1">
        <v>2</v>
      </c>
      <c r="U43" s="1">
        <v>5123130000000</v>
      </c>
      <c r="V43" s="1">
        <v>4684540000000</v>
      </c>
      <c r="W43" s="1">
        <v>4296380000000</v>
      </c>
      <c r="X43" s="1">
        <v>4310000000000</v>
      </c>
      <c r="Y43" s="1">
        <v>3063410000000</v>
      </c>
      <c r="AA43" s="8">
        <v>0.0409619</v>
      </c>
      <c r="AB43" s="1">
        <v>0.0415516</v>
      </c>
      <c r="AC43" s="1">
        <v>21033900000000</v>
      </c>
      <c r="AD43" s="1">
        <v>320237000</v>
      </c>
      <c r="AE43" s="1">
        <v>0</v>
      </c>
      <c r="AF43" s="1">
        <v>0</v>
      </c>
      <c r="AG43" s="1">
        <v>2</v>
      </c>
      <c r="AH43" s="1">
        <v>4333110000000</v>
      </c>
      <c r="AI43" s="1">
        <v>4328200000000</v>
      </c>
      <c r="AJ43" s="1">
        <v>4503440000000</v>
      </c>
      <c r="AK43" s="1">
        <v>4615800000000</v>
      </c>
      <c r="AL43" s="1">
        <v>3253190000000</v>
      </c>
      <c r="AN43" s="1">
        <f t="shared" si="5"/>
        <v>0.041052</v>
      </c>
      <c r="AO43" s="1">
        <f t="shared" si="6"/>
        <v>21445400000000</v>
      </c>
      <c r="AP43" s="1"/>
      <c r="AQ43" s="1"/>
      <c r="AR43" s="1">
        <f t="shared" si="7"/>
        <v>3140620000000</v>
      </c>
      <c r="AS43" s="1">
        <f t="shared" si="8"/>
        <v>3063410000000</v>
      </c>
      <c r="AT43" s="1">
        <f t="shared" si="9"/>
        <v>3253190000000</v>
      </c>
    </row>
    <row r="44" spans="1:46">
      <c r="A44" s="8">
        <v>0.0420071</v>
      </c>
      <c r="B44" s="1">
        <v>0.0425972</v>
      </c>
      <c r="C44" s="1">
        <v>21616300000000</v>
      </c>
      <c r="D44" s="1">
        <v>617235000</v>
      </c>
      <c r="E44" s="1">
        <v>0</v>
      </c>
      <c r="F44" s="1">
        <v>0</v>
      </c>
      <c r="G44" s="1">
        <v>2</v>
      </c>
      <c r="H44" s="1">
        <v>5437050000000</v>
      </c>
      <c r="I44" s="1">
        <v>4285350000000</v>
      </c>
      <c r="J44" s="1">
        <v>4598490000000</v>
      </c>
      <c r="K44" s="1">
        <v>4296840000000</v>
      </c>
      <c r="L44" s="1">
        <v>2998500000000</v>
      </c>
      <c r="N44" s="8">
        <v>0.0420208</v>
      </c>
      <c r="O44" s="1">
        <v>0.0426129</v>
      </c>
      <c r="P44" s="1">
        <v>22473900000000</v>
      </c>
      <c r="Q44" s="1">
        <v>417170000</v>
      </c>
      <c r="R44" s="1">
        <v>0</v>
      </c>
      <c r="S44" s="1">
        <v>0</v>
      </c>
      <c r="T44" s="1">
        <v>2</v>
      </c>
      <c r="U44" s="1">
        <v>5455800000000</v>
      </c>
      <c r="V44" s="1">
        <v>4864800000000</v>
      </c>
      <c r="W44" s="1">
        <v>4195110000000</v>
      </c>
      <c r="X44" s="1">
        <v>4689360000000</v>
      </c>
      <c r="Y44" s="1">
        <v>3268830000000</v>
      </c>
      <c r="AA44" s="8">
        <v>0.0419776</v>
      </c>
      <c r="AB44" s="1">
        <v>0.0425703</v>
      </c>
      <c r="AC44" s="1">
        <v>20866100000000</v>
      </c>
      <c r="AD44" s="1">
        <v>280264000</v>
      </c>
      <c r="AE44" s="1">
        <v>0</v>
      </c>
      <c r="AF44" s="1">
        <v>0</v>
      </c>
      <c r="AG44" s="1">
        <v>2</v>
      </c>
      <c r="AH44" s="1">
        <v>4471090000000</v>
      </c>
      <c r="AI44" s="1">
        <v>4379720000000</v>
      </c>
      <c r="AJ44" s="1">
        <v>4557340000000</v>
      </c>
      <c r="AK44" s="1">
        <v>4533280000000</v>
      </c>
      <c r="AL44" s="1">
        <v>2924660000000</v>
      </c>
      <c r="AN44" s="1">
        <f t="shared" si="5"/>
        <v>0.0420071</v>
      </c>
      <c r="AO44" s="1">
        <f t="shared" si="6"/>
        <v>21652100000000</v>
      </c>
      <c r="AP44" s="1"/>
      <c r="AQ44" s="1"/>
      <c r="AR44" s="1">
        <f t="shared" si="7"/>
        <v>3063996666666.67</v>
      </c>
      <c r="AS44" s="1">
        <f t="shared" si="8"/>
        <v>2924660000000</v>
      </c>
      <c r="AT44" s="1">
        <f t="shared" si="9"/>
        <v>3268830000000</v>
      </c>
    </row>
    <row r="45" spans="1:46">
      <c r="A45" s="8">
        <v>0.0430071</v>
      </c>
      <c r="B45" s="1">
        <v>0.0436048</v>
      </c>
      <c r="C45" s="1">
        <v>21408100000000</v>
      </c>
      <c r="D45" s="1">
        <v>402997000</v>
      </c>
      <c r="E45" s="1">
        <v>0</v>
      </c>
      <c r="F45" s="1">
        <v>0</v>
      </c>
      <c r="G45" s="1">
        <v>2</v>
      </c>
      <c r="H45" s="1">
        <v>5152040000000</v>
      </c>
      <c r="I45" s="1">
        <v>4377500000000</v>
      </c>
      <c r="J45" s="1">
        <v>4510910000000</v>
      </c>
      <c r="K45" s="1">
        <v>4293660000000</v>
      </c>
      <c r="L45" s="1">
        <v>3073970000000</v>
      </c>
      <c r="N45" s="8">
        <v>0.0431318</v>
      </c>
      <c r="O45" s="1">
        <v>0.0436883</v>
      </c>
      <c r="P45" s="1">
        <v>21844700000000</v>
      </c>
      <c r="Q45" s="1">
        <v>271415000</v>
      </c>
      <c r="R45" s="1">
        <v>0</v>
      </c>
      <c r="S45" s="1">
        <v>0</v>
      </c>
      <c r="T45" s="1">
        <v>2</v>
      </c>
      <c r="U45" s="1">
        <v>5171360000000</v>
      </c>
      <c r="V45" s="1">
        <v>4547630000000</v>
      </c>
      <c r="W45" s="1">
        <v>4197970000000</v>
      </c>
      <c r="X45" s="1">
        <v>4358820000000</v>
      </c>
      <c r="Y45" s="1">
        <v>3568890000000</v>
      </c>
      <c r="AA45" s="8">
        <v>0.0429734</v>
      </c>
      <c r="AB45" s="1">
        <v>0.0435713</v>
      </c>
      <c r="AC45" s="1">
        <v>21186300000000</v>
      </c>
      <c r="AD45" s="1">
        <v>404260000</v>
      </c>
      <c r="AE45" s="1">
        <v>0</v>
      </c>
      <c r="AF45" s="1">
        <v>0</v>
      </c>
      <c r="AG45" s="1">
        <v>2</v>
      </c>
      <c r="AH45" s="1">
        <v>4513050000000</v>
      </c>
      <c r="AI45" s="1">
        <v>4513430000000</v>
      </c>
      <c r="AJ45" s="1">
        <v>4489210000000</v>
      </c>
      <c r="AK45" s="1">
        <v>4571990000000</v>
      </c>
      <c r="AL45" s="1">
        <v>3098440000000</v>
      </c>
      <c r="AN45" s="1">
        <f t="shared" si="5"/>
        <v>0.0430071</v>
      </c>
      <c r="AO45" s="1">
        <f t="shared" si="6"/>
        <v>21479700000000</v>
      </c>
      <c r="AP45" s="1"/>
      <c r="AQ45" s="1"/>
      <c r="AR45" s="1">
        <f t="shared" si="7"/>
        <v>3247100000000</v>
      </c>
      <c r="AS45" s="1">
        <f t="shared" si="8"/>
        <v>3073970000000</v>
      </c>
      <c r="AT45" s="1">
        <f t="shared" si="9"/>
        <v>3568890000000</v>
      </c>
    </row>
    <row r="46" spans="1:46">
      <c r="A46" s="8">
        <v>0.0439914</v>
      </c>
      <c r="B46" s="1">
        <v>0.0445898</v>
      </c>
      <c r="C46" s="1">
        <v>21328900000000</v>
      </c>
      <c r="D46" s="1">
        <v>496282000</v>
      </c>
      <c r="E46" s="1">
        <v>0</v>
      </c>
      <c r="F46" s="1">
        <v>0</v>
      </c>
      <c r="G46" s="1">
        <v>2</v>
      </c>
      <c r="H46" s="1">
        <v>5251710000000</v>
      </c>
      <c r="I46" s="1">
        <v>4391560000000</v>
      </c>
      <c r="J46" s="1">
        <v>4306160000000</v>
      </c>
      <c r="K46" s="1">
        <v>4411380000000</v>
      </c>
      <c r="L46" s="1">
        <v>2968060000000</v>
      </c>
      <c r="N46" s="8">
        <v>0.0440071</v>
      </c>
      <c r="O46" s="1">
        <v>0.0445869</v>
      </c>
      <c r="P46" s="1">
        <v>21843200000000</v>
      </c>
      <c r="Q46" s="1">
        <v>347400000</v>
      </c>
      <c r="R46" s="1">
        <v>0</v>
      </c>
      <c r="S46" s="1">
        <v>0</v>
      </c>
      <c r="T46" s="1">
        <v>2</v>
      </c>
      <c r="U46" s="1">
        <v>5185120000000</v>
      </c>
      <c r="V46" s="1">
        <v>4881880000000</v>
      </c>
      <c r="W46" s="1">
        <v>4238930000000</v>
      </c>
      <c r="X46" s="1">
        <v>4176960000000</v>
      </c>
      <c r="Y46" s="1">
        <v>3360290000000</v>
      </c>
      <c r="AA46" s="8">
        <v>0.0439864</v>
      </c>
      <c r="AB46" s="1">
        <v>0.0445569</v>
      </c>
      <c r="AC46" s="1">
        <v>21395300000000</v>
      </c>
      <c r="AD46" s="1">
        <v>582977000</v>
      </c>
      <c r="AE46" s="1">
        <v>0</v>
      </c>
      <c r="AF46" s="1">
        <v>0</v>
      </c>
      <c r="AG46" s="1">
        <v>2</v>
      </c>
      <c r="AH46" s="1">
        <v>4853610000000</v>
      </c>
      <c r="AI46" s="1">
        <v>4328920000000</v>
      </c>
      <c r="AJ46" s="1">
        <v>4498710000000</v>
      </c>
      <c r="AK46" s="1">
        <v>4710210000000</v>
      </c>
      <c r="AL46" s="1">
        <v>3003650000000</v>
      </c>
      <c r="AN46" s="1">
        <f t="shared" si="5"/>
        <v>0.0439914</v>
      </c>
      <c r="AO46" s="1">
        <f t="shared" si="6"/>
        <v>21522466666666.7</v>
      </c>
      <c r="AP46" s="1"/>
      <c r="AQ46" s="1"/>
      <c r="AR46" s="1">
        <f t="shared" si="7"/>
        <v>3110666666666.67</v>
      </c>
      <c r="AS46" s="1">
        <f t="shared" si="8"/>
        <v>2968060000000</v>
      </c>
      <c r="AT46" s="1">
        <f t="shared" si="9"/>
        <v>3360290000000</v>
      </c>
    </row>
    <row r="47" spans="1:46">
      <c r="A47" s="8">
        <v>0.0449964</v>
      </c>
      <c r="B47" s="1">
        <v>0.0455841</v>
      </c>
      <c r="C47" s="1">
        <v>21755700000000</v>
      </c>
      <c r="D47" s="1">
        <v>369244000</v>
      </c>
      <c r="E47" s="1">
        <v>0</v>
      </c>
      <c r="F47" s="1">
        <v>0</v>
      </c>
      <c r="G47" s="1">
        <v>2</v>
      </c>
      <c r="H47" s="1">
        <v>5473250000000</v>
      </c>
      <c r="I47" s="1">
        <v>4339960000000</v>
      </c>
      <c r="J47" s="1">
        <v>4288280000000</v>
      </c>
      <c r="K47" s="1">
        <v>4598580000000</v>
      </c>
      <c r="L47" s="1">
        <v>3055640000000</v>
      </c>
      <c r="N47" s="8">
        <v>0.0450232</v>
      </c>
      <c r="O47" s="1">
        <v>0.0456016</v>
      </c>
      <c r="P47" s="1">
        <v>21368000000000</v>
      </c>
      <c r="Q47" s="1">
        <v>712893000</v>
      </c>
      <c r="R47" s="1">
        <v>0</v>
      </c>
      <c r="S47" s="1">
        <v>0</v>
      </c>
      <c r="T47" s="1">
        <v>2</v>
      </c>
      <c r="U47" s="1">
        <v>5140350000000</v>
      </c>
      <c r="V47" s="1">
        <v>4531480000000</v>
      </c>
      <c r="W47" s="1">
        <v>4279590000000</v>
      </c>
      <c r="X47" s="1">
        <v>4123830000000</v>
      </c>
      <c r="Y47" s="1">
        <v>3292760000000</v>
      </c>
      <c r="AA47" s="8">
        <v>0.0450186</v>
      </c>
      <c r="AB47" s="1">
        <v>0.04562</v>
      </c>
      <c r="AC47" s="1">
        <v>20973700000000</v>
      </c>
      <c r="AD47" s="1">
        <v>426884000</v>
      </c>
      <c r="AE47" s="1">
        <v>0</v>
      </c>
      <c r="AF47" s="1">
        <v>0</v>
      </c>
      <c r="AG47" s="1">
        <v>2</v>
      </c>
      <c r="AH47" s="1">
        <v>4631100000000</v>
      </c>
      <c r="AI47" s="1">
        <v>4320420000000</v>
      </c>
      <c r="AJ47" s="1">
        <v>4273670000000</v>
      </c>
      <c r="AK47" s="1">
        <v>4464030000000</v>
      </c>
      <c r="AL47" s="1">
        <v>3284420000000</v>
      </c>
      <c r="AN47" s="1">
        <f t="shared" si="5"/>
        <v>0.0449964</v>
      </c>
      <c r="AO47" s="1">
        <f t="shared" si="6"/>
        <v>21365800000000</v>
      </c>
      <c r="AP47" s="1"/>
      <c r="AQ47" s="1"/>
      <c r="AR47" s="1">
        <f t="shared" si="7"/>
        <v>3210940000000</v>
      </c>
      <c r="AS47" s="1">
        <f t="shared" si="8"/>
        <v>3055640000000</v>
      </c>
      <c r="AT47" s="1">
        <f t="shared" si="9"/>
        <v>3292760000000</v>
      </c>
    </row>
    <row r="48" spans="1:46">
      <c r="A48" s="8">
        <v>0.0460202</v>
      </c>
      <c r="B48" s="1">
        <v>0.0466326</v>
      </c>
      <c r="C48" s="1">
        <v>22697100000000</v>
      </c>
      <c r="D48" s="1">
        <v>657111000</v>
      </c>
      <c r="E48" s="1">
        <v>0</v>
      </c>
      <c r="F48" s="1">
        <v>0</v>
      </c>
      <c r="G48" s="1">
        <v>2</v>
      </c>
      <c r="H48" s="1">
        <v>6048730000000</v>
      </c>
      <c r="I48" s="1">
        <v>4449180000000</v>
      </c>
      <c r="J48" s="1">
        <v>4178620000000</v>
      </c>
      <c r="K48" s="1">
        <v>4572790000000</v>
      </c>
      <c r="L48" s="1">
        <v>3447650000000</v>
      </c>
      <c r="N48" s="8">
        <v>0.0459282</v>
      </c>
      <c r="O48" s="1">
        <v>0.0465868</v>
      </c>
      <c r="P48" s="1">
        <v>21587900000000</v>
      </c>
      <c r="Q48" s="1">
        <v>502184000</v>
      </c>
      <c r="R48" s="1">
        <v>0</v>
      </c>
      <c r="S48" s="1">
        <v>0</v>
      </c>
      <c r="T48" s="1">
        <v>2</v>
      </c>
      <c r="U48" s="1">
        <v>5015640000000</v>
      </c>
      <c r="V48" s="1">
        <v>4244400000000</v>
      </c>
      <c r="W48" s="1">
        <v>4234770000000</v>
      </c>
      <c r="X48" s="1">
        <v>4266490000000</v>
      </c>
      <c r="Y48" s="1">
        <v>3826530000000</v>
      </c>
      <c r="AA48" s="8">
        <v>0.0459678</v>
      </c>
      <c r="AB48" s="1">
        <v>0.0465789</v>
      </c>
      <c r="AC48" s="1">
        <v>21143100000000</v>
      </c>
      <c r="AD48" s="1">
        <v>409608000</v>
      </c>
      <c r="AE48" s="1">
        <v>0</v>
      </c>
      <c r="AF48" s="1">
        <v>0</v>
      </c>
      <c r="AG48" s="1">
        <v>2</v>
      </c>
      <c r="AH48" s="1">
        <v>4235910000000</v>
      </c>
      <c r="AI48" s="1">
        <v>4485400000000</v>
      </c>
      <c r="AJ48" s="1">
        <v>4394540000000</v>
      </c>
      <c r="AK48" s="1">
        <v>4756130000000</v>
      </c>
      <c r="AL48" s="1">
        <v>3271070000000</v>
      </c>
      <c r="AN48" s="1">
        <f t="shared" si="5"/>
        <v>0.0460202</v>
      </c>
      <c r="AO48" s="1">
        <f t="shared" si="6"/>
        <v>21809366666666.7</v>
      </c>
      <c r="AP48" s="1"/>
      <c r="AQ48" s="1"/>
      <c r="AR48" s="1">
        <f t="shared" si="7"/>
        <v>3515083333333.33</v>
      </c>
      <c r="AS48" s="1">
        <f t="shared" si="8"/>
        <v>3271070000000</v>
      </c>
      <c r="AT48" s="1">
        <f t="shared" si="9"/>
        <v>3826530000000</v>
      </c>
    </row>
    <row r="49" spans="1:46">
      <c r="A49" s="8">
        <v>0.0469954</v>
      </c>
      <c r="B49" s="1">
        <v>0.0475682</v>
      </c>
      <c r="C49" s="1">
        <v>22019800000000</v>
      </c>
      <c r="D49" s="1">
        <v>588625000</v>
      </c>
      <c r="E49" s="1">
        <v>0</v>
      </c>
      <c r="F49" s="1">
        <v>0</v>
      </c>
      <c r="G49" s="1">
        <v>2</v>
      </c>
      <c r="H49" s="1">
        <v>5819360000000</v>
      </c>
      <c r="I49" s="1">
        <v>4491140000000</v>
      </c>
      <c r="J49" s="1">
        <v>4280100000000</v>
      </c>
      <c r="K49" s="1">
        <v>4362880000000</v>
      </c>
      <c r="L49" s="1">
        <v>3066270000000</v>
      </c>
      <c r="N49" s="8">
        <v>0.0470013</v>
      </c>
      <c r="O49" s="1">
        <v>0.0475789</v>
      </c>
      <c r="P49" s="1">
        <v>21485100000000</v>
      </c>
      <c r="Q49" s="1">
        <v>349350000</v>
      </c>
      <c r="R49" s="1">
        <v>0</v>
      </c>
      <c r="S49" s="1">
        <v>0</v>
      </c>
      <c r="T49" s="1">
        <v>2</v>
      </c>
      <c r="U49" s="1">
        <v>5524370000000</v>
      </c>
      <c r="V49" s="1">
        <v>3973630000000</v>
      </c>
      <c r="W49" s="1">
        <v>4212940000000</v>
      </c>
      <c r="X49" s="1">
        <v>4163450000000</v>
      </c>
      <c r="Y49" s="1">
        <v>3610650000000</v>
      </c>
      <c r="AA49" s="8">
        <v>0.0469694</v>
      </c>
      <c r="AB49" s="1">
        <v>0.0475721</v>
      </c>
      <c r="AC49" s="1">
        <v>21522600000000</v>
      </c>
      <c r="AD49" s="1">
        <v>591080000</v>
      </c>
      <c r="AE49" s="1">
        <v>0</v>
      </c>
      <c r="AF49" s="1">
        <v>0</v>
      </c>
      <c r="AG49" s="1">
        <v>2</v>
      </c>
      <c r="AH49" s="1">
        <v>4278300000000</v>
      </c>
      <c r="AI49" s="1">
        <v>4760620000000</v>
      </c>
      <c r="AJ49" s="1">
        <v>4647570000000</v>
      </c>
      <c r="AK49" s="1">
        <v>4677250000000</v>
      </c>
      <c r="AL49" s="1">
        <v>3158890000000</v>
      </c>
      <c r="AN49" s="1">
        <f t="shared" si="5"/>
        <v>0.0469954</v>
      </c>
      <c r="AO49" s="1">
        <f t="shared" si="6"/>
        <v>21675833333333.3</v>
      </c>
      <c r="AP49" s="1"/>
      <c r="AQ49" s="1"/>
      <c r="AR49" s="1">
        <f t="shared" si="7"/>
        <v>3278603333333.33</v>
      </c>
      <c r="AS49" s="1">
        <f t="shared" si="8"/>
        <v>3066270000000</v>
      </c>
      <c r="AT49" s="1">
        <f t="shared" si="9"/>
        <v>3610650000000</v>
      </c>
    </row>
    <row r="50" spans="1:38">
      <c r="A50" s="8">
        <v>0.0479895</v>
      </c>
      <c r="B50" s="1">
        <v>0.0485863</v>
      </c>
      <c r="C50" s="1">
        <v>21210400000000</v>
      </c>
      <c r="D50" s="1">
        <v>235482000</v>
      </c>
      <c r="E50" s="1">
        <v>0</v>
      </c>
      <c r="F50" s="1">
        <v>0</v>
      </c>
      <c r="G50" s="1">
        <v>2</v>
      </c>
      <c r="H50" s="1">
        <v>5072670000000</v>
      </c>
      <c r="I50" s="1">
        <v>4227700000000</v>
      </c>
      <c r="J50" s="1">
        <v>4101790000000</v>
      </c>
      <c r="K50" s="1">
        <v>4538510000000</v>
      </c>
      <c r="L50" s="1">
        <v>3269760000000</v>
      </c>
      <c r="N50" s="8">
        <v>0.0479489</v>
      </c>
      <c r="O50" s="1">
        <v>0.0485394</v>
      </c>
      <c r="P50" s="1">
        <v>21171900000000</v>
      </c>
      <c r="Q50" s="1">
        <v>593345000</v>
      </c>
      <c r="R50" s="1">
        <v>0</v>
      </c>
      <c r="S50" s="1">
        <v>0</v>
      </c>
      <c r="T50" s="1">
        <v>2</v>
      </c>
      <c r="U50" s="1">
        <v>5410830000000</v>
      </c>
      <c r="V50" s="1">
        <v>4224480000000</v>
      </c>
      <c r="W50" s="1">
        <v>4164580000000</v>
      </c>
      <c r="X50" s="1">
        <v>4111420000000</v>
      </c>
      <c r="Y50" s="1">
        <v>3260360000000</v>
      </c>
      <c r="AA50" s="8">
        <v>0.0480004</v>
      </c>
      <c r="AB50" s="1">
        <v>0.0486355</v>
      </c>
      <c r="AC50" s="1">
        <v>21198400000000</v>
      </c>
      <c r="AD50" s="1">
        <v>302110000</v>
      </c>
      <c r="AE50" s="1">
        <v>0</v>
      </c>
      <c r="AF50" s="1">
        <v>0</v>
      </c>
      <c r="AG50" s="1">
        <v>2</v>
      </c>
      <c r="AH50" s="1">
        <v>4395700000000</v>
      </c>
      <c r="AI50" s="1">
        <v>4577420000000</v>
      </c>
      <c r="AJ50" s="1">
        <v>4412640000000</v>
      </c>
      <c r="AK50" s="1">
        <v>4366380000000</v>
      </c>
      <c r="AL50" s="1">
        <v>3446090000000</v>
      </c>
    </row>
    <row r="51" spans="1:12">
      <c r="A51" s="8">
        <v>0.0490416</v>
      </c>
      <c r="B51" s="1">
        <v>0.0496279</v>
      </c>
      <c r="C51" s="1">
        <v>21684400000000</v>
      </c>
      <c r="D51" s="1">
        <v>571153000</v>
      </c>
      <c r="E51" s="1">
        <v>0</v>
      </c>
      <c r="F51" s="1">
        <v>0</v>
      </c>
      <c r="G51" s="1">
        <v>2</v>
      </c>
      <c r="H51" s="1">
        <v>5607470000000</v>
      </c>
      <c r="I51" s="1">
        <v>4213690000000</v>
      </c>
      <c r="J51" s="1">
        <v>4377890000000</v>
      </c>
      <c r="K51" s="1">
        <v>4474690000000</v>
      </c>
      <c r="L51" s="1">
        <v>3010600000000</v>
      </c>
    </row>
    <row r="52" spans="1:12">
      <c r="A52" s="8">
        <v>0.0499931</v>
      </c>
      <c r="B52" s="1">
        <v>0.0506071</v>
      </c>
      <c r="C52" s="1">
        <v>21624100000000</v>
      </c>
      <c r="D52" s="1">
        <v>434474000</v>
      </c>
      <c r="E52" s="1">
        <v>0</v>
      </c>
      <c r="F52" s="1">
        <v>0</v>
      </c>
      <c r="G52" s="1">
        <v>2</v>
      </c>
      <c r="H52" s="1">
        <v>5801300000000</v>
      </c>
      <c r="I52" s="1">
        <v>4097460000000</v>
      </c>
      <c r="J52" s="1">
        <v>4131020000000</v>
      </c>
      <c r="K52" s="1">
        <v>4277850000000</v>
      </c>
      <c r="L52" s="1">
        <v>3316450000000</v>
      </c>
    </row>
    <row r="53" spans="1:12">
      <c r="A53" s="8">
        <v>0.050997</v>
      </c>
      <c r="B53" s="1">
        <v>0.0515924</v>
      </c>
      <c r="C53" s="1">
        <v>22110100000000</v>
      </c>
      <c r="D53" s="1">
        <v>495654000</v>
      </c>
      <c r="E53" s="1">
        <v>0</v>
      </c>
      <c r="F53" s="1">
        <v>0</v>
      </c>
      <c r="G53" s="1">
        <v>2</v>
      </c>
      <c r="H53" s="1">
        <v>6033540000000</v>
      </c>
      <c r="I53" s="1">
        <v>4595530000000</v>
      </c>
      <c r="J53" s="1">
        <v>4204200000000</v>
      </c>
      <c r="K53" s="1">
        <v>4121940000000</v>
      </c>
      <c r="L53" s="1">
        <v>3154830000000</v>
      </c>
    </row>
    <row r="54" spans="1:12">
      <c r="A54" s="8">
        <v>0.051779</v>
      </c>
      <c r="B54" s="1">
        <v>0.0523749</v>
      </c>
      <c r="C54" s="1">
        <v>21586600000000</v>
      </c>
      <c r="D54" s="1">
        <v>538166000</v>
      </c>
      <c r="E54" s="1">
        <v>0</v>
      </c>
      <c r="F54" s="1">
        <v>0</v>
      </c>
      <c r="G54" s="1">
        <v>2</v>
      </c>
      <c r="H54" s="1">
        <v>5421200000000</v>
      </c>
      <c r="I54" s="1">
        <v>4303590000000</v>
      </c>
      <c r="J54" s="1">
        <v>4296720000000</v>
      </c>
      <c r="K54" s="1">
        <v>4342020000000</v>
      </c>
      <c r="L54" s="1">
        <v>3222860000000</v>
      </c>
    </row>
  </sheetData>
  <mergeCells count="3">
    <mergeCell ref="A1:L1"/>
    <mergeCell ref="N1:Y1"/>
    <mergeCell ref="AA1:AL1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6"/>
  <sheetViews>
    <sheetView workbookViewId="0">
      <selection activeCell="M6" sqref="M6"/>
    </sheetView>
  </sheetViews>
  <sheetFormatPr defaultColWidth="9" defaultRowHeight="15"/>
  <sheetData>
    <row r="1" spans="1:19">
      <c r="A1" s="9" t="s">
        <v>0</v>
      </c>
      <c r="B1" s="9"/>
      <c r="D1" s="9" t="s">
        <v>1</v>
      </c>
      <c r="E1" s="9"/>
      <c r="G1" s="9" t="s">
        <v>2</v>
      </c>
      <c r="H1" s="9"/>
      <c r="J1" s="9" t="s">
        <v>3</v>
      </c>
      <c r="K1" s="9"/>
      <c r="N1" s="2"/>
      <c r="O1" s="2"/>
      <c r="S1" s="2"/>
    </row>
    <row r="2" spans="1:19">
      <c r="A2" s="10">
        <v>0.000211378</v>
      </c>
      <c r="B2" s="1">
        <v>102502000</v>
      </c>
      <c r="D2" s="8">
        <v>0.000154734</v>
      </c>
      <c r="E2" s="1">
        <v>90153300</v>
      </c>
      <c r="G2" s="6">
        <v>0.000211382</v>
      </c>
      <c r="H2" s="1">
        <v>100435000</v>
      </c>
      <c r="K2" t="s">
        <v>4</v>
      </c>
      <c r="L2" t="s">
        <v>5</v>
      </c>
      <c r="M2" t="s">
        <v>6</v>
      </c>
      <c r="N2" s="2" t="s">
        <v>7</v>
      </c>
      <c r="O2" s="2" t="s">
        <v>8</v>
      </c>
      <c r="P2" t="s">
        <v>9</v>
      </c>
      <c r="Q2" t="s">
        <v>10</v>
      </c>
      <c r="R2" t="s">
        <v>11</v>
      </c>
      <c r="S2" s="2" t="s">
        <v>12</v>
      </c>
    </row>
    <row r="3" spans="1:19">
      <c r="A3" s="10">
        <v>0.00097298</v>
      </c>
      <c r="B3" s="1">
        <v>128817000</v>
      </c>
      <c r="D3" s="8">
        <v>0.00100671</v>
      </c>
      <c r="E3" s="1">
        <v>120372000</v>
      </c>
      <c r="G3" s="6">
        <v>0.00101828</v>
      </c>
      <c r="H3" s="1">
        <v>127757000</v>
      </c>
      <c r="J3" t="s">
        <v>0</v>
      </c>
      <c r="K3">
        <v>137</v>
      </c>
      <c r="L3" s="1">
        <v>2740000000000</v>
      </c>
      <c r="M3" s="1">
        <v>22500000000000</v>
      </c>
      <c r="N3" s="2">
        <f>0.5*80.9*0.248*SQRT(L3)/1000000</f>
        <v>16.6052526645758</v>
      </c>
      <c r="O3" s="2">
        <f>0.05*80.9*0.248*SQRT(M3)/1000000</f>
        <v>4.75840568636177</v>
      </c>
      <c r="P3">
        <f>SQRT(N3^2+O3^2)</f>
        <v>17.273587951853</v>
      </c>
      <c r="Q3">
        <f>K3*0.4395</f>
        <v>60.2115</v>
      </c>
      <c r="R3">
        <f>Q3/P3</f>
        <v>3.48575525639657</v>
      </c>
      <c r="S3" s="2">
        <f>L3/M3</f>
        <v>0.121777777777778</v>
      </c>
    </row>
    <row r="4" spans="1:19">
      <c r="A4" s="10">
        <v>0.00197206</v>
      </c>
      <c r="B4" s="1">
        <v>129504000</v>
      </c>
      <c r="D4" s="8">
        <v>0.00199666</v>
      </c>
      <c r="E4" s="1">
        <v>127810000</v>
      </c>
      <c r="G4" s="6">
        <v>0.00201683</v>
      </c>
      <c r="H4" s="1">
        <v>125236000</v>
      </c>
      <c r="J4" t="s">
        <v>1</v>
      </c>
      <c r="K4">
        <v>139</v>
      </c>
      <c r="L4" s="1">
        <v>2920000000000</v>
      </c>
      <c r="M4" s="1">
        <v>23100000000000</v>
      </c>
      <c r="N4" s="2">
        <f t="shared" ref="N4:N5" si="0">0.5*80.9*0.248*SQRT(L4)/1000000</f>
        <v>17.1420055943055</v>
      </c>
      <c r="O4" s="2">
        <f t="shared" ref="O4:O5" si="1">0.05*80.9*0.248*SQRT(M4)/1000000</f>
        <v>4.82143367343781</v>
      </c>
      <c r="P4">
        <f t="shared" ref="P4:P5" si="2">SQRT(N4^2+O4^2)</f>
        <v>17.8071496445265</v>
      </c>
      <c r="Q4">
        <f t="shared" ref="Q4:Q5" si="3">K4*0.4395</f>
        <v>61.0905</v>
      </c>
      <c r="R4">
        <f t="shared" ref="R4:R5" si="4">Q4/P4</f>
        <v>3.4306725792456</v>
      </c>
      <c r="S4" s="2">
        <f t="shared" ref="S4:S5" si="5">L4/M4</f>
        <v>0.126406926406926</v>
      </c>
    </row>
    <row r="5" spans="1:19">
      <c r="A5" s="10">
        <v>0.00297197</v>
      </c>
      <c r="B5" s="1">
        <v>126628000</v>
      </c>
      <c r="D5" s="8">
        <v>0.0030161</v>
      </c>
      <c r="E5" s="1">
        <v>129788000</v>
      </c>
      <c r="G5" s="6">
        <v>0.00300325</v>
      </c>
      <c r="H5" s="1">
        <v>125289000</v>
      </c>
      <c r="J5" t="s">
        <v>13</v>
      </c>
      <c r="K5">
        <v>130</v>
      </c>
      <c r="L5" s="1">
        <v>2950000000000</v>
      </c>
      <c r="M5" s="1">
        <v>23400000000000</v>
      </c>
      <c r="N5" s="2">
        <f t="shared" si="0"/>
        <v>17.2298388196756</v>
      </c>
      <c r="O5" s="2">
        <f t="shared" si="1"/>
        <v>4.85264068966991</v>
      </c>
      <c r="P5">
        <f t="shared" si="2"/>
        <v>17.900152720439</v>
      </c>
      <c r="Q5">
        <f t="shared" si="3"/>
        <v>57.135</v>
      </c>
      <c r="R5">
        <f t="shared" si="4"/>
        <v>3.1918722087081</v>
      </c>
      <c r="S5" s="2">
        <f t="shared" si="5"/>
        <v>0.126068376068376</v>
      </c>
    </row>
    <row r="6" spans="1:8">
      <c r="A6" s="10">
        <v>0.00399284</v>
      </c>
      <c r="B6" s="1">
        <v>127533000</v>
      </c>
      <c r="D6" s="8">
        <v>0.00399379</v>
      </c>
      <c r="E6" s="1">
        <v>127326000</v>
      </c>
      <c r="G6" s="6">
        <v>0.00397696</v>
      </c>
      <c r="H6" s="1">
        <v>128084000</v>
      </c>
    </row>
    <row r="7" spans="1:8">
      <c r="A7" s="10">
        <v>0.00501817</v>
      </c>
      <c r="B7" s="1">
        <v>135184000</v>
      </c>
      <c r="D7" s="8">
        <v>0.00496968</v>
      </c>
      <c r="E7" s="1">
        <v>127066000</v>
      </c>
      <c r="G7" s="6">
        <v>0.00500527</v>
      </c>
      <c r="H7" s="1">
        <v>124334000</v>
      </c>
    </row>
    <row r="8" spans="1:8">
      <c r="A8" s="10">
        <v>0.00600417</v>
      </c>
      <c r="B8" s="1">
        <v>131400000</v>
      </c>
      <c r="D8" s="8">
        <v>0.00599355</v>
      </c>
      <c r="E8" s="1">
        <v>130515000</v>
      </c>
      <c r="G8" s="6">
        <v>0.00598043</v>
      </c>
      <c r="H8" s="1">
        <v>126789000</v>
      </c>
    </row>
    <row r="9" spans="1:8">
      <c r="A9" s="10">
        <v>0.00697331</v>
      </c>
      <c r="B9" s="1">
        <v>136357000</v>
      </c>
      <c r="D9" s="8">
        <v>0.0069824</v>
      </c>
      <c r="E9" s="1">
        <v>131554000</v>
      </c>
      <c r="G9" s="6">
        <v>0.00699662</v>
      </c>
      <c r="H9" s="1">
        <v>126153000</v>
      </c>
    </row>
    <row r="10" spans="1:8">
      <c r="A10" s="10">
        <v>0.00800211</v>
      </c>
      <c r="B10" s="1">
        <v>134929000</v>
      </c>
      <c r="D10" s="8">
        <v>0.00799455</v>
      </c>
      <c r="E10" s="1">
        <v>130010000</v>
      </c>
      <c r="G10" s="6">
        <v>0.00801184</v>
      </c>
      <c r="H10" s="1">
        <v>126152000</v>
      </c>
    </row>
    <row r="11" spans="1:8">
      <c r="A11" s="10">
        <v>0.00897935</v>
      </c>
      <c r="B11" s="1">
        <v>145126000</v>
      </c>
      <c r="D11" s="8">
        <v>0.0090061</v>
      </c>
      <c r="E11" s="1">
        <v>125733000</v>
      </c>
      <c r="G11" s="6">
        <v>0.00901695</v>
      </c>
      <c r="H11" s="1">
        <v>126149000</v>
      </c>
    </row>
    <row r="12" spans="1:8">
      <c r="A12" s="10">
        <v>0.0100225</v>
      </c>
      <c r="B12" s="1">
        <v>128064000</v>
      </c>
      <c r="D12" s="8">
        <v>0.0100658</v>
      </c>
      <c r="E12" s="1">
        <v>134373000</v>
      </c>
      <c r="G12" s="6">
        <v>0.0100127</v>
      </c>
      <c r="H12" s="1">
        <v>130347000</v>
      </c>
    </row>
    <row r="13" spans="1:8">
      <c r="A13" s="10">
        <v>0.0109492</v>
      </c>
      <c r="B13" s="1">
        <v>126573000</v>
      </c>
      <c r="D13" s="8">
        <v>0.0110219</v>
      </c>
      <c r="E13" s="1">
        <v>133512000</v>
      </c>
      <c r="G13" s="6">
        <v>0.0109858</v>
      </c>
      <c r="H13" s="1">
        <v>129925000</v>
      </c>
    </row>
    <row r="14" spans="1:8">
      <c r="A14" s="10">
        <v>0.0119489</v>
      </c>
      <c r="B14" s="1">
        <v>131302000</v>
      </c>
      <c r="D14" s="8">
        <v>0.0119948</v>
      </c>
      <c r="E14" s="1">
        <v>132495000</v>
      </c>
      <c r="G14" s="6">
        <v>0.0119511</v>
      </c>
      <c r="H14" s="1">
        <v>133057000</v>
      </c>
    </row>
    <row r="15" spans="1:8">
      <c r="A15" s="10">
        <v>0.0129717</v>
      </c>
      <c r="B15" s="1">
        <v>128019000</v>
      </c>
      <c r="D15" s="8">
        <v>0.013008</v>
      </c>
      <c r="E15" s="1">
        <v>138144000</v>
      </c>
      <c r="G15" s="6">
        <v>0.0129556</v>
      </c>
      <c r="H15" s="1">
        <v>129201000</v>
      </c>
    </row>
    <row r="16" spans="1:8">
      <c r="A16" s="10">
        <v>0.0139519</v>
      </c>
      <c r="B16" s="1">
        <v>139693000</v>
      </c>
      <c r="D16" s="8">
        <v>0.0140382</v>
      </c>
      <c r="E16" s="1">
        <v>138465000</v>
      </c>
      <c r="G16" s="6">
        <v>0.0139792</v>
      </c>
      <c r="H16" s="1">
        <v>124709000</v>
      </c>
    </row>
    <row r="17" spans="1:8">
      <c r="A17" s="10">
        <v>0.0150085</v>
      </c>
      <c r="B17" s="1">
        <v>138611000</v>
      </c>
      <c r="D17" s="8">
        <v>0.0150125</v>
      </c>
      <c r="E17" s="1">
        <v>141296000</v>
      </c>
      <c r="G17" s="6">
        <v>0.0149735</v>
      </c>
      <c r="H17" s="1">
        <v>135834000</v>
      </c>
    </row>
    <row r="18" spans="1:8">
      <c r="A18" s="10">
        <v>0.0160274</v>
      </c>
      <c r="B18" s="1">
        <v>137755000</v>
      </c>
      <c r="D18" s="8">
        <v>0.0160908</v>
      </c>
      <c r="E18" s="1">
        <v>138412000</v>
      </c>
      <c r="G18" s="6">
        <v>0.0160009</v>
      </c>
      <c r="H18" s="1">
        <v>140294000</v>
      </c>
    </row>
    <row r="19" spans="1:8">
      <c r="A19" s="10">
        <v>0.0169908</v>
      </c>
      <c r="B19" s="1">
        <v>142191000</v>
      </c>
      <c r="D19" s="8">
        <v>0.0169108</v>
      </c>
      <c r="E19" s="1">
        <v>139368000</v>
      </c>
      <c r="G19" s="6">
        <v>0.0170116</v>
      </c>
      <c r="H19" s="1">
        <v>132566000</v>
      </c>
    </row>
    <row r="20" spans="1:8">
      <c r="A20" s="10">
        <v>0.0180548</v>
      </c>
      <c r="B20" s="1">
        <v>140525000</v>
      </c>
      <c r="D20" s="8">
        <v>0.0179556</v>
      </c>
      <c r="E20" s="1">
        <v>132761000</v>
      </c>
      <c r="G20" s="6">
        <v>0.0180173</v>
      </c>
      <c r="H20" s="1">
        <v>123552000</v>
      </c>
    </row>
    <row r="21" spans="1:8">
      <c r="A21" s="10">
        <v>0.0189666</v>
      </c>
      <c r="B21" s="1">
        <v>141075000</v>
      </c>
      <c r="D21" s="8">
        <v>0.0190199</v>
      </c>
      <c r="E21" s="1">
        <v>133875000</v>
      </c>
      <c r="G21" s="6">
        <v>0.019031</v>
      </c>
      <c r="H21" s="1">
        <v>131173000</v>
      </c>
    </row>
    <row r="22" spans="1:8">
      <c r="A22" s="10">
        <v>0.0199843</v>
      </c>
      <c r="B22" s="1">
        <v>139608000</v>
      </c>
      <c r="D22" s="8">
        <v>0.0199838</v>
      </c>
      <c r="E22" s="1">
        <v>132680000</v>
      </c>
      <c r="G22" s="6">
        <v>0.0200094</v>
      </c>
      <c r="H22" s="1">
        <v>139921000</v>
      </c>
    </row>
    <row r="23" spans="1:8">
      <c r="A23" s="10">
        <v>0.0210367</v>
      </c>
      <c r="B23" s="1">
        <v>144673000</v>
      </c>
      <c r="D23" s="8">
        <v>0.02097</v>
      </c>
      <c r="E23" s="1">
        <v>131394000</v>
      </c>
      <c r="G23" s="6">
        <v>0.0210024</v>
      </c>
      <c r="H23" s="1">
        <v>137413000</v>
      </c>
    </row>
    <row r="24" spans="1:8">
      <c r="A24" s="10">
        <v>0.0219968</v>
      </c>
      <c r="B24" s="1">
        <v>137235000</v>
      </c>
      <c r="D24" s="8">
        <v>0.0220125</v>
      </c>
      <c r="E24" s="1">
        <v>131824000</v>
      </c>
      <c r="G24" s="6">
        <v>0.02194</v>
      </c>
      <c r="H24" s="1">
        <v>136362000</v>
      </c>
    </row>
    <row r="25" spans="1:8">
      <c r="A25" s="10">
        <v>0.0230126</v>
      </c>
      <c r="B25" s="1">
        <v>129176000</v>
      </c>
      <c r="D25" s="8">
        <v>0.0230178</v>
      </c>
      <c r="E25" s="1">
        <v>134171000</v>
      </c>
      <c r="G25" s="6">
        <v>0.0229925</v>
      </c>
      <c r="H25" s="1">
        <v>134057000</v>
      </c>
    </row>
    <row r="26" spans="1:8">
      <c r="A26" s="10">
        <v>0.02399</v>
      </c>
      <c r="B26" s="1">
        <v>133479000</v>
      </c>
      <c r="D26" s="8">
        <v>0.0239698</v>
      </c>
      <c r="E26" s="1">
        <v>142131000</v>
      </c>
      <c r="G26" s="6">
        <v>0.0240133</v>
      </c>
      <c r="H26" s="1">
        <v>136629000</v>
      </c>
    </row>
    <row r="27" spans="1:8">
      <c r="A27" s="10">
        <v>0.0250564</v>
      </c>
      <c r="B27" s="1">
        <v>114773000</v>
      </c>
      <c r="D27" s="8">
        <v>0.0250051</v>
      </c>
      <c r="E27" s="1">
        <v>140525000</v>
      </c>
      <c r="G27" s="6">
        <v>0.0250024</v>
      </c>
      <c r="H27" s="1">
        <v>132531000</v>
      </c>
    </row>
    <row r="28" spans="1:8">
      <c r="A28" s="10">
        <v>0.0260235</v>
      </c>
      <c r="B28" s="1">
        <v>127703000</v>
      </c>
      <c r="D28" s="8">
        <v>0.0260192</v>
      </c>
      <c r="E28" s="1">
        <v>137587000</v>
      </c>
      <c r="G28" s="6">
        <v>0.0260342</v>
      </c>
      <c r="H28" s="1">
        <v>118993000</v>
      </c>
    </row>
    <row r="29" spans="1:8">
      <c r="A29" s="10">
        <v>0.0269819</v>
      </c>
      <c r="B29" s="1">
        <v>142664000</v>
      </c>
      <c r="D29" s="8">
        <v>0.0270088</v>
      </c>
      <c r="E29" s="1">
        <v>141694000</v>
      </c>
      <c r="G29" s="6">
        <v>0.0269949</v>
      </c>
      <c r="H29" s="1">
        <v>126961000</v>
      </c>
    </row>
    <row r="30" spans="1:8">
      <c r="A30" s="10">
        <v>0.0279702</v>
      </c>
      <c r="B30" s="1">
        <v>135963000</v>
      </c>
      <c r="D30" s="8">
        <v>0.0279928</v>
      </c>
      <c r="E30" s="1">
        <v>136378000</v>
      </c>
      <c r="G30" s="6">
        <v>0.0279716</v>
      </c>
      <c r="H30" s="1">
        <v>132819000</v>
      </c>
    </row>
    <row r="31" spans="1:8">
      <c r="A31" s="10">
        <v>0.0289729</v>
      </c>
      <c r="B31" s="1">
        <v>135745000</v>
      </c>
      <c r="D31" s="8">
        <v>0.0290087</v>
      </c>
      <c r="E31" s="1">
        <v>136881000</v>
      </c>
      <c r="G31" s="6">
        <v>0.0290224</v>
      </c>
      <c r="H31" s="1">
        <v>134010000</v>
      </c>
    </row>
    <row r="32" spans="1:8">
      <c r="A32" s="10">
        <v>0.0299927</v>
      </c>
      <c r="B32" s="1">
        <v>142777000</v>
      </c>
      <c r="D32" s="8">
        <v>0.0299988</v>
      </c>
      <c r="E32" s="1">
        <v>141971000</v>
      </c>
      <c r="G32" s="6">
        <v>0.030022</v>
      </c>
      <c r="H32" s="1">
        <v>136998000</v>
      </c>
    </row>
    <row r="33" spans="1:8">
      <c r="A33" s="10">
        <v>0.0310163</v>
      </c>
      <c r="B33" s="1">
        <v>131498000</v>
      </c>
      <c r="D33" s="8">
        <v>0.030998</v>
      </c>
      <c r="E33" s="1">
        <v>131261000</v>
      </c>
      <c r="G33" s="6">
        <v>0.0309767</v>
      </c>
      <c r="H33" s="1">
        <v>145724000</v>
      </c>
    </row>
    <row r="34" spans="1:8">
      <c r="A34" s="10">
        <v>0.0320023</v>
      </c>
      <c r="B34" s="1">
        <v>138840000</v>
      </c>
      <c r="D34" s="8">
        <v>0.0319708</v>
      </c>
      <c r="E34" s="1">
        <v>131041000</v>
      </c>
      <c r="G34" s="6">
        <v>0.0320219</v>
      </c>
      <c r="H34" s="1">
        <v>137915000</v>
      </c>
    </row>
    <row r="35" spans="1:8">
      <c r="A35" s="10">
        <v>0.0329889</v>
      </c>
      <c r="B35" s="1">
        <v>143679000</v>
      </c>
      <c r="D35" s="8">
        <v>0.0329954</v>
      </c>
      <c r="E35" s="1">
        <v>131319000</v>
      </c>
      <c r="G35" s="6">
        <v>0.033033</v>
      </c>
      <c r="H35" s="1">
        <v>144602000</v>
      </c>
    </row>
    <row r="36" spans="1:8">
      <c r="A36" s="10">
        <v>0.033999</v>
      </c>
      <c r="B36" s="1">
        <v>139157000</v>
      </c>
      <c r="D36" s="8">
        <v>0.0339793</v>
      </c>
      <c r="E36" s="1">
        <v>140649000</v>
      </c>
      <c r="G36" s="6">
        <v>0.0340157</v>
      </c>
      <c r="H36" s="1">
        <v>140988000</v>
      </c>
    </row>
    <row r="37" spans="1:8">
      <c r="A37" s="10">
        <v>0.0350086</v>
      </c>
      <c r="B37" s="1">
        <v>135295000</v>
      </c>
      <c r="D37" s="8">
        <v>0.0349875</v>
      </c>
      <c r="E37" s="1">
        <v>118661000</v>
      </c>
      <c r="G37" s="6">
        <v>0.0349878</v>
      </c>
      <c r="H37" s="1">
        <v>136639000</v>
      </c>
    </row>
    <row r="38" spans="1:8">
      <c r="A38" s="10">
        <v>0.0360034</v>
      </c>
      <c r="B38" s="1">
        <v>140880000</v>
      </c>
      <c r="D38" s="8">
        <v>0.0359924</v>
      </c>
      <c r="E38" s="1">
        <v>115720000</v>
      </c>
      <c r="G38" s="6">
        <v>0.0359964</v>
      </c>
      <c r="H38" s="1">
        <v>133153000</v>
      </c>
    </row>
    <row r="39" spans="1:8">
      <c r="A39" s="10">
        <v>0.0369615</v>
      </c>
      <c r="B39" s="1">
        <v>136634000</v>
      </c>
      <c r="D39" s="8">
        <v>0.0370439</v>
      </c>
      <c r="E39" s="1">
        <v>129085000</v>
      </c>
      <c r="G39" s="6">
        <v>0.0370491</v>
      </c>
      <c r="H39" s="1">
        <v>141991000</v>
      </c>
    </row>
    <row r="40" spans="1:8">
      <c r="A40" s="10">
        <v>0.0380792</v>
      </c>
      <c r="B40" s="1">
        <v>127576000</v>
      </c>
      <c r="D40" s="8">
        <v>0.0379855</v>
      </c>
      <c r="E40" s="1">
        <v>142052000</v>
      </c>
      <c r="G40" s="6">
        <v>0.0379656</v>
      </c>
      <c r="H40" s="1">
        <v>139112000</v>
      </c>
    </row>
    <row r="41" spans="1:8">
      <c r="A41" s="10">
        <v>0.0389912</v>
      </c>
      <c r="B41" s="1">
        <v>138740000</v>
      </c>
      <c r="D41" s="8">
        <v>0.0389911</v>
      </c>
      <c r="E41" s="1">
        <v>136072000</v>
      </c>
      <c r="G41" s="6">
        <v>0.0389923</v>
      </c>
      <c r="H41" s="1">
        <v>140250000</v>
      </c>
    </row>
    <row r="42" spans="1:8">
      <c r="A42" s="10">
        <v>0.039977</v>
      </c>
      <c r="B42" s="1">
        <v>149306000</v>
      </c>
      <c r="D42" s="8">
        <v>0.0400767</v>
      </c>
      <c r="E42" s="1">
        <v>132773000</v>
      </c>
      <c r="G42" s="6">
        <v>0.0399835</v>
      </c>
      <c r="H42" s="1">
        <v>136238000</v>
      </c>
    </row>
    <row r="43" spans="1:8">
      <c r="A43" s="10">
        <v>0.0410236</v>
      </c>
      <c r="B43" s="1">
        <v>139588000</v>
      </c>
      <c r="D43" s="8">
        <v>0.041027</v>
      </c>
      <c r="E43" s="1">
        <v>138001000</v>
      </c>
      <c r="G43" s="6">
        <v>0.0410189</v>
      </c>
      <c r="H43" s="1">
        <v>133438000</v>
      </c>
    </row>
    <row r="44" spans="1:8">
      <c r="A44" s="10">
        <v>0.0420737</v>
      </c>
      <c r="B44" s="1">
        <v>141823000</v>
      </c>
      <c r="D44" s="8">
        <v>0.0420081</v>
      </c>
      <c r="E44" s="1">
        <v>135329000</v>
      </c>
      <c r="G44" s="6">
        <v>0.0420531</v>
      </c>
      <c r="H44" s="1">
        <v>129063000</v>
      </c>
    </row>
    <row r="45" spans="1:8">
      <c r="A45" s="10">
        <v>0.0430426</v>
      </c>
      <c r="B45" s="1">
        <v>143268000</v>
      </c>
      <c r="D45" s="8">
        <v>0.042972</v>
      </c>
      <c r="E45" s="1">
        <v>144804000</v>
      </c>
      <c r="G45" s="6">
        <v>0.0430179</v>
      </c>
      <c r="H45" s="1">
        <v>135860000</v>
      </c>
    </row>
    <row r="46" spans="1:8">
      <c r="A46" s="10">
        <v>0.0438978</v>
      </c>
      <c r="B46" s="1">
        <v>135769000</v>
      </c>
      <c r="D46" s="8">
        <v>0.0440345</v>
      </c>
      <c r="E46" s="1">
        <v>134142000</v>
      </c>
      <c r="G46" s="6">
        <v>0.0439825</v>
      </c>
      <c r="H46" s="1">
        <v>139717000</v>
      </c>
    </row>
    <row r="47" spans="1:8">
      <c r="A47" s="10">
        <v>0.0449996</v>
      </c>
      <c r="B47" s="1">
        <v>129915000</v>
      </c>
      <c r="D47" s="8">
        <v>0.0449776</v>
      </c>
      <c r="E47" s="1">
        <v>137280000</v>
      </c>
      <c r="G47" s="6">
        <v>0.0449833</v>
      </c>
      <c r="H47" s="1">
        <v>123571000</v>
      </c>
    </row>
    <row r="48" spans="1:8">
      <c r="A48" s="10">
        <v>0.0460068</v>
      </c>
      <c r="B48" s="1">
        <v>134135000</v>
      </c>
      <c r="D48" s="8">
        <v>0.0460098</v>
      </c>
      <c r="E48" s="1">
        <v>140765000</v>
      </c>
      <c r="G48" s="6">
        <v>0.0459909</v>
      </c>
      <c r="H48" s="1">
        <v>126953000</v>
      </c>
    </row>
    <row r="49" spans="1:8">
      <c r="A49" s="10">
        <v>0.0470161</v>
      </c>
      <c r="B49" s="1">
        <v>137662000</v>
      </c>
      <c r="D49" s="8">
        <v>0.0469837</v>
      </c>
      <c r="E49" s="1">
        <v>139705000</v>
      </c>
      <c r="G49" s="6">
        <v>0.0470262</v>
      </c>
      <c r="H49" s="1">
        <v>133277000</v>
      </c>
    </row>
    <row r="50" spans="1:8">
      <c r="A50" s="10">
        <v>0.0479715</v>
      </c>
      <c r="B50" s="1">
        <v>140075000</v>
      </c>
      <c r="D50" s="8">
        <v>0.0480006</v>
      </c>
      <c r="E50" s="1">
        <v>132847000</v>
      </c>
      <c r="G50" s="6">
        <v>0.0480267</v>
      </c>
      <c r="H50" s="1">
        <v>122612000</v>
      </c>
    </row>
    <row r="51" spans="1:8">
      <c r="A51" s="10">
        <v>0.0489561</v>
      </c>
      <c r="B51" s="1">
        <v>135902000</v>
      </c>
      <c r="D51" s="8">
        <v>0.0489791</v>
      </c>
      <c r="E51" s="1">
        <v>136715000</v>
      </c>
      <c r="G51" s="6">
        <v>0.0490539</v>
      </c>
      <c r="H51" s="1">
        <v>122132000</v>
      </c>
    </row>
    <row r="52" spans="1:8">
      <c r="A52" s="10">
        <v>0.0499716</v>
      </c>
      <c r="B52" s="1">
        <v>139404000</v>
      </c>
      <c r="D52" s="8">
        <v>0.0499045</v>
      </c>
      <c r="E52" s="1">
        <v>127717000</v>
      </c>
      <c r="G52" s="6">
        <v>0.0500183</v>
      </c>
      <c r="H52" s="1">
        <v>146189000</v>
      </c>
    </row>
    <row r="53" spans="1:8">
      <c r="A53" s="10">
        <v>0.0510131</v>
      </c>
      <c r="B53" s="1">
        <v>137008000</v>
      </c>
      <c r="G53" s="6">
        <v>0.0508411</v>
      </c>
      <c r="H53" s="1">
        <v>139098000</v>
      </c>
    </row>
    <row r="54" spans="1:2">
      <c r="A54" s="10">
        <v>0.0520037</v>
      </c>
      <c r="B54" s="1">
        <v>137986000</v>
      </c>
    </row>
    <row r="55" spans="1:2">
      <c r="A55" s="10">
        <v>0.0529856</v>
      </c>
      <c r="B55" s="1">
        <v>132427000</v>
      </c>
    </row>
    <row r="56" spans="1:2">
      <c r="A56" s="10">
        <v>0.0540033</v>
      </c>
      <c r="B56" s="1">
        <v>141826000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9"/>
  <sheetViews>
    <sheetView workbookViewId="0">
      <selection activeCell="C59" sqref="C59:AL59"/>
    </sheetView>
  </sheetViews>
  <sheetFormatPr defaultColWidth="9" defaultRowHeight="15"/>
  <sheetData>
    <row r="1" spans="1:46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16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0.000211378</v>
      </c>
      <c r="B2" s="1">
        <v>0.000689828</v>
      </c>
      <c r="C2" s="1">
        <v>19934100000000</v>
      </c>
      <c r="D2" s="1">
        <v>436924000</v>
      </c>
      <c r="E2" s="1">
        <v>0</v>
      </c>
      <c r="F2" s="1">
        <v>0</v>
      </c>
      <c r="G2" s="1">
        <v>2</v>
      </c>
      <c r="H2" s="1">
        <v>5427390000000</v>
      </c>
      <c r="I2" s="1">
        <v>4622760000000</v>
      </c>
      <c r="J2" s="1">
        <v>4630080000000</v>
      </c>
      <c r="K2" s="1">
        <v>4718490000000</v>
      </c>
      <c r="L2" s="1">
        <v>535362000000</v>
      </c>
      <c r="N2" s="8">
        <v>0.000154734</v>
      </c>
      <c r="O2" s="1">
        <v>0.000575544</v>
      </c>
      <c r="P2" s="1">
        <v>19869900000000</v>
      </c>
      <c r="Q2" s="1">
        <v>228377000</v>
      </c>
      <c r="R2" s="1">
        <v>0</v>
      </c>
      <c r="S2" s="1">
        <v>0</v>
      </c>
      <c r="T2" s="1">
        <v>2</v>
      </c>
      <c r="U2" s="1">
        <v>5466010000000</v>
      </c>
      <c r="V2" s="1">
        <v>4689330000000</v>
      </c>
      <c r="W2" s="1">
        <v>4683220000000</v>
      </c>
      <c r="X2" s="1">
        <v>4691890000000</v>
      </c>
      <c r="Y2" s="1">
        <v>339475000000</v>
      </c>
      <c r="AA2" s="8">
        <v>0.000211382</v>
      </c>
      <c r="AB2" s="1">
        <v>0.000680187</v>
      </c>
      <c r="AC2" s="1">
        <v>19726200000000</v>
      </c>
      <c r="AD2" s="1">
        <v>1314070000</v>
      </c>
      <c r="AE2" s="1">
        <v>0</v>
      </c>
      <c r="AF2" s="1">
        <v>0</v>
      </c>
      <c r="AG2" s="1">
        <v>2</v>
      </c>
      <c r="AH2" s="1">
        <v>4865430000000</v>
      </c>
      <c r="AI2" s="1">
        <v>4858190000000</v>
      </c>
      <c r="AJ2" s="1">
        <v>4851750000000</v>
      </c>
      <c r="AK2" s="1">
        <v>4882500000000</v>
      </c>
      <c r="AL2" s="1">
        <v>268367000000</v>
      </c>
      <c r="AN2" s="1">
        <f>A2</f>
        <v>0.000211378</v>
      </c>
      <c r="AO2" s="1">
        <f>AVERAGE(C2,P2,AC2)</f>
        <v>19843400000000</v>
      </c>
      <c r="AP2" s="1"/>
      <c r="AQ2" s="1"/>
      <c r="AR2" s="1">
        <f>AVERAGE(L2,Y2,AL2)</f>
        <v>381068000000</v>
      </c>
      <c r="AS2" s="1">
        <f>MIN(L2,Y2,AL2)</f>
        <v>268367000000</v>
      </c>
      <c r="AT2" s="1">
        <f>MAX(L2,Y2,AL2)</f>
        <v>535362000000</v>
      </c>
    </row>
    <row r="3" spans="1:46">
      <c r="A3" s="8">
        <v>0.00097298</v>
      </c>
      <c r="B3" s="1">
        <v>0.00157426</v>
      </c>
      <c r="C3" s="1">
        <v>20333400000000</v>
      </c>
      <c r="D3" s="1">
        <v>534374000</v>
      </c>
      <c r="E3" s="1">
        <v>0</v>
      </c>
      <c r="F3" s="1">
        <v>0</v>
      </c>
      <c r="G3" s="1">
        <v>2</v>
      </c>
      <c r="H3" s="1">
        <v>5466630000000</v>
      </c>
      <c r="I3" s="1">
        <v>4755100000000</v>
      </c>
      <c r="J3" s="1">
        <v>4731670000000</v>
      </c>
      <c r="K3" s="1">
        <v>4741390000000</v>
      </c>
      <c r="L3" s="1">
        <v>638610000000</v>
      </c>
      <c r="N3" s="8">
        <v>0.00100671</v>
      </c>
      <c r="O3" s="1">
        <v>0.00156857</v>
      </c>
      <c r="P3" s="1">
        <v>19963400000000</v>
      </c>
      <c r="Q3" s="1">
        <v>373117000</v>
      </c>
      <c r="R3" s="1">
        <v>0</v>
      </c>
      <c r="S3" s="1">
        <v>0</v>
      </c>
      <c r="T3" s="1">
        <v>2</v>
      </c>
      <c r="U3" s="1">
        <v>5472480000000</v>
      </c>
      <c r="V3" s="1">
        <v>4741700000000</v>
      </c>
      <c r="W3" s="1">
        <v>4684640000000</v>
      </c>
      <c r="X3" s="1">
        <v>4732850000000</v>
      </c>
      <c r="Y3" s="1">
        <v>331732000000</v>
      </c>
      <c r="AA3" s="8">
        <v>0.00101828</v>
      </c>
      <c r="AB3" s="1">
        <v>0.00161462</v>
      </c>
      <c r="AC3" s="1">
        <v>19921000000000</v>
      </c>
      <c r="AD3" s="1">
        <v>155182000</v>
      </c>
      <c r="AE3" s="1">
        <v>0</v>
      </c>
      <c r="AF3" s="1">
        <v>0</v>
      </c>
      <c r="AG3" s="1">
        <v>2</v>
      </c>
      <c r="AH3" s="1">
        <v>4921230000000</v>
      </c>
      <c r="AI3" s="1">
        <v>4857480000000</v>
      </c>
      <c r="AJ3" s="1">
        <v>4873020000000</v>
      </c>
      <c r="AK3" s="1">
        <v>4894150000000</v>
      </c>
      <c r="AL3" s="1">
        <v>375126000000</v>
      </c>
      <c r="AN3" s="1">
        <f t="shared" ref="AN3:AN33" si="0">A3</f>
        <v>0.00097298</v>
      </c>
      <c r="AO3" s="1">
        <f t="shared" ref="AO3:AO33" si="1">AVERAGE(C3,P3,AC3)</f>
        <v>20072600000000</v>
      </c>
      <c r="AP3" s="1"/>
      <c r="AQ3" s="1"/>
      <c r="AR3" s="1">
        <f t="shared" ref="AR3:AR33" si="2">AVERAGE(L3,Y3,AL3)</f>
        <v>448489333333.333</v>
      </c>
      <c r="AS3" s="1">
        <f t="shared" ref="AS3:AS33" si="3">MIN(L3,Y3,AL3)</f>
        <v>331732000000</v>
      </c>
      <c r="AT3" s="1">
        <f t="shared" ref="AT3:AT33" si="4">MAX(L3,Y3,AL3)</f>
        <v>638610000000</v>
      </c>
    </row>
    <row r="4" spans="1:46">
      <c r="A4" s="8">
        <v>0.00197206</v>
      </c>
      <c r="B4" s="1">
        <v>0.00257655</v>
      </c>
      <c r="C4" s="1">
        <v>20371000000000</v>
      </c>
      <c r="D4" s="1">
        <v>315644000</v>
      </c>
      <c r="E4" s="1">
        <v>0</v>
      </c>
      <c r="F4" s="1">
        <v>0</v>
      </c>
      <c r="G4" s="1">
        <v>2</v>
      </c>
      <c r="H4" s="1">
        <v>5490390000000</v>
      </c>
      <c r="I4" s="1">
        <v>4731140000000</v>
      </c>
      <c r="J4" s="1">
        <v>4711080000000</v>
      </c>
      <c r="K4" s="1">
        <v>4704280000000</v>
      </c>
      <c r="L4" s="1">
        <v>734150000000</v>
      </c>
      <c r="N4" s="8">
        <v>0.00199666</v>
      </c>
      <c r="O4" s="1">
        <v>0.00259323</v>
      </c>
      <c r="P4" s="1">
        <v>20136700000000</v>
      </c>
      <c r="Q4" s="1">
        <v>124379000</v>
      </c>
      <c r="R4" s="1">
        <v>0</v>
      </c>
      <c r="S4" s="1">
        <v>0</v>
      </c>
      <c r="T4" s="1">
        <v>2</v>
      </c>
      <c r="U4" s="1">
        <v>5510190000000</v>
      </c>
      <c r="V4" s="1">
        <v>4756610000000</v>
      </c>
      <c r="W4" s="1">
        <v>4671860000000</v>
      </c>
      <c r="X4" s="1">
        <v>4708930000000</v>
      </c>
      <c r="Y4" s="1">
        <v>489134000000</v>
      </c>
      <c r="AA4" s="8">
        <v>0.00201683</v>
      </c>
      <c r="AB4" s="1">
        <v>0.00260139</v>
      </c>
      <c r="AC4" s="1">
        <v>19991200000000</v>
      </c>
      <c r="AD4" s="1">
        <v>232647000</v>
      </c>
      <c r="AE4" s="1">
        <v>0</v>
      </c>
      <c r="AF4" s="1">
        <v>0</v>
      </c>
      <c r="AG4" s="1">
        <v>2</v>
      </c>
      <c r="AH4" s="1">
        <v>4906700000000</v>
      </c>
      <c r="AI4" s="1">
        <v>4891860000000</v>
      </c>
      <c r="AJ4" s="1">
        <v>4877160000000</v>
      </c>
      <c r="AK4" s="1">
        <v>4919640000000</v>
      </c>
      <c r="AL4" s="1">
        <v>395851000000</v>
      </c>
      <c r="AN4" s="1">
        <f t="shared" si="0"/>
        <v>0.00197206</v>
      </c>
      <c r="AO4" s="1">
        <f t="shared" si="1"/>
        <v>20166300000000</v>
      </c>
      <c r="AP4" s="1"/>
      <c r="AQ4" s="1"/>
      <c r="AR4" s="1">
        <f t="shared" si="2"/>
        <v>539711666666.667</v>
      </c>
      <c r="AS4" s="1">
        <f t="shared" si="3"/>
        <v>395851000000</v>
      </c>
      <c r="AT4" s="1">
        <f t="shared" si="4"/>
        <v>734150000000</v>
      </c>
    </row>
    <row r="5" spans="1:46">
      <c r="A5" s="8">
        <v>0.00297197</v>
      </c>
      <c r="B5" s="1">
        <v>0.00356303</v>
      </c>
      <c r="C5" s="1">
        <v>20522100000000</v>
      </c>
      <c r="D5" s="1">
        <v>547082000</v>
      </c>
      <c r="E5" s="1">
        <v>0</v>
      </c>
      <c r="F5" s="1">
        <v>0</v>
      </c>
      <c r="G5" s="1">
        <v>2</v>
      </c>
      <c r="H5" s="1">
        <v>5515970000000</v>
      </c>
      <c r="I5" s="1">
        <v>4684060000000</v>
      </c>
      <c r="J5" s="1">
        <v>4648420000000</v>
      </c>
      <c r="K5" s="1">
        <v>4712010000000</v>
      </c>
      <c r="L5" s="1">
        <v>961652000000</v>
      </c>
      <c r="N5" s="8">
        <v>0.0030161</v>
      </c>
      <c r="O5" s="1">
        <v>0.00362191</v>
      </c>
      <c r="P5" s="1">
        <v>20476900000000</v>
      </c>
      <c r="Q5" s="1">
        <v>127953000</v>
      </c>
      <c r="R5" s="1">
        <v>0</v>
      </c>
      <c r="S5" s="1">
        <v>0</v>
      </c>
      <c r="T5" s="1">
        <v>2</v>
      </c>
      <c r="U5" s="1">
        <v>5441720000000</v>
      </c>
      <c r="V5" s="1">
        <v>4746440000000</v>
      </c>
      <c r="W5" s="1">
        <v>4713530000000</v>
      </c>
      <c r="X5" s="1">
        <v>4775690000000</v>
      </c>
      <c r="Y5" s="1">
        <v>799489000000</v>
      </c>
      <c r="AA5" s="8">
        <v>0.00300325</v>
      </c>
      <c r="AB5" s="1">
        <v>0.00358806</v>
      </c>
      <c r="AC5" s="1">
        <v>20113200000000</v>
      </c>
      <c r="AD5" s="1">
        <v>68070200</v>
      </c>
      <c r="AE5" s="1">
        <v>0</v>
      </c>
      <c r="AF5" s="1">
        <v>0</v>
      </c>
      <c r="AG5" s="1">
        <v>2</v>
      </c>
      <c r="AH5" s="1">
        <v>4926330000000</v>
      </c>
      <c r="AI5" s="1">
        <v>4886870000000</v>
      </c>
      <c r="AJ5" s="1">
        <v>4938990000000</v>
      </c>
      <c r="AK5" s="1">
        <v>4874460000000</v>
      </c>
      <c r="AL5" s="1">
        <v>486597000000</v>
      </c>
      <c r="AN5" s="1">
        <f t="shared" si="0"/>
        <v>0.00297197</v>
      </c>
      <c r="AO5" s="1">
        <f t="shared" si="1"/>
        <v>20370733333333.3</v>
      </c>
      <c r="AP5" s="1"/>
      <c r="AQ5" s="1"/>
      <c r="AR5" s="1">
        <f t="shared" si="2"/>
        <v>749246000000</v>
      </c>
      <c r="AS5" s="1">
        <f t="shared" si="3"/>
        <v>486597000000</v>
      </c>
      <c r="AT5" s="1">
        <f t="shared" si="4"/>
        <v>961652000000</v>
      </c>
    </row>
    <row r="6" spans="1:46">
      <c r="A6" s="8">
        <v>0.00399284</v>
      </c>
      <c r="B6" s="1">
        <v>0.00458812</v>
      </c>
      <c r="C6" s="1">
        <v>20514300000000</v>
      </c>
      <c r="D6" s="1">
        <v>347041000</v>
      </c>
      <c r="E6" s="1">
        <v>0</v>
      </c>
      <c r="F6" s="1">
        <v>0</v>
      </c>
      <c r="G6" s="1">
        <v>2</v>
      </c>
      <c r="H6" s="1">
        <v>5462460000000</v>
      </c>
      <c r="I6" s="1">
        <v>4581550000000</v>
      </c>
      <c r="J6" s="1">
        <v>4661060000000</v>
      </c>
      <c r="K6" s="1">
        <v>4619600000000</v>
      </c>
      <c r="L6" s="1">
        <v>1189560000000</v>
      </c>
      <c r="N6" s="8">
        <v>0.00399379</v>
      </c>
      <c r="O6" s="1">
        <v>0.00458811</v>
      </c>
      <c r="P6" s="1">
        <v>20596000000000</v>
      </c>
      <c r="Q6" s="1">
        <v>432429000</v>
      </c>
      <c r="R6" s="1">
        <v>0</v>
      </c>
      <c r="S6" s="1">
        <v>0</v>
      </c>
      <c r="T6" s="1">
        <v>2</v>
      </c>
      <c r="U6" s="1">
        <v>5554020000000</v>
      </c>
      <c r="V6" s="1">
        <v>4699630000000</v>
      </c>
      <c r="W6" s="1">
        <v>4630450000000</v>
      </c>
      <c r="X6" s="1">
        <v>4793430000000</v>
      </c>
      <c r="Y6" s="1">
        <v>918426000000</v>
      </c>
      <c r="AA6" s="8">
        <v>0.00397696</v>
      </c>
      <c r="AB6" s="1">
        <v>0.00457483</v>
      </c>
      <c r="AC6" s="1">
        <v>20142100000000</v>
      </c>
      <c r="AD6" s="1">
        <v>454968000</v>
      </c>
      <c r="AE6" s="1">
        <v>0</v>
      </c>
      <c r="AF6" s="1">
        <v>0</v>
      </c>
      <c r="AG6" s="1">
        <v>2</v>
      </c>
      <c r="AH6" s="1">
        <v>4884910000000</v>
      </c>
      <c r="AI6" s="1">
        <v>4907090000000</v>
      </c>
      <c r="AJ6" s="1">
        <v>4891950000000</v>
      </c>
      <c r="AK6" s="1">
        <v>4855880000000</v>
      </c>
      <c r="AL6" s="1">
        <v>602294000000</v>
      </c>
      <c r="AN6" s="1">
        <f t="shared" si="0"/>
        <v>0.00399284</v>
      </c>
      <c r="AO6" s="1">
        <f t="shared" si="1"/>
        <v>20417466666666.7</v>
      </c>
      <c r="AP6" s="1"/>
      <c r="AQ6" s="1"/>
      <c r="AR6" s="1">
        <f t="shared" si="2"/>
        <v>903426666666.667</v>
      </c>
      <c r="AS6" s="1">
        <f t="shared" si="3"/>
        <v>602294000000</v>
      </c>
      <c r="AT6" s="1">
        <f t="shared" si="4"/>
        <v>1189560000000</v>
      </c>
    </row>
    <row r="7" spans="1:46">
      <c r="A7" s="8">
        <v>0.00501817</v>
      </c>
      <c r="B7" s="1">
        <v>0.00564917</v>
      </c>
      <c r="C7" s="1">
        <v>20845400000000</v>
      </c>
      <c r="D7" s="1">
        <v>153962000</v>
      </c>
      <c r="E7" s="1">
        <v>0</v>
      </c>
      <c r="F7" s="1">
        <v>0</v>
      </c>
      <c r="G7" s="1">
        <v>2</v>
      </c>
      <c r="H7" s="1">
        <v>5523230000000</v>
      </c>
      <c r="I7" s="1">
        <v>4593010000000</v>
      </c>
      <c r="J7" s="1">
        <v>4666330000000</v>
      </c>
      <c r="K7" s="1">
        <v>4746490000000</v>
      </c>
      <c r="L7" s="1">
        <v>1316310000000</v>
      </c>
      <c r="N7" s="8">
        <v>0.00496968</v>
      </c>
      <c r="O7" s="1">
        <v>0.00556279</v>
      </c>
      <c r="P7" s="1">
        <v>20878700000000</v>
      </c>
      <c r="Q7" s="1">
        <v>232280000</v>
      </c>
      <c r="R7" s="1">
        <v>0</v>
      </c>
      <c r="S7" s="1">
        <v>0</v>
      </c>
      <c r="T7" s="1">
        <v>2</v>
      </c>
      <c r="U7" s="1">
        <v>5410130000000</v>
      </c>
      <c r="V7" s="1">
        <v>4711500000000</v>
      </c>
      <c r="W7" s="1">
        <v>4681250000000</v>
      </c>
      <c r="X7" s="1">
        <v>5112450000000</v>
      </c>
      <c r="Y7" s="1">
        <v>963347000000</v>
      </c>
      <c r="AA7" s="8">
        <v>0.00500527</v>
      </c>
      <c r="AB7" s="1">
        <v>0.00558562</v>
      </c>
      <c r="AC7" s="1">
        <v>20259500000000</v>
      </c>
      <c r="AD7" s="1">
        <v>443993000</v>
      </c>
      <c r="AE7" s="1">
        <v>0</v>
      </c>
      <c r="AF7" s="1">
        <v>0</v>
      </c>
      <c r="AG7" s="1">
        <v>2</v>
      </c>
      <c r="AH7" s="1">
        <v>4902700000000</v>
      </c>
      <c r="AI7" s="1">
        <v>4861460000000</v>
      </c>
      <c r="AJ7" s="1">
        <v>5008850000000</v>
      </c>
      <c r="AK7" s="1">
        <v>4859350000000</v>
      </c>
      <c r="AL7" s="1">
        <v>627169000000</v>
      </c>
      <c r="AN7" s="1">
        <f t="shared" si="0"/>
        <v>0.00501817</v>
      </c>
      <c r="AO7" s="1">
        <f t="shared" si="1"/>
        <v>20661200000000</v>
      </c>
      <c r="AP7" s="1"/>
      <c r="AQ7" s="1"/>
      <c r="AR7" s="1">
        <f t="shared" si="2"/>
        <v>968942000000</v>
      </c>
      <c r="AS7" s="1">
        <f t="shared" si="3"/>
        <v>627169000000</v>
      </c>
      <c r="AT7" s="1">
        <f t="shared" si="4"/>
        <v>1316310000000</v>
      </c>
    </row>
    <row r="8" spans="1:46">
      <c r="A8" s="8">
        <v>0.00600417</v>
      </c>
      <c r="B8" s="1">
        <v>0.0066175</v>
      </c>
      <c r="C8" s="1">
        <v>21312700000000</v>
      </c>
      <c r="D8" s="1">
        <v>642434000</v>
      </c>
      <c r="E8" s="1">
        <v>0</v>
      </c>
      <c r="F8" s="1">
        <v>0</v>
      </c>
      <c r="G8" s="1">
        <v>2</v>
      </c>
      <c r="H8" s="1">
        <v>5399840000000</v>
      </c>
      <c r="I8" s="1">
        <v>4776170000000</v>
      </c>
      <c r="J8" s="1">
        <v>4628240000000</v>
      </c>
      <c r="K8" s="1">
        <v>4649500000000</v>
      </c>
      <c r="L8" s="1">
        <v>1858940000000</v>
      </c>
      <c r="N8" s="8">
        <v>0.00599355</v>
      </c>
      <c r="O8" s="1">
        <v>0.00660275</v>
      </c>
      <c r="P8" s="1">
        <v>20921200000000</v>
      </c>
      <c r="Q8" s="1">
        <v>357126000</v>
      </c>
      <c r="R8" s="1">
        <v>0</v>
      </c>
      <c r="S8" s="1">
        <v>0</v>
      </c>
      <c r="T8" s="1">
        <v>2</v>
      </c>
      <c r="U8" s="1">
        <v>5388780000000</v>
      </c>
      <c r="V8" s="1">
        <v>4708050000000</v>
      </c>
      <c r="W8" s="1">
        <v>4648140000000</v>
      </c>
      <c r="X8" s="1">
        <v>4961800000000</v>
      </c>
      <c r="Y8" s="1">
        <v>1214440000000</v>
      </c>
      <c r="AA8" s="8">
        <v>0.00598043</v>
      </c>
      <c r="AB8" s="1">
        <v>0.00657224</v>
      </c>
      <c r="AC8" s="1">
        <v>20128900000000</v>
      </c>
      <c r="AD8" s="1">
        <v>242918000</v>
      </c>
      <c r="AE8" s="1">
        <v>0</v>
      </c>
      <c r="AF8" s="1">
        <v>0</v>
      </c>
      <c r="AG8" s="1">
        <v>2</v>
      </c>
      <c r="AH8" s="1">
        <v>4906630000000</v>
      </c>
      <c r="AI8" s="1">
        <v>4838590000000</v>
      </c>
      <c r="AJ8" s="1">
        <v>4887340000000</v>
      </c>
      <c r="AK8" s="1">
        <v>4874560000000</v>
      </c>
      <c r="AL8" s="1">
        <v>621822000000</v>
      </c>
      <c r="AN8" s="1">
        <f t="shared" si="0"/>
        <v>0.00600417</v>
      </c>
      <c r="AO8" s="1">
        <f t="shared" si="1"/>
        <v>20787600000000</v>
      </c>
      <c r="AP8" s="1"/>
      <c r="AQ8" s="1"/>
      <c r="AR8" s="1">
        <f t="shared" si="2"/>
        <v>1231734000000</v>
      </c>
      <c r="AS8" s="1">
        <f t="shared" si="3"/>
        <v>621822000000</v>
      </c>
      <c r="AT8" s="1">
        <f t="shared" si="4"/>
        <v>1858940000000</v>
      </c>
    </row>
    <row r="9" spans="1:46">
      <c r="A9" s="8">
        <v>0.00697331</v>
      </c>
      <c r="B9" s="1">
        <v>0.00760979</v>
      </c>
      <c r="C9" s="1">
        <v>21793500000000</v>
      </c>
      <c r="D9" s="1">
        <v>572082000</v>
      </c>
      <c r="E9" s="1">
        <v>0</v>
      </c>
      <c r="F9" s="1">
        <v>0</v>
      </c>
      <c r="G9" s="1">
        <v>2</v>
      </c>
      <c r="H9" s="1">
        <v>5521570000000</v>
      </c>
      <c r="I9" s="1">
        <v>5317730000000</v>
      </c>
      <c r="J9" s="1">
        <v>4464800000000</v>
      </c>
      <c r="K9" s="1">
        <v>4297520000000</v>
      </c>
      <c r="L9" s="1">
        <v>2191890000000</v>
      </c>
      <c r="N9" s="8">
        <v>0.0069824</v>
      </c>
      <c r="O9" s="1">
        <v>0.00759646</v>
      </c>
      <c r="P9" s="1">
        <v>20707200000000</v>
      </c>
      <c r="Q9" s="1">
        <v>155691000</v>
      </c>
      <c r="R9" s="1">
        <v>0</v>
      </c>
      <c r="S9" s="1">
        <v>0</v>
      </c>
      <c r="T9" s="1">
        <v>2</v>
      </c>
      <c r="U9" s="1">
        <v>5494580000000</v>
      </c>
      <c r="V9" s="1">
        <v>4760440000000</v>
      </c>
      <c r="W9" s="1">
        <v>4661240000000</v>
      </c>
      <c r="X9" s="1">
        <v>4726640000000</v>
      </c>
      <c r="Y9" s="1">
        <v>1064300000000</v>
      </c>
      <c r="AA9" s="8">
        <v>0.00699662</v>
      </c>
      <c r="AB9" s="1">
        <v>0.00758547</v>
      </c>
      <c r="AC9" s="1">
        <v>20084900000000</v>
      </c>
      <c r="AD9" s="1">
        <v>158588000</v>
      </c>
      <c r="AE9" s="1">
        <v>0</v>
      </c>
      <c r="AF9" s="1">
        <v>0</v>
      </c>
      <c r="AG9" s="1">
        <v>2</v>
      </c>
      <c r="AH9" s="1">
        <v>4888500000000</v>
      </c>
      <c r="AI9" s="1">
        <v>4874400000000</v>
      </c>
      <c r="AJ9" s="1">
        <v>4870380000000</v>
      </c>
      <c r="AK9" s="1">
        <v>4885720000000</v>
      </c>
      <c r="AL9" s="1">
        <v>565912000000</v>
      </c>
      <c r="AN9" s="1">
        <f t="shared" si="0"/>
        <v>0.00697331</v>
      </c>
      <c r="AO9" s="1">
        <f t="shared" si="1"/>
        <v>20861866666666.7</v>
      </c>
      <c r="AP9" s="1"/>
      <c r="AQ9" s="1"/>
      <c r="AR9" s="1">
        <f t="shared" si="2"/>
        <v>1274034000000</v>
      </c>
      <c r="AS9" s="1">
        <f t="shared" si="3"/>
        <v>565912000000</v>
      </c>
      <c r="AT9" s="1">
        <f t="shared" si="4"/>
        <v>2191890000000</v>
      </c>
    </row>
    <row r="10" spans="1:46">
      <c r="A10" s="8">
        <v>0.00800211</v>
      </c>
      <c r="B10" s="1">
        <v>0.00863191</v>
      </c>
      <c r="C10" s="1">
        <v>21768300000000</v>
      </c>
      <c r="D10" s="1">
        <v>1090090000</v>
      </c>
      <c r="E10" s="1">
        <v>0</v>
      </c>
      <c r="F10" s="1">
        <v>0</v>
      </c>
      <c r="G10" s="1">
        <v>2</v>
      </c>
      <c r="H10" s="1">
        <v>5816920000000</v>
      </c>
      <c r="I10" s="1">
        <v>4586920000000</v>
      </c>
      <c r="J10" s="1">
        <v>4723490000000</v>
      </c>
      <c r="K10" s="1">
        <v>4330980000000</v>
      </c>
      <c r="L10" s="1">
        <v>2309980000000</v>
      </c>
      <c r="N10" s="8">
        <v>0.00799455</v>
      </c>
      <c r="O10" s="1">
        <v>0.00860139</v>
      </c>
      <c r="P10" s="1">
        <v>20537100000000</v>
      </c>
      <c r="Q10" s="1">
        <v>335020000</v>
      </c>
      <c r="R10" s="1">
        <v>0</v>
      </c>
      <c r="S10" s="1">
        <v>0</v>
      </c>
      <c r="T10" s="1">
        <v>2</v>
      </c>
      <c r="U10" s="1">
        <v>5484970000000</v>
      </c>
      <c r="V10" s="1">
        <v>4701160000000</v>
      </c>
      <c r="W10" s="1">
        <v>4670330000000</v>
      </c>
      <c r="X10" s="1">
        <v>4715930000000</v>
      </c>
      <c r="Y10" s="1">
        <v>964690000000</v>
      </c>
      <c r="AA10" s="8">
        <v>0.00801184</v>
      </c>
      <c r="AB10" s="1">
        <v>0.00860068</v>
      </c>
      <c r="AC10" s="1">
        <v>20112400000000</v>
      </c>
      <c r="AD10" s="1">
        <v>520554000</v>
      </c>
      <c r="AE10" s="1">
        <v>0</v>
      </c>
      <c r="AF10" s="1">
        <v>0</v>
      </c>
      <c r="AG10" s="1">
        <v>2</v>
      </c>
      <c r="AH10" s="1">
        <v>4892540000000</v>
      </c>
      <c r="AI10" s="1">
        <v>4900950000000</v>
      </c>
      <c r="AJ10" s="1">
        <v>4897140000000</v>
      </c>
      <c r="AK10" s="1">
        <v>4917920000000</v>
      </c>
      <c r="AL10" s="1">
        <v>503843000000</v>
      </c>
      <c r="AN10" s="1">
        <f t="shared" si="0"/>
        <v>0.00800211</v>
      </c>
      <c r="AO10" s="1">
        <f t="shared" si="1"/>
        <v>20805933333333.3</v>
      </c>
      <c r="AP10" s="1"/>
      <c r="AQ10" s="1"/>
      <c r="AR10" s="1">
        <f t="shared" si="2"/>
        <v>1259504333333.33</v>
      </c>
      <c r="AS10" s="1">
        <f t="shared" si="3"/>
        <v>503843000000</v>
      </c>
      <c r="AT10" s="1">
        <f t="shared" si="4"/>
        <v>2309980000000</v>
      </c>
    </row>
    <row r="11" spans="1:46">
      <c r="A11" s="8">
        <v>0.00897935</v>
      </c>
      <c r="B11" s="1">
        <v>0.00965677</v>
      </c>
      <c r="C11" s="1">
        <v>22378800000000</v>
      </c>
      <c r="D11" s="1">
        <v>690980000</v>
      </c>
      <c r="E11" s="1">
        <v>0</v>
      </c>
      <c r="F11" s="1">
        <v>0</v>
      </c>
      <c r="G11" s="1">
        <v>2</v>
      </c>
      <c r="H11" s="1">
        <v>5620930000000</v>
      </c>
      <c r="I11" s="1">
        <v>4528450000000</v>
      </c>
      <c r="J11" s="1">
        <v>4901240000000</v>
      </c>
      <c r="K11" s="1">
        <v>4564410000000</v>
      </c>
      <c r="L11" s="1">
        <v>2763740000000</v>
      </c>
      <c r="N11" s="8">
        <v>0.0090061</v>
      </c>
      <c r="O11" s="1">
        <v>0.00959298</v>
      </c>
      <c r="P11" s="1">
        <v>21102600000000</v>
      </c>
      <c r="Q11" s="1">
        <v>358445000</v>
      </c>
      <c r="R11" s="1">
        <v>0</v>
      </c>
      <c r="S11" s="1">
        <v>0</v>
      </c>
      <c r="T11" s="1">
        <v>2</v>
      </c>
      <c r="U11" s="1">
        <v>6005890000000</v>
      </c>
      <c r="V11" s="1">
        <v>4682900000000</v>
      </c>
      <c r="W11" s="1">
        <v>4570050000000</v>
      </c>
      <c r="X11" s="1">
        <v>4696210000000</v>
      </c>
      <c r="Y11" s="1">
        <v>1147500000000</v>
      </c>
      <c r="AA11" s="8">
        <v>0.00901695</v>
      </c>
      <c r="AB11" s="1">
        <v>0.00960578</v>
      </c>
      <c r="AC11" s="1">
        <v>20250000000000</v>
      </c>
      <c r="AD11" s="1">
        <v>278185000</v>
      </c>
      <c r="AE11" s="1">
        <v>0</v>
      </c>
      <c r="AF11" s="1">
        <v>0</v>
      </c>
      <c r="AG11" s="1">
        <v>2</v>
      </c>
      <c r="AH11" s="1">
        <v>4845390000000</v>
      </c>
      <c r="AI11" s="1">
        <v>4847380000000</v>
      </c>
      <c r="AJ11" s="1">
        <v>4854190000000</v>
      </c>
      <c r="AK11" s="1">
        <v>4885640000000</v>
      </c>
      <c r="AL11" s="1">
        <v>817398000000</v>
      </c>
      <c r="AN11" s="1">
        <f t="shared" si="0"/>
        <v>0.00897935</v>
      </c>
      <c r="AO11" s="1">
        <f t="shared" si="1"/>
        <v>21243800000000</v>
      </c>
      <c r="AP11" s="1"/>
      <c r="AQ11" s="1"/>
      <c r="AR11" s="1">
        <f t="shared" si="2"/>
        <v>1576212666666.67</v>
      </c>
      <c r="AS11" s="1">
        <f t="shared" si="3"/>
        <v>817398000000</v>
      </c>
      <c r="AT11" s="1">
        <f t="shared" si="4"/>
        <v>2763740000000</v>
      </c>
    </row>
    <row r="12" spans="1:46">
      <c r="A12" s="8">
        <v>0.0100225</v>
      </c>
      <c r="B12" s="1">
        <v>0.0106203</v>
      </c>
      <c r="C12" s="1">
        <v>24434800000000</v>
      </c>
      <c r="D12" s="1">
        <v>1628920000</v>
      </c>
      <c r="E12" s="1">
        <v>0</v>
      </c>
      <c r="F12" s="1">
        <v>0</v>
      </c>
      <c r="G12" s="1">
        <v>2</v>
      </c>
      <c r="H12" s="1">
        <v>5690760000000</v>
      </c>
      <c r="I12" s="1">
        <v>6044440000000</v>
      </c>
      <c r="J12" s="1">
        <v>5057930000000</v>
      </c>
      <c r="K12" s="1">
        <v>4587730000000</v>
      </c>
      <c r="L12" s="1">
        <v>3053890000000</v>
      </c>
      <c r="N12" s="8">
        <v>0.0100658</v>
      </c>
      <c r="O12" s="1">
        <v>0.010693</v>
      </c>
      <c r="P12" s="1">
        <v>21125300000000</v>
      </c>
      <c r="Q12" s="1">
        <v>1297440000</v>
      </c>
      <c r="R12" s="1">
        <v>0</v>
      </c>
      <c r="S12" s="1">
        <v>0</v>
      </c>
      <c r="T12" s="1">
        <v>2</v>
      </c>
      <c r="U12" s="1">
        <v>5718860000000</v>
      </c>
      <c r="V12" s="1">
        <v>4509780000000</v>
      </c>
      <c r="W12" s="1">
        <v>4594680000000</v>
      </c>
      <c r="X12" s="1">
        <v>4506740000000</v>
      </c>
      <c r="Y12" s="1">
        <v>1795250000000</v>
      </c>
      <c r="AA12" s="8">
        <v>0.0100127</v>
      </c>
      <c r="AB12" s="1">
        <v>0.0106212</v>
      </c>
      <c r="AC12" s="1">
        <v>20423900000000</v>
      </c>
      <c r="AD12" s="1">
        <v>437838000</v>
      </c>
      <c r="AE12" s="1">
        <v>0</v>
      </c>
      <c r="AF12" s="1">
        <v>0</v>
      </c>
      <c r="AG12" s="1">
        <v>2</v>
      </c>
      <c r="AH12" s="1">
        <v>4833690000000</v>
      </c>
      <c r="AI12" s="1">
        <v>4849580000000</v>
      </c>
      <c r="AJ12" s="1">
        <v>4841490000000</v>
      </c>
      <c r="AK12" s="1">
        <v>4737920000000</v>
      </c>
      <c r="AL12" s="1">
        <v>1161200000000</v>
      </c>
      <c r="AN12" s="1">
        <f t="shared" si="0"/>
        <v>0.0100225</v>
      </c>
      <c r="AO12" s="1">
        <f t="shared" si="1"/>
        <v>21994666666666.7</v>
      </c>
      <c r="AP12" s="1"/>
      <c r="AQ12" s="1"/>
      <c r="AR12" s="1">
        <f t="shared" si="2"/>
        <v>2003446666666.67</v>
      </c>
      <c r="AS12" s="1">
        <f t="shared" si="3"/>
        <v>1161200000000</v>
      </c>
      <c r="AT12" s="1">
        <f t="shared" si="4"/>
        <v>3053890000000</v>
      </c>
    </row>
    <row r="13" spans="1:46">
      <c r="A13" s="8">
        <v>0.0109492</v>
      </c>
      <c r="B13" s="1">
        <v>0.0115401</v>
      </c>
      <c r="C13" s="1">
        <v>24407200000000</v>
      </c>
      <c r="D13" s="1">
        <v>844240000</v>
      </c>
      <c r="E13" s="1">
        <v>0</v>
      </c>
      <c r="F13" s="1">
        <v>0</v>
      </c>
      <c r="G13" s="1">
        <v>2</v>
      </c>
      <c r="H13" s="1">
        <v>5858320000000</v>
      </c>
      <c r="I13" s="1">
        <v>5550190000000</v>
      </c>
      <c r="J13" s="1">
        <v>5571600000000</v>
      </c>
      <c r="K13" s="1">
        <v>4768090000000</v>
      </c>
      <c r="L13" s="1">
        <v>2658430000000</v>
      </c>
      <c r="N13" s="8">
        <v>0.0110219</v>
      </c>
      <c r="O13" s="1">
        <v>0.0116451</v>
      </c>
      <c r="P13" s="1">
        <v>21349800000000</v>
      </c>
      <c r="Q13" s="1">
        <v>545690000</v>
      </c>
      <c r="R13" s="1">
        <v>0</v>
      </c>
      <c r="S13" s="1">
        <v>0</v>
      </c>
      <c r="T13" s="1">
        <v>2</v>
      </c>
      <c r="U13" s="1">
        <v>5398850000000</v>
      </c>
      <c r="V13" s="1">
        <v>4579110000000</v>
      </c>
      <c r="W13" s="1">
        <v>4657010000000</v>
      </c>
      <c r="X13" s="1">
        <v>4484160000000</v>
      </c>
      <c r="Y13" s="1">
        <v>2230640000000</v>
      </c>
      <c r="AA13" s="8">
        <v>0.0109858</v>
      </c>
      <c r="AB13" s="1">
        <v>0.0115922</v>
      </c>
      <c r="AC13" s="1">
        <v>20412400000000</v>
      </c>
      <c r="AD13" s="1">
        <v>476372000</v>
      </c>
      <c r="AE13" s="1">
        <v>0</v>
      </c>
      <c r="AF13" s="1">
        <v>0</v>
      </c>
      <c r="AG13" s="1">
        <v>2</v>
      </c>
      <c r="AH13" s="1">
        <v>4853410000000</v>
      </c>
      <c r="AI13" s="1">
        <v>4649540000000</v>
      </c>
      <c r="AJ13" s="1">
        <v>4779850000000</v>
      </c>
      <c r="AK13" s="1">
        <v>4766050000000</v>
      </c>
      <c r="AL13" s="1">
        <v>1363340000000</v>
      </c>
      <c r="AN13" s="1">
        <f t="shared" si="0"/>
        <v>0.0109492</v>
      </c>
      <c r="AO13" s="1">
        <f t="shared" si="1"/>
        <v>22056466666666.7</v>
      </c>
      <c r="AP13" s="1"/>
      <c r="AQ13" s="1"/>
      <c r="AR13" s="1">
        <f t="shared" si="2"/>
        <v>2084136666666.67</v>
      </c>
      <c r="AS13" s="1">
        <f t="shared" si="3"/>
        <v>1363340000000</v>
      </c>
      <c r="AT13" s="1">
        <f t="shared" si="4"/>
        <v>2658430000000</v>
      </c>
    </row>
    <row r="14" spans="1:46">
      <c r="A14" s="8">
        <v>0.0119489</v>
      </c>
      <c r="B14" s="1">
        <v>0.0125618</v>
      </c>
      <c r="C14" s="1">
        <v>24472200000000</v>
      </c>
      <c r="D14" s="1">
        <v>900222000</v>
      </c>
      <c r="E14" s="1">
        <v>0</v>
      </c>
      <c r="F14" s="1">
        <v>0</v>
      </c>
      <c r="G14" s="1">
        <v>2</v>
      </c>
      <c r="H14" s="1">
        <v>6008560000000</v>
      </c>
      <c r="I14" s="1">
        <v>5218770000000</v>
      </c>
      <c r="J14" s="1">
        <v>5682730000000</v>
      </c>
      <c r="K14" s="1">
        <v>4675940000000</v>
      </c>
      <c r="L14" s="1">
        <v>2886160000000</v>
      </c>
      <c r="N14" s="8">
        <v>0.0119948</v>
      </c>
      <c r="O14" s="1">
        <v>0.0126132</v>
      </c>
      <c r="P14" s="1">
        <v>21933400000000</v>
      </c>
      <c r="Q14" s="1">
        <v>843223000</v>
      </c>
      <c r="R14" s="1">
        <v>0</v>
      </c>
      <c r="S14" s="1">
        <v>0</v>
      </c>
      <c r="T14" s="1">
        <v>2</v>
      </c>
      <c r="U14" s="1">
        <v>5537530000000</v>
      </c>
      <c r="V14" s="1">
        <v>4629780000000</v>
      </c>
      <c r="W14" s="1">
        <v>4974430000000</v>
      </c>
      <c r="X14" s="1">
        <v>4463670000000</v>
      </c>
      <c r="Y14" s="1">
        <v>2328000000000</v>
      </c>
      <c r="AA14" s="8">
        <v>0.0119511</v>
      </c>
      <c r="AB14" s="1">
        <v>0.0125722</v>
      </c>
      <c r="AC14" s="1">
        <v>20791000000000</v>
      </c>
      <c r="AD14" s="1">
        <v>475695000</v>
      </c>
      <c r="AE14" s="1">
        <v>0</v>
      </c>
      <c r="AF14" s="1">
        <v>0</v>
      </c>
      <c r="AG14" s="1">
        <v>2</v>
      </c>
      <c r="AH14" s="1">
        <v>4894620000000</v>
      </c>
      <c r="AI14" s="1">
        <v>4804830000000</v>
      </c>
      <c r="AJ14" s="1">
        <v>4796860000000</v>
      </c>
      <c r="AK14" s="1">
        <v>4913880000000</v>
      </c>
      <c r="AL14" s="1">
        <v>1380830000000</v>
      </c>
      <c r="AN14" s="1">
        <f t="shared" si="0"/>
        <v>0.0119489</v>
      </c>
      <c r="AO14" s="1">
        <f t="shared" si="1"/>
        <v>22398866666666.7</v>
      </c>
      <c r="AP14" s="1"/>
      <c r="AQ14" s="1"/>
      <c r="AR14" s="1">
        <f t="shared" si="2"/>
        <v>2198330000000</v>
      </c>
      <c r="AS14" s="1">
        <f t="shared" si="3"/>
        <v>1380830000000</v>
      </c>
      <c r="AT14" s="1">
        <f t="shared" si="4"/>
        <v>2886160000000</v>
      </c>
    </row>
    <row r="15" spans="1:46">
      <c r="A15" s="8">
        <v>0.0129717</v>
      </c>
      <c r="B15" s="1">
        <v>0.0135693</v>
      </c>
      <c r="C15" s="1">
        <v>23749900000000</v>
      </c>
      <c r="D15" s="1">
        <v>758388000</v>
      </c>
      <c r="E15" s="1">
        <v>0</v>
      </c>
      <c r="F15" s="1">
        <v>0</v>
      </c>
      <c r="G15" s="1">
        <v>2</v>
      </c>
      <c r="H15" s="1">
        <v>6103330000000</v>
      </c>
      <c r="I15" s="1">
        <v>5310130000000</v>
      </c>
      <c r="J15" s="1">
        <v>4805960000000</v>
      </c>
      <c r="K15" s="1">
        <v>4815410000000</v>
      </c>
      <c r="L15" s="1">
        <v>2715040000000</v>
      </c>
      <c r="N15" s="8">
        <v>0.013008</v>
      </c>
      <c r="O15" s="1">
        <v>0.0136528</v>
      </c>
      <c r="P15" s="1">
        <v>21993300000000</v>
      </c>
      <c r="Q15" s="1">
        <v>724842000</v>
      </c>
      <c r="R15" s="1">
        <v>0</v>
      </c>
      <c r="S15" s="1">
        <v>0</v>
      </c>
      <c r="T15" s="1">
        <v>2</v>
      </c>
      <c r="U15" s="1">
        <v>5486460000000</v>
      </c>
      <c r="V15" s="1">
        <v>4648930000000</v>
      </c>
      <c r="W15" s="1">
        <v>4698320000000</v>
      </c>
      <c r="X15" s="1">
        <v>4743100000000</v>
      </c>
      <c r="Y15" s="1">
        <v>2416460000000</v>
      </c>
      <c r="AA15" s="8">
        <v>0.0129556</v>
      </c>
      <c r="AB15" s="1">
        <v>0.0135587</v>
      </c>
      <c r="AC15" s="1">
        <v>21177000000000</v>
      </c>
      <c r="AD15" s="1">
        <v>439791000</v>
      </c>
      <c r="AE15" s="1">
        <v>0</v>
      </c>
      <c r="AF15" s="1">
        <v>0</v>
      </c>
      <c r="AG15" s="1">
        <v>2</v>
      </c>
      <c r="AH15" s="1">
        <v>4961660000000</v>
      </c>
      <c r="AI15" s="1">
        <v>4808980000000</v>
      </c>
      <c r="AJ15" s="1">
        <v>4912690000000</v>
      </c>
      <c r="AK15" s="1">
        <v>5151970000000</v>
      </c>
      <c r="AL15" s="1">
        <v>1341680000000</v>
      </c>
      <c r="AN15" s="1">
        <f t="shared" si="0"/>
        <v>0.0129717</v>
      </c>
      <c r="AO15" s="1">
        <f t="shared" si="1"/>
        <v>22306733333333.3</v>
      </c>
      <c r="AP15" s="1"/>
      <c r="AQ15" s="1"/>
      <c r="AR15" s="1">
        <f t="shared" si="2"/>
        <v>2157726666666.67</v>
      </c>
      <c r="AS15" s="1">
        <f t="shared" si="3"/>
        <v>1341680000000</v>
      </c>
      <c r="AT15" s="1">
        <f t="shared" si="4"/>
        <v>2715040000000</v>
      </c>
    </row>
    <row r="16" spans="1:46">
      <c r="A16" s="8">
        <v>0.0139519</v>
      </c>
      <c r="B16" s="1">
        <v>0.014604</v>
      </c>
      <c r="C16" s="1">
        <v>22524600000000</v>
      </c>
      <c r="D16" s="1">
        <v>1226790000</v>
      </c>
      <c r="E16" s="1">
        <v>0</v>
      </c>
      <c r="F16" s="1">
        <v>0</v>
      </c>
      <c r="G16" s="1">
        <v>2</v>
      </c>
      <c r="H16" s="1">
        <v>5862580000000</v>
      </c>
      <c r="I16" s="1">
        <v>4557870000000</v>
      </c>
      <c r="J16" s="1">
        <v>4320940000000</v>
      </c>
      <c r="K16" s="1">
        <v>4773050000000</v>
      </c>
      <c r="L16" s="1">
        <v>3010110000000</v>
      </c>
      <c r="N16" s="8">
        <v>0.0140382</v>
      </c>
      <c r="O16" s="1">
        <v>0.0146845</v>
      </c>
      <c r="P16" s="1">
        <v>21610600000000</v>
      </c>
      <c r="Q16" s="1">
        <v>673575000</v>
      </c>
      <c r="R16" s="1">
        <v>0</v>
      </c>
      <c r="S16" s="1">
        <v>0</v>
      </c>
      <c r="T16" s="1">
        <v>2</v>
      </c>
      <c r="U16" s="1">
        <v>5436110000000</v>
      </c>
      <c r="V16" s="1">
        <v>4681770000000</v>
      </c>
      <c r="W16" s="1">
        <v>4643040000000</v>
      </c>
      <c r="X16" s="1">
        <v>4514980000000</v>
      </c>
      <c r="Y16" s="1">
        <v>2334740000000</v>
      </c>
      <c r="AA16" s="8">
        <v>0.0139792</v>
      </c>
      <c r="AB16" s="1">
        <v>0.0145613</v>
      </c>
      <c r="AC16" s="1">
        <v>22133000000000</v>
      </c>
      <c r="AD16" s="1">
        <v>742186000</v>
      </c>
      <c r="AE16" s="1">
        <v>0</v>
      </c>
      <c r="AF16" s="1">
        <v>0</v>
      </c>
      <c r="AG16" s="1">
        <v>2</v>
      </c>
      <c r="AH16" s="1">
        <v>4795160000000</v>
      </c>
      <c r="AI16" s="1">
        <v>4559520000000</v>
      </c>
      <c r="AJ16" s="1">
        <v>5364540000000</v>
      </c>
      <c r="AK16" s="1">
        <v>5460160000000</v>
      </c>
      <c r="AL16" s="1">
        <v>1953500000000</v>
      </c>
      <c r="AN16" s="1">
        <f t="shared" si="0"/>
        <v>0.0139519</v>
      </c>
      <c r="AO16" s="1">
        <f t="shared" si="1"/>
        <v>22089400000000</v>
      </c>
      <c r="AP16" s="1"/>
      <c r="AQ16" s="1"/>
      <c r="AR16" s="1">
        <f t="shared" si="2"/>
        <v>2432783333333.33</v>
      </c>
      <c r="AS16" s="1">
        <f t="shared" si="3"/>
        <v>1953500000000</v>
      </c>
      <c r="AT16" s="1">
        <f t="shared" si="4"/>
        <v>3010110000000</v>
      </c>
    </row>
    <row r="17" spans="1:46">
      <c r="A17" s="8">
        <v>0.0150085</v>
      </c>
      <c r="B17" s="1">
        <v>0.0156555</v>
      </c>
      <c r="C17" s="1">
        <v>22509400000000</v>
      </c>
      <c r="D17" s="1">
        <v>1293110000</v>
      </c>
      <c r="E17" s="1">
        <v>0</v>
      </c>
      <c r="F17" s="1">
        <v>0</v>
      </c>
      <c r="G17" s="1">
        <v>2</v>
      </c>
      <c r="H17" s="1">
        <v>6096150000000</v>
      </c>
      <c r="I17" s="1">
        <v>4481770000000</v>
      </c>
      <c r="J17" s="1">
        <v>4377150000000</v>
      </c>
      <c r="K17" s="1">
        <v>4617960000000</v>
      </c>
      <c r="L17" s="1">
        <v>2936340000000</v>
      </c>
      <c r="N17" s="8">
        <v>0.0150125</v>
      </c>
      <c r="O17" s="1">
        <v>0.015672</v>
      </c>
      <c r="P17" s="1">
        <v>21874600000000</v>
      </c>
      <c r="Q17" s="1">
        <v>702228000</v>
      </c>
      <c r="R17" s="1">
        <v>0</v>
      </c>
      <c r="S17" s="1">
        <v>0</v>
      </c>
      <c r="T17" s="1">
        <v>2</v>
      </c>
      <c r="U17" s="1">
        <v>5351130000000</v>
      </c>
      <c r="V17" s="1">
        <v>4577070000000</v>
      </c>
      <c r="W17" s="1">
        <v>4884660000000</v>
      </c>
      <c r="X17" s="1">
        <v>4500140000000</v>
      </c>
      <c r="Y17" s="1">
        <v>2561590000000</v>
      </c>
      <c r="AA17" s="8">
        <v>0.0149735</v>
      </c>
      <c r="AB17" s="1">
        <v>0.0156075</v>
      </c>
      <c r="AC17" s="1">
        <v>21649100000000</v>
      </c>
      <c r="AD17" s="1">
        <v>761179000</v>
      </c>
      <c r="AE17" s="1">
        <v>0</v>
      </c>
      <c r="AF17" s="1">
        <v>0</v>
      </c>
      <c r="AG17" s="1">
        <v>2</v>
      </c>
      <c r="AH17" s="1">
        <v>4606260000000</v>
      </c>
      <c r="AI17" s="1">
        <v>4493110000000</v>
      </c>
      <c r="AJ17" s="1">
        <v>5345800000000</v>
      </c>
      <c r="AK17" s="1">
        <v>4685300000000</v>
      </c>
      <c r="AL17" s="1">
        <v>2518660000000</v>
      </c>
      <c r="AN17" s="1">
        <f t="shared" si="0"/>
        <v>0.0150085</v>
      </c>
      <c r="AO17" s="1">
        <f t="shared" si="1"/>
        <v>22011033333333.3</v>
      </c>
      <c r="AP17" s="1"/>
      <c r="AQ17" s="1"/>
      <c r="AR17" s="1">
        <f t="shared" si="2"/>
        <v>2672196666666.67</v>
      </c>
      <c r="AS17" s="1">
        <f t="shared" si="3"/>
        <v>2518660000000</v>
      </c>
      <c r="AT17" s="1">
        <f t="shared" si="4"/>
        <v>2936340000000</v>
      </c>
    </row>
    <row r="18" spans="1:46">
      <c r="A18" s="8">
        <v>0.0160274</v>
      </c>
      <c r="B18" s="1">
        <v>0.0166705</v>
      </c>
      <c r="C18" s="1">
        <v>22174800000000</v>
      </c>
      <c r="D18" s="1">
        <v>798549000</v>
      </c>
      <c r="E18" s="1">
        <v>0</v>
      </c>
      <c r="F18" s="1">
        <v>0</v>
      </c>
      <c r="G18" s="1">
        <v>2</v>
      </c>
      <c r="H18" s="1">
        <v>6032320000000</v>
      </c>
      <c r="I18" s="1">
        <v>4497270000000</v>
      </c>
      <c r="J18" s="1">
        <v>4432340000000</v>
      </c>
      <c r="K18" s="1">
        <v>4370390000000</v>
      </c>
      <c r="L18" s="1">
        <v>2842360000000</v>
      </c>
      <c r="N18" s="8">
        <v>0.0160908</v>
      </c>
      <c r="O18" s="1">
        <v>0.0167369</v>
      </c>
      <c r="P18" s="1">
        <v>22086700000000</v>
      </c>
      <c r="Q18" s="1">
        <v>555087000</v>
      </c>
      <c r="R18" s="1">
        <v>0</v>
      </c>
      <c r="S18" s="1">
        <v>0</v>
      </c>
      <c r="T18" s="1">
        <v>2</v>
      </c>
      <c r="U18" s="1">
        <v>5184340000000</v>
      </c>
      <c r="V18" s="1">
        <v>4818980000000</v>
      </c>
      <c r="W18" s="1">
        <v>4869960000000</v>
      </c>
      <c r="X18" s="1">
        <v>4599870000000</v>
      </c>
      <c r="Y18" s="1">
        <v>2613510000000</v>
      </c>
      <c r="AA18" s="8">
        <v>0.0160009</v>
      </c>
      <c r="AB18" s="1">
        <v>0.0166558</v>
      </c>
      <c r="AC18" s="1">
        <v>21500700000000</v>
      </c>
      <c r="AD18" s="1">
        <v>698885000</v>
      </c>
      <c r="AE18" s="1">
        <v>0</v>
      </c>
      <c r="AF18" s="1">
        <v>0</v>
      </c>
      <c r="AG18" s="1">
        <v>2</v>
      </c>
      <c r="AH18" s="1">
        <v>4691050000000</v>
      </c>
      <c r="AI18" s="1">
        <v>4495940000000</v>
      </c>
      <c r="AJ18" s="1">
        <v>4926360000000</v>
      </c>
      <c r="AK18" s="1">
        <v>4652370000000</v>
      </c>
      <c r="AL18" s="1">
        <v>2734950000000</v>
      </c>
      <c r="AN18" s="1">
        <f t="shared" si="0"/>
        <v>0.0160274</v>
      </c>
      <c r="AO18" s="1">
        <f t="shared" si="1"/>
        <v>21920733333333.3</v>
      </c>
      <c r="AP18" s="1"/>
      <c r="AQ18" s="1"/>
      <c r="AR18" s="1">
        <f t="shared" si="2"/>
        <v>2730273333333.33</v>
      </c>
      <c r="AS18" s="1">
        <f t="shared" si="3"/>
        <v>2613510000000</v>
      </c>
      <c r="AT18" s="1">
        <f t="shared" si="4"/>
        <v>2842360000000</v>
      </c>
    </row>
    <row r="19" spans="1:46">
      <c r="A19" s="8">
        <v>0.0169908</v>
      </c>
      <c r="B19" s="1">
        <v>0.0176546</v>
      </c>
      <c r="C19" s="1">
        <v>22499300000000</v>
      </c>
      <c r="D19" s="1">
        <v>1133630000</v>
      </c>
      <c r="E19" s="1">
        <v>0</v>
      </c>
      <c r="F19" s="1">
        <v>0</v>
      </c>
      <c r="G19" s="1">
        <v>2</v>
      </c>
      <c r="H19" s="1">
        <v>5919060000000</v>
      </c>
      <c r="I19" s="1">
        <v>4551980000000</v>
      </c>
      <c r="J19" s="1">
        <v>4771250000000</v>
      </c>
      <c r="K19" s="1">
        <v>4505260000000</v>
      </c>
      <c r="L19" s="1">
        <v>2751700000000</v>
      </c>
      <c r="N19" s="8">
        <v>0.0169108</v>
      </c>
      <c r="O19" s="1">
        <v>0.0175613</v>
      </c>
      <c r="P19" s="1">
        <v>22941200000000</v>
      </c>
      <c r="Q19" s="1">
        <v>634873000</v>
      </c>
      <c r="R19" s="1">
        <v>0</v>
      </c>
      <c r="S19" s="1">
        <v>0</v>
      </c>
      <c r="T19" s="1">
        <v>2</v>
      </c>
      <c r="U19" s="1">
        <v>5077320000000</v>
      </c>
      <c r="V19" s="1">
        <v>5267810000000</v>
      </c>
      <c r="W19" s="1">
        <v>4374870000000</v>
      </c>
      <c r="X19" s="1">
        <v>5267750000000</v>
      </c>
      <c r="Y19" s="1">
        <v>2953390000000</v>
      </c>
      <c r="AA19" s="8">
        <v>0.0170116</v>
      </c>
      <c r="AB19" s="1">
        <v>0.0176304</v>
      </c>
      <c r="AC19" s="1">
        <v>22070200000000</v>
      </c>
      <c r="AD19" s="1">
        <v>981982000</v>
      </c>
      <c r="AE19" s="1">
        <v>0</v>
      </c>
      <c r="AF19" s="1">
        <v>0</v>
      </c>
      <c r="AG19" s="1">
        <v>2</v>
      </c>
      <c r="AH19" s="1">
        <v>5381440000000</v>
      </c>
      <c r="AI19" s="1">
        <v>5097940000000</v>
      </c>
      <c r="AJ19" s="1">
        <v>4797640000000</v>
      </c>
      <c r="AK19" s="1">
        <v>4516040000000</v>
      </c>
      <c r="AL19" s="1">
        <v>2277130000000</v>
      </c>
      <c r="AN19" s="1">
        <f t="shared" si="0"/>
        <v>0.0169908</v>
      </c>
      <c r="AO19" s="1">
        <f t="shared" si="1"/>
        <v>22503566666666.7</v>
      </c>
      <c r="AP19" s="1"/>
      <c r="AQ19" s="1"/>
      <c r="AR19" s="1">
        <f t="shared" si="2"/>
        <v>2660740000000</v>
      </c>
      <c r="AS19" s="1">
        <f t="shared" si="3"/>
        <v>2277130000000</v>
      </c>
      <c r="AT19" s="1">
        <f t="shared" si="4"/>
        <v>2953390000000</v>
      </c>
    </row>
    <row r="20" spans="1:46">
      <c r="A20" s="8">
        <v>0.0180548</v>
      </c>
      <c r="B20" s="1">
        <v>0.0187108</v>
      </c>
      <c r="C20" s="1">
        <v>22043400000000</v>
      </c>
      <c r="D20" s="1">
        <v>491249000</v>
      </c>
      <c r="E20" s="1">
        <v>0</v>
      </c>
      <c r="F20" s="1">
        <v>0</v>
      </c>
      <c r="G20" s="1">
        <v>2</v>
      </c>
      <c r="H20" s="1">
        <v>5646150000000</v>
      </c>
      <c r="I20" s="1">
        <v>4471040000000</v>
      </c>
      <c r="J20" s="1">
        <v>4670830000000</v>
      </c>
      <c r="K20" s="1">
        <v>4300080000000</v>
      </c>
      <c r="L20" s="1">
        <v>2955270000000</v>
      </c>
      <c r="N20" s="8">
        <v>0.0179556</v>
      </c>
      <c r="O20" s="1">
        <v>0.0185753</v>
      </c>
      <c r="P20" s="1">
        <v>22810700000000</v>
      </c>
      <c r="Q20" s="1">
        <v>1101000000</v>
      </c>
      <c r="R20" s="1">
        <v>0</v>
      </c>
      <c r="S20" s="1">
        <v>0</v>
      </c>
      <c r="T20" s="1">
        <v>2</v>
      </c>
      <c r="U20" s="1">
        <v>5273310000000</v>
      </c>
      <c r="V20" s="1">
        <v>4515280000000</v>
      </c>
      <c r="W20" s="1">
        <v>4534930000000</v>
      </c>
      <c r="X20" s="1">
        <v>5237240000000</v>
      </c>
      <c r="Y20" s="1">
        <v>3249890000000</v>
      </c>
      <c r="AA20" s="8">
        <v>0.0180173</v>
      </c>
      <c r="AB20" s="1">
        <v>0.018594</v>
      </c>
      <c r="AC20" s="1">
        <v>23067900000000</v>
      </c>
      <c r="AD20" s="1">
        <v>823574000</v>
      </c>
      <c r="AE20" s="1">
        <v>0</v>
      </c>
      <c r="AF20" s="1">
        <v>0</v>
      </c>
      <c r="AG20" s="1">
        <v>2</v>
      </c>
      <c r="AH20" s="1">
        <v>5666430000000</v>
      </c>
      <c r="AI20" s="1">
        <v>5568780000000</v>
      </c>
      <c r="AJ20" s="1">
        <v>4667320000000</v>
      </c>
      <c r="AK20" s="1">
        <v>4682450000000</v>
      </c>
      <c r="AL20" s="1">
        <v>2482930000000</v>
      </c>
      <c r="AN20" s="1">
        <f t="shared" si="0"/>
        <v>0.0180548</v>
      </c>
      <c r="AO20" s="1">
        <f t="shared" si="1"/>
        <v>22640666666666.7</v>
      </c>
      <c r="AP20" s="1"/>
      <c r="AQ20" s="1"/>
      <c r="AR20" s="1">
        <f t="shared" si="2"/>
        <v>2896030000000</v>
      </c>
      <c r="AS20" s="1">
        <f t="shared" si="3"/>
        <v>2482930000000</v>
      </c>
      <c r="AT20" s="1">
        <f t="shared" si="4"/>
        <v>3249890000000</v>
      </c>
    </row>
    <row r="21" spans="1:46">
      <c r="A21" s="8">
        <v>0.0189666</v>
      </c>
      <c r="B21" s="1">
        <v>0.0196251</v>
      </c>
      <c r="C21" s="1">
        <v>22300100000000</v>
      </c>
      <c r="D21" s="1">
        <v>1165850000</v>
      </c>
      <c r="E21" s="1">
        <v>0</v>
      </c>
      <c r="F21" s="1">
        <v>0</v>
      </c>
      <c r="G21" s="1">
        <v>2</v>
      </c>
      <c r="H21" s="1">
        <v>5681600000000</v>
      </c>
      <c r="I21" s="1">
        <v>4388430000000</v>
      </c>
      <c r="J21" s="1">
        <v>4497440000000</v>
      </c>
      <c r="K21" s="1">
        <v>4264640000000</v>
      </c>
      <c r="L21" s="1">
        <v>3467830000000</v>
      </c>
      <c r="N21" s="8">
        <v>0.0190199</v>
      </c>
      <c r="O21" s="1">
        <v>0.0196448</v>
      </c>
      <c r="P21" s="1">
        <v>22923500000000</v>
      </c>
      <c r="Q21" s="1">
        <v>861670000</v>
      </c>
      <c r="R21" s="1">
        <v>0</v>
      </c>
      <c r="S21" s="1">
        <v>0</v>
      </c>
      <c r="T21" s="1">
        <v>2</v>
      </c>
      <c r="U21" s="1">
        <v>5595170000000</v>
      </c>
      <c r="V21" s="1">
        <v>4454230000000</v>
      </c>
      <c r="W21" s="1">
        <v>5262610000000</v>
      </c>
      <c r="X21" s="1">
        <v>4769510000000</v>
      </c>
      <c r="Y21" s="1">
        <v>2841950000000</v>
      </c>
      <c r="AA21" s="8">
        <v>0.019031</v>
      </c>
      <c r="AB21" s="1">
        <v>0.0196433</v>
      </c>
      <c r="AC21" s="1">
        <v>22597400000000</v>
      </c>
      <c r="AD21" s="1">
        <v>849809000</v>
      </c>
      <c r="AE21" s="1">
        <v>0</v>
      </c>
      <c r="AF21" s="1">
        <v>0</v>
      </c>
      <c r="AG21" s="1">
        <v>2</v>
      </c>
      <c r="AH21" s="1">
        <v>5418150000000</v>
      </c>
      <c r="AI21" s="1">
        <v>5201950000000</v>
      </c>
      <c r="AJ21" s="1">
        <v>4531660000000</v>
      </c>
      <c r="AK21" s="1">
        <v>4645060000000</v>
      </c>
      <c r="AL21" s="1">
        <v>2800530000000</v>
      </c>
      <c r="AN21" s="1">
        <f t="shared" si="0"/>
        <v>0.0189666</v>
      </c>
      <c r="AO21" s="1">
        <f t="shared" si="1"/>
        <v>22607000000000</v>
      </c>
      <c r="AP21" s="1"/>
      <c r="AQ21" s="1"/>
      <c r="AR21" s="1">
        <f t="shared" si="2"/>
        <v>3036770000000</v>
      </c>
      <c r="AS21" s="1">
        <f t="shared" si="3"/>
        <v>2800530000000</v>
      </c>
      <c r="AT21" s="1">
        <f t="shared" si="4"/>
        <v>3467830000000</v>
      </c>
    </row>
    <row r="22" spans="1:46">
      <c r="A22" s="8">
        <v>0.0199843</v>
      </c>
      <c r="B22" s="1">
        <v>0.020636</v>
      </c>
      <c r="C22" s="1">
        <v>22026000000000</v>
      </c>
      <c r="D22" s="1">
        <v>973178000</v>
      </c>
      <c r="E22" s="1">
        <v>0</v>
      </c>
      <c r="F22" s="1">
        <v>0</v>
      </c>
      <c r="G22" s="1">
        <v>2</v>
      </c>
      <c r="H22" s="1">
        <v>5953200000000</v>
      </c>
      <c r="I22" s="1">
        <v>4358720000000</v>
      </c>
      <c r="J22" s="1">
        <v>4250530000000</v>
      </c>
      <c r="K22" s="1">
        <v>4322970000000</v>
      </c>
      <c r="L22" s="1">
        <v>3140470000000</v>
      </c>
      <c r="N22" s="8">
        <v>0.0199838</v>
      </c>
      <c r="O22" s="1">
        <v>0.0206032</v>
      </c>
      <c r="P22" s="1">
        <v>22567200000000</v>
      </c>
      <c r="Q22" s="1">
        <v>507040000</v>
      </c>
      <c r="R22" s="1">
        <v>0</v>
      </c>
      <c r="S22" s="1">
        <v>0</v>
      </c>
      <c r="T22" s="1">
        <v>2</v>
      </c>
      <c r="U22" s="1">
        <v>5542340000000</v>
      </c>
      <c r="V22" s="1">
        <v>4591350000000</v>
      </c>
      <c r="W22" s="1">
        <v>4516170000000</v>
      </c>
      <c r="X22" s="1">
        <v>4649990000000</v>
      </c>
      <c r="Y22" s="1">
        <v>3267330000000</v>
      </c>
      <c r="AA22" s="8">
        <v>0.0200094</v>
      </c>
      <c r="AB22" s="1">
        <v>0.0206625</v>
      </c>
      <c r="AC22" s="1">
        <v>21945900000000</v>
      </c>
      <c r="AD22" s="1">
        <v>850600000</v>
      </c>
      <c r="AE22" s="1">
        <v>0</v>
      </c>
      <c r="AF22" s="1">
        <v>0</v>
      </c>
      <c r="AG22" s="1">
        <v>2</v>
      </c>
      <c r="AH22" s="1">
        <v>4713510000000</v>
      </c>
      <c r="AI22" s="1">
        <v>4612760000000</v>
      </c>
      <c r="AJ22" s="1">
        <v>4634700000000</v>
      </c>
      <c r="AK22" s="1">
        <v>5074740000000</v>
      </c>
      <c r="AL22" s="1">
        <v>2909930000000</v>
      </c>
      <c r="AN22" s="1">
        <f t="shared" si="0"/>
        <v>0.0199843</v>
      </c>
      <c r="AO22" s="1">
        <f t="shared" si="1"/>
        <v>22179700000000</v>
      </c>
      <c r="AP22" s="1"/>
      <c r="AQ22" s="1"/>
      <c r="AR22" s="1">
        <f t="shared" si="2"/>
        <v>3105910000000</v>
      </c>
      <c r="AS22" s="1">
        <f t="shared" si="3"/>
        <v>2909930000000</v>
      </c>
      <c r="AT22" s="1">
        <f t="shared" si="4"/>
        <v>3267330000000</v>
      </c>
    </row>
    <row r="23" spans="1:46">
      <c r="A23" s="8">
        <v>0.0210367</v>
      </c>
      <c r="B23" s="1">
        <v>0.0217121</v>
      </c>
      <c r="C23" s="1">
        <v>22078200000000</v>
      </c>
      <c r="D23" s="1">
        <v>799665000</v>
      </c>
      <c r="E23" s="1">
        <v>0</v>
      </c>
      <c r="F23" s="1">
        <v>0</v>
      </c>
      <c r="G23" s="1">
        <v>2</v>
      </c>
      <c r="H23" s="1">
        <v>5384550000000</v>
      </c>
      <c r="I23" s="1">
        <v>4484740000000</v>
      </c>
      <c r="J23" s="1">
        <v>4228350000000</v>
      </c>
      <c r="K23" s="1">
        <v>4702120000000</v>
      </c>
      <c r="L23" s="1">
        <v>3278410000000</v>
      </c>
      <c r="N23" s="8">
        <v>0.02097</v>
      </c>
      <c r="O23" s="1">
        <v>0.0215833</v>
      </c>
      <c r="P23" s="1">
        <v>22611800000000</v>
      </c>
      <c r="Q23" s="1">
        <v>921677000</v>
      </c>
      <c r="R23" s="1">
        <v>0</v>
      </c>
      <c r="S23" s="1">
        <v>0</v>
      </c>
      <c r="T23" s="1">
        <v>2</v>
      </c>
      <c r="U23" s="1">
        <v>5784350000000</v>
      </c>
      <c r="V23" s="1">
        <v>4473840000000</v>
      </c>
      <c r="W23" s="1">
        <v>4361110000000</v>
      </c>
      <c r="X23" s="1">
        <v>5063680000000</v>
      </c>
      <c r="Y23" s="1">
        <v>2928650000000</v>
      </c>
      <c r="AA23" s="8">
        <v>0.0210024</v>
      </c>
      <c r="AB23" s="1">
        <v>0.0216438</v>
      </c>
      <c r="AC23" s="1">
        <v>22462900000000</v>
      </c>
      <c r="AD23" s="1">
        <v>657477000</v>
      </c>
      <c r="AE23" s="1">
        <v>0</v>
      </c>
      <c r="AF23" s="1">
        <v>0</v>
      </c>
      <c r="AG23" s="1">
        <v>2</v>
      </c>
      <c r="AH23" s="1">
        <v>4627220000000</v>
      </c>
      <c r="AI23" s="1">
        <v>4650810000000</v>
      </c>
      <c r="AJ23" s="1">
        <v>5052110000000</v>
      </c>
      <c r="AK23" s="1">
        <v>5101940000000</v>
      </c>
      <c r="AL23" s="1">
        <v>3030830000000</v>
      </c>
      <c r="AN23" s="1">
        <f t="shared" si="0"/>
        <v>0.0210367</v>
      </c>
      <c r="AO23" s="1">
        <f t="shared" si="1"/>
        <v>22384300000000</v>
      </c>
      <c r="AP23" s="1"/>
      <c r="AQ23" s="1"/>
      <c r="AR23" s="1">
        <f t="shared" si="2"/>
        <v>3079296666666.67</v>
      </c>
      <c r="AS23" s="1">
        <f t="shared" si="3"/>
        <v>2928650000000</v>
      </c>
      <c r="AT23" s="1">
        <f t="shared" si="4"/>
        <v>3278410000000</v>
      </c>
    </row>
    <row r="24" spans="1:46">
      <c r="A24" s="8">
        <v>0.0219968</v>
      </c>
      <c r="B24" s="1">
        <v>0.0226374</v>
      </c>
      <c r="C24" s="1">
        <v>23158200000000</v>
      </c>
      <c r="D24" s="1">
        <v>1004990000</v>
      </c>
      <c r="E24" s="1">
        <v>0</v>
      </c>
      <c r="F24" s="1">
        <v>0</v>
      </c>
      <c r="G24" s="1">
        <v>2</v>
      </c>
      <c r="H24" s="1">
        <v>6366020000000</v>
      </c>
      <c r="I24" s="1">
        <v>4300810000000</v>
      </c>
      <c r="J24" s="1">
        <v>4367380000000</v>
      </c>
      <c r="K24" s="1">
        <v>4878830000000</v>
      </c>
      <c r="L24" s="1">
        <v>3245120000000</v>
      </c>
      <c r="N24" s="8">
        <v>0.0220125</v>
      </c>
      <c r="O24" s="1">
        <v>0.0226279</v>
      </c>
      <c r="P24" s="1">
        <v>22857500000000</v>
      </c>
      <c r="Q24" s="1">
        <v>1095260000</v>
      </c>
      <c r="R24" s="1">
        <v>0</v>
      </c>
      <c r="S24" s="1">
        <v>0</v>
      </c>
      <c r="T24" s="1">
        <v>2</v>
      </c>
      <c r="U24" s="1">
        <v>5571880000000</v>
      </c>
      <c r="V24" s="1">
        <v>4688750000000</v>
      </c>
      <c r="W24" s="1">
        <v>4292600000000</v>
      </c>
      <c r="X24" s="1">
        <v>4925850000000</v>
      </c>
      <c r="Y24" s="1">
        <v>3377980000000</v>
      </c>
      <c r="AA24" s="8">
        <v>0.02194</v>
      </c>
      <c r="AB24" s="1">
        <v>0.0225765</v>
      </c>
      <c r="AC24" s="1">
        <v>21939100000000</v>
      </c>
      <c r="AD24" s="1">
        <v>1313450000</v>
      </c>
      <c r="AE24" s="1">
        <v>0</v>
      </c>
      <c r="AF24" s="1">
        <v>0</v>
      </c>
      <c r="AG24" s="1">
        <v>2</v>
      </c>
      <c r="AH24" s="1">
        <v>5060410000000</v>
      </c>
      <c r="AI24" s="1">
        <v>4416700000000</v>
      </c>
      <c r="AJ24" s="1">
        <v>4777500000000</v>
      </c>
      <c r="AK24" s="1">
        <v>4654050000000</v>
      </c>
      <c r="AL24" s="1">
        <v>3030450000000</v>
      </c>
      <c r="AN24" s="1">
        <f t="shared" si="0"/>
        <v>0.0219968</v>
      </c>
      <c r="AO24" s="1">
        <f t="shared" si="1"/>
        <v>22651600000000</v>
      </c>
      <c r="AP24" s="1"/>
      <c r="AQ24" s="1"/>
      <c r="AR24" s="1">
        <f t="shared" si="2"/>
        <v>3217850000000</v>
      </c>
      <c r="AS24" s="1">
        <f t="shared" si="3"/>
        <v>3030450000000</v>
      </c>
      <c r="AT24" s="1">
        <f t="shared" si="4"/>
        <v>3377980000000</v>
      </c>
    </row>
    <row r="25" spans="1:46">
      <c r="A25" s="8">
        <v>0.0230126</v>
      </c>
      <c r="B25" s="1">
        <v>0.0236156</v>
      </c>
      <c r="C25" s="1">
        <v>23428100000000</v>
      </c>
      <c r="D25" s="1">
        <v>627649000</v>
      </c>
      <c r="E25" s="1">
        <v>0</v>
      </c>
      <c r="F25" s="1">
        <v>0</v>
      </c>
      <c r="G25" s="1">
        <v>2</v>
      </c>
      <c r="H25" s="1">
        <v>6926050000000</v>
      </c>
      <c r="I25" s="1">
        <v>4455070000000</v>
      </c>
      <c r="J25" s="1">
        <v>4373370000000</v>
      </c>
      <c r="K25" s="1">
        <v>4771880000000</v>
      </c>
      <c r="L25" s="1">
        <v>2901750000000</v>
      </c>
      <c r="N25" s="8">
        <v>0.0230178</v>
      </c>
      <c r="O25" s="1">
        <v>0.0236441</v>
      </c>
      <c r="P25" s="1">
        <v>22479500000000</v>
      </c>
      <c r="Q25" s="1">
        <v>604943000</v>
      </c>
      <c r="R25" s="1">
        <v>0</v>
      </c>
      <c r="S25" s="1">
        <v>0</v>
      </c>
      <c r="T25" s="1">
        <v>2</v>
      </c>
      <c r="U25" s="1">
        <v>5391480000000</v>
      </c>
      <c r="V25" s="1">
        <v>4967250000000</v>
      </c>
      <c r="W25" s="1">
        <v>4597900000000</v>
      </c>
      <c r="X25" s="1">
        <v>4351070000000</v>
      </c>
      <c r="Y25" s="1">
        <v>3171810000000</v>
      </c>
      <c r="AA25" s="8">
        <v>0.0229925</v>
      </c>
      <c r="AB25" s="1">
        <v>0.0236182</v>
      </c>
      <c r="AC25" s="1">
        <v>21677900000000</v>
      </c>
      <c r="AD25" s="1">
        <v>778574000</v>
      </c>
      <c r="AE25" s="1">
        <v>0</v>
      </c>
      <c r="AF25" s="1">
        <v>0</v>
      </c>
      <c r="AG25" s="1">
        <v>2</v>
      </c>
      <c r="AH25" s="1">
        <v>5020610000000</v>
      </c>
      <c r="AI25" s="1">
        <v>4718460000000</v>
      </c>
      <c r="AJ25" s="1">
        <v>4671280000000</v>
      </c>
      <c r="AK25" s="1">
        <v>4754250000000</v>
      </c>
      <c r="AL25" s="1">
        <v>2513240000000</v>
      </c>
      <c r="AN25" s="1">
        <f t="shared" si="0"/>
        <v>0.0230126</v>
      </c>
      <c r="AO25" s="1">
        <f t="shared" si="1"/>
        <v>22528500000000</v>
      </c>
      <c r="AP25" s="1"/>
      <c r="AQ25" s="1"/>
      <c r="AR25" s="1">
        <f t="shared" si="2"/>
        <v>2862266666666.67</v>
      </c>
      <c r="AS25" s="1">
        <f t="shared" si="3"/>
        <v>2513240000000</v>
      </c>
      <c r="AT25" s="1">
        <f t="shared" si="4"/>
        <v>3171810000000</v>
      </c>
    </row>
    <row r="26" spans="1:46">
      <c r="A26" s="8">
        <v>0.02399</v>
      </c>
      <c r="B26" s="1">
        <v>0.0246131</v>
      </c>
      <c r="C26" s="1">
        <v>23785900000000</v>
      </c>
      <c r="D26" s="1">
        <v>850982000</v>
      </c>
      <c r="E26" s="1">
        <v>0</v>
      </c>
      <c r="F26" s="1">
        <v>0</v>
      </c>
      <c r="G26" s="1">
        <v>2</v>
      </c>
      <c r="H26" s="1">
        <v>5439150000000</v>
      </c>
      <c r="I26" s="1">
        <v>4932680000000</v>
      </c>
      <c r="J26" s="1">
        <v>4745100000000</v>
      </c>
      <c r="K26" s="1">
        <v>5662410000000</v>
      </c>
      <c r="L26" s="1">
        <v>3006560000000</v>
      </c>
      <c r="N26" s="8">
        <v>0.0239698</v>
      </c>
      <c r="O26" s="1">
        <v>0.0246332</v>
      </c>
      <c r="P26" s="1">
        <v>22604200000000</v>
      </c>
      <c r="Q26" s="1">
        <v>688754000</v>
      </c>
      <c r="R26" s="1">
        <v>0</v>
      </c>
      <c r="S26" s="1">
        <v>0</v>
      </c>
      <c r="T26" s="1">
        <v>2</v>
      </c>
      <c r="U26" s="1">
        <v>5363790000000</v>
      </c>
      <c r="V26" s="1">
        <v>4567760000000</v>
      </c>
      <c r="W26" s="1">
        <v>4701560000000</v>
      </c>
      <c r="X26" s="1">
        <v>4677360000000</v>
      </c>
      <c r="Y26" s="1">
        <v>3293700000000</v>
      </c>
      <c r="AA26" s="8">
        <v>0.0240133</v>
      </c>
      <c r="AB26" s="1">
        <v>0.0246511</v>
      </c>
      <c r="AC26" s="1">
        <v>22099900000000</v>
      </c>
      <c r="AD26" s="1">
        <v>1152880000</v>
      </c>
      <c r="AE26" s="1">
        <v>0</v>
      </c>
      <c r="AF26" s="1">
        <v>0</v>
      </c>
      <c r="AG26" s="1">
        <v>2</v>
      </c>
      <c r="AH26" s="1">
        <v>4528990000000</v>
      </c>
      <c r="AI26" s="1">
        <v>4769940000000</v>
      </c>
      <c r="AJ26" s="1">
        <v>5205880000000</v>
      </c>
      <c r="AK26" s="1">
        <v>4712520000000</v>
      </c>
      <c r="AL26" s="1">
        <v>2882580000000</v>
      </c>
      <c r="AN26" s="1">
        <f t="shared" si="0"/>
        <v>0.02399</v>
      </c>
      <c r="AO26" s="1">
        <f t="shared" si="1"/>
        <v>22830000000000</v>
      </c>
      <c r="AP26" s="1"/>
      <c r="AQ26" s="1"/>
      <c r="AR26" s="1">
        <f t="shared" si="2"/>
        <v>3060946666666.67</v>
      </c>
      <c r="AS26" s="1">
        <f t="shared" si="3"/>
        <v>2882580000000</v>
      </c>
      <c r="AT26" s="1">
        <f t="shared" si="4"/>
        <v>3293700000000</v>
      </c>
    </row>
    <row r="27" spans="1:46">
      <c r="A27" s="8">
        <v>0.0250564</v>
      </c>
      <c r="B27" s="1">
        <v>0.0255921</v>
      </c>
      <c r="C27" s="1">
        <v>23724100000000</v>
      </c>
      <c r="D27" s="1">
        <v>1360490000</v>
      </c>
      <c r="E27" s="1">
        <v>0</v>
      </c>
      <c r="F27" s="1">
        <v>0</v>
      </c>
      <c r="G27" s="1">
        <v>2</v>
      </c>
      <c r="H27" s="1">
        <v>6274930000000</v>
      </c>
      <c r="I27" s="1">
        <v>4609880000000</v>
      </c>
      <c r="J27" s="1">
        <v>4628660000000</v>
      </c>
      <c r="K27" s="1">
        <v>5506090000000</v>
      </c>
      <c r="L27" s="1">
        <v>2704450000000</v>
      </c>
      <c r="N27" s="8">
        <v>0.0250051</v>
      </c>
      <c r="O27" s="1">
        <v>0.0256611</v>
      </c>
      <c r="P27" s="1">
        <v>22914700000000</v>
      </c>
      <c r="Q27" s="1">
        <v>807226000</v>
      </c>
      <c r="R27" s="1">
        <v>0</v>
      </c>
      <c r="S27" s="1">
        <v>0</v>
      </c>
      <c r="T27" s="1">
        <v>2</v>
      </c>
      <c r="U27" s="1">
        <v>5403650000000</v>
      </c>
      <c r="V27" s="1">
        <v>4559520000000</v>
      </c>
      <c r="W27" s="1">
        <v>4812800000000</v>
      </c>
      <c r="X27" s="1">
        <v>4679550000000</v>
      </c>
      <c r="Y27" s="1">
        <v>3458250000000</v>
      </c>
      <c r="AA27" s="8">
        <v>0.0250024</v>
      </c>
      <c r="AB27" s="1">
        <v>0.025621</v>
      </c>
      <c r="AC27" s="1">
        <v>22513600000000</v>
      </c>
      <c r="AD27" s="1">
        <v>856526000</v>
      </c>
      <c r="AE27" s="1">
        <v>0</v>
      </c>
      <c r="AF27" s="1">
        <v>0</v>
      </c>
      <c r="AG27" s="1">
        <v>2</v>
      </c>
      <c r="AH27" s="1">
        <v>4899560000000</v>
      </c>
      <c r="AI27" s="1">
        <v>4750140000000</v>
      </c>
      <c r="AJ27" s="1">
        <v>4529970000000</v>
      </c>
      <c r="AK27" s="1">
        <v>5374500000000</v>
      </c>
      <c r="AL27" s="1">
        <v>2959440000000</v>
      </c>
      <c r="AN27" s="1">
        <f t="shared" si="0"/>
        <v>0.0250564</v>
      </c>
      <c r="AO27" s="1">
        <f t="shared" si="1"/>
        <v>23050800000000</v>
      </c>
      <c r="AP27" s="1"/>
      <c r="AQ27" s="1"/>
      <c r="AR27" s="1">
        <f t="shared" si="2"/>
        <v>3040713333333.33</v>
      </c>
      <c r="AS27" s="1">
        <f t="shared" si="3"/>
        <v>2704450000000</v>
      </c>
      <c r="AT27" s="1">
        <f t="shared" si="4"/>
        <v>3458250000000</v>
      </c>
    </row>
    <row r="28" spans="1:46">
      <c r="A28" s="8">
        <v>0.0260235</v>
      </c>
      <c r="B28" s="1">
        <v>0.0266196</v>
      </c>
      <c r="C28" s="1">
        <v>22177400000000</v>
      </c>
      <c r="D28" s="1">
        <v>1130940000</v>
      </c>
      <c r="E28" s="1">
        <v>0</v>
      </c>
      <c r="F28" s="1">
        <v>0</v>
      </c>
      <c r="G28" s="1">
        <v>2</v>
      </c>
      <c r="H28" s="1">
        <v>5844150000000</v>
      </c>
      <c r="I28" s="1">
        <v>4829790000000</v>
      </c>
      <c r="J28" s="1">
        <v>4406280000000</v>
      </c>
      <c r="K28" s="1">
        <v>4542360000000</v>
      </c>
      <c r="L28" s="1">
        <v>2554810000000</v>
      </c>
      <c r="N28" s="8">
        <v>0.0260192</v>
      </c>
      <c r="O28" s="1">
        <v>0.0266614</v>
      </c>
      <c r="P28" s="1">
        <v>22946800000000</v>
      </c>
      <c r="Q28" s="1">
        <v>932735000</v>
      </c>
      <c r="R28" s="1">
        <v>0</v>
      </c>
      <c r="S28" s="1">
        <v>0</v>
      </c>
      <c r="T28" s="1">
        <v>2</v>
      </c>
      <c r="U28" s="1">
        <v>5556160000000</v>
      </c>
      <c r="V28" s="1">
        <v>5013990000000</v>
      </c>
      <c r="W28" s="1">
        <v>4834410000000</v>
      </c>
      <c r="X28" s="1">
        <v>4356660000000</v>
      </c>
      <c r="Y28" s="1">
        <v>3185200000000</v>
      </c>
      <c r="AA28" s="8">
        <v>0.0260342</v>
      </c>
      <c r="AB28" s="1">
        <v>0.0265896</v>
      </c>
      <c r="AC28" s="1">
        <v>24486800000000</v>
      </c>
      <c r="AD28" s="1">
        <v>459441000</v>
      </c>
      <c r="AE28" s="1">
        <v>0</v>
      </c>
      <c r="AF28" s="1">
        <v>0</v>
      </c>
      <c r="AG28" s="1">
        <v>2</v>
      </c>
      <c r="AH28" s="1">
        <v>6024970000000</v>
      </c>
      <c r="AI28" s="1">
        <v>4547520000000</v>
      </c>
      <c r="AJ28" s="1">
        <v>4600420000000</v>
      </c>
      <c r="AK28" s="1">
        <v>6079750000000</v>
      </c>
      <c r="AL28" s="1">
        <v>3234050000000</v>
      </c>
      <c r="AN28" s="1">
        <f t="shared" si="0"/>
        <v>0.0260235</v>
      </c>
      <c r="AO28" s="1">
        <f t="shared" si="1"/>
        <v>23203666666666.7</v>
      </c>
      <c r="AP28" s="1"/>
      <c r="AQ28" s="1"/>
      <c r="AR28" s="1">
        <f t="shared" si="2"/>
        <v>2991353333333.33</v>
      </c>
      <c r="AS28" s="1">
        <f t="shared" si="3"/>
        <v>2554810000000</v>
      </c>
      <c r="AT28" s="1">
        <f t="shared" si="4"/>
        <v>3234050000000</v>
      </c>
    </row>
    <row r="29" spans="1:46">
      <c r="A29" s="8">
        <v>0.0269819</v>
      </c>
      <c r="B29" s="1">
        <v>0.0276478</v>
      </c>
      <c r="C29" s="1">
        <v>21872500000000</v>
      </c>
      <c r="D29" s="1">
        <v>534989000</v>
      </c>
      <c r="E29" s="1">
        <v>0</v>
      </c>
      <c r="F29" s="1">
        <v>0</v>
      </c>
      <c r="G29" s="1">
        <v>2</v>
      </c>
      <c r="H29" s="1">
        <v>5206840000000</v>
      </c>
      <c r="I29" s="1">
        <v>4775840000000</v>
      </c>
      <c r="J29" s="1">
        <v>4631710000000</v>
      </c>
      <c r="K29" s="1">
        <v>4646600000000</v>
      </c>
      <c r="L29" s="1">
        <v>2611300000000</v>
      </c>
      <c r="N29" s="8">
        <v>0.0270088</v>
      </c>
      <c r="O29" s="1">
        <v>0.0276702</v>
      </c>
      <c r="P29" s="1">
        <v>22884600000000</v>
      </c>
      <c r="Q29" s="1">
        <v>585169000</v>
      </c>
      <c r="R29" s="1">
        <v>0</v>
      </c>
      <c r="S29" s="1">
        <v>0</v>
      </c>
      <c r="T29" s="1">
        <v>2</v>
      </c>
      <c r="U29" s="1">
        <v>5809820000000</v>
      </c>
      <c r="V29" s="1">
        <v>5335590000000</v>
      </c>
      <c r="W29" s="1">
        <v>4450070000000</v>
      </c>
      <c r="X29" s="1">
        <v>4117790000000</v>
      </c>
      <c r="Y29" s="1">
        <v>3171180000000</v>
      </c>
      <c r="AA29" s="8">
        <v>0.0269949</v>
      </c>
      <c r="AB29" s="1">
        <v>0.0275875</v>
      </c>
      <c r="AC29" s="1">
        <v>24177000000000</v>
      </c>
      <c r="AD29" s="1">
        <v>840181000</v>
      </c>
      <c r="AE29" s="1">
        <v>0</v>
      </c>
      <c r="AF29" s="1">
        <v>0</v>
      </c>
      <c r="AG29" s="1">
        <v>2</v>
      </c>
      <c r="AH29" s="1">
        <v>5496650000000</v>
      </c>
      <c r="AI29" s="1">
        <v>4407690000000</v>
      </c>
      <c r="AJ29" s="1">
        <v>4837910000000</v>
      </c>
      <c r="AK29" s="1">
        <v>6314900000000</v>
      </c>
      <c r="AL29" s="1">
        <v>3119870000000</v>
      </c>
      <c r="AN29" s="1">
        <f t="shared" si="0"/>
        <v>0.0269819</v>
      </c>
      <c r="AO29" s="1">
        <f t="shared" si="1"/>
        <v>22978033333333.3</v>
      </c>
      <c r="AP29" s="1"/>
      <c r="AQ29" s="1"/>
      <c r="AR29" s="1">
        <f t="shared" si="2"/>
        <v>2967450000000</v>
      </c>
      <c r="AS29" s="1">
        <f t="shared" si="3"/>
        <v>2611300000000</v>
      </c>
      <c r="AT29" s="1">
        <f t="shared" si="4"/>
        <v>3171180000000</v>
      </c>
    </row>
    <row r="30" spans="1:46">
      <c r="A30" s="8">
        <v>0.0279702</v>
      </c>
      <c r="B30" s="1">
        <v>0.0286049</v>
      </c>
      <c r="C30" s="1">
        <v>22339300000000</v>
      </c>
      <c r="D30" s="1">
        <v>518322000</v>
      </c>
      <c r="E30" s="1">
        <v>0</v>
      </c>
      <c r="F30" s="1">
        <v>0</v>
      </c>
      <c r="G30" s="1">
        <v>2</v>
      </c>
      <c r="H30" s="1">
        <v>5394170000000</v>
      </c>
      <c r="I30" s="1">
        <v>4914860000000</v>
      </c>
      <c r="J30" s="1">
        <v>4446040000000</v>
      </c>
      <c r="K30" s="1">
        <v>5154470000000</v>
      </c>
      <c r="L30" s="1">
        <v>2429750000000</v>
      </c>
      <c r="N30" s="8">
        <v>0.0279928</v>
      </c>
      <c r="O30" s="1">
        <v>0.0286294</v>
      </c>
      <c r="P30" s="1">
        <v>23410100000000</v>
      </c>
      <c r="Q30" s="1">
        <v>1024490000</v>
      </c>
      <c r="R30" s="1">
        <v>0</v>
      </c>
      <c r="S30" s="1">
        <v>0</v>
      </c>
      <c r="T30" s="1">
        <v>2</v>
      </c>
      <c r="U30" s="1">
        <v>6479230000000</v>
      </c>
      <c r="V30" s="1">
        <v>5180610000000</v>
      </c>
      <c r="W30" s="1">
        <v>4619470000000</v>
      </c>
      <c r="X30" s="1">
        <v>4604320000000</v>
      </c>
      <c r="Y30" s="1">
        <v>2526450000000</v>
      </c>
      <c r="AA30" s="8">
        <v>0.0279716</v>
      </c>
      <c r="AB30" s="1">
        <v>0.0285916</v>
      </c>
      <c r="AC30" s="1">
        <v>22263200000000</v>
      </c>
      <c r="AD30" s="1">
        <v>792672000</v>
      </c>
      <c r="AE30" s="1">
        <v>0</v>
      </c>
      <c r="AF30" s="1">
        <v>0</v>
      </c>
      <c r="AG30" s="1">
        <v>2</v>
      </c>
      <c r="AH30" s="1">
        <v>5522710000000</v>
      </c>
      <c r="AI30" s="1">
        <v>4700240000000</v>
      </c>
      <c r="AJ30" s="1">
        <v>4723430000000</v>
      </c>
      <c r="AK30" s="1">
        <v>4883340000000</v>
      </c>
      <c r="AL30" s="1">
        <v>2433520000000</v>
      </c>
      <c r="AN30" s="1">
        <f t="shared" si="0"/>
        <v>0.0279702</v>
      </c>
      <c r="AO30" s="1">
        <f t="shared" si="1"/>
        <v>22670866666666.7</v>
      </c>
      <c r="AP30" s="1"/>
      <c r="AQ30" s="1"/>
      <c r="AR30" s="1">
        <f t="shared" si="2"/>
        <v>2463240000000</v>
      </c>
      <c r="AS30" s="1">
        <f t="shared" si="3"/>
        <v>2429750000000</v>
      </c>
      <c r="AT30" s="1">
        <f t="shared" si="4"/>
        <v>2526450000000</v>
      </c>
    </row>
    <row r="31" spans="1:46">
      <c r="A31" s="8">
        <v>0.0289729</v>
      </c>
      <c r="B31" s="1">
        <v>0.0296065</v>
      </c>
      <c r="C31" s="1">
        <v>23000400000000</v>
      </c>
      <c r="D31" s="1">
        <v>1212200000</v>
      </c>
      <c r="E31" s="1">
        <v>0</v>
      </c>
      <c r="F31" s="1">
        <v>0</v>
      </c>
      <c r="G31" s="1">
        <v>2</v>
      </c>
      <c r="H31" s="1">
        <v>5356820000000</v>
      </c>
      <c r="I31" s="1">
        <v>4387010000000</v>
      </c>
      <c r="J31" s="1">
        <v>5012160000000</v>
      </c>
      <c r="K31" s="1">
        <v>5377050000000</v>
      </c>
      <c r="L31" s="1">
        <v>2867410000000</v>
      </c>
      <c r="N31" s="8">
        <v>0.0290087</v>
      </c>
      <c r="O31" s="1">
        <v>0.0296476</v>
      </c>
      <c r="P31" s="1">
        <v>22957000000000</v>
      </c>
      <c r="Q31" s="1">
        <v>1053680000</v>
      </c>
      <c r="R31" s="1">
        <v>0</v>
      </c>
      <c r="S31" s="1">
        <v>0</v>
      </c>
      <c r="T31" s="1">
        <v>2</v>
      </c>
      <c r="U31" s="1">
        <v>6092590000000</v>
      </c>
      <c r="V31" s="1">
        <v>4970380000000</v>
      </c>
      <c r="W31" s="1">
        <v>4599520000000</v>
      </c>
      <c r="X31" s="1">
        <v>4486410000000</v>
      </c>
      <c r="Y31" s="1">
        <v>2808000000000</v>
      </c>
      <c r="AA31" s="8">
        <v>0.0290224</v>
      </c>
      <c r="AB31" s="1">
        <v>0.0296479</v>
      </c>
      <c r="AC31" s="1">
        <v>23775800000000</v>
      </c>
      <c r="AD31" s="1">
        <v>890444000</v>
      </c>
      <c r="AE31" s="1">
        <v>0</v>
      </c>
      <c r="AF31" s="1">
        <v>0</v>
      </c>
      <c r="AG31" s="1">
        <v>2</v>
      </c>
      <c r="AH31" s="1">
        <v>6685890000000</v>
      </c>
      <c r="AI31" s="1">
        <v>4773410000000</v>
      </c>
      <c r="AJ31" s="1">
        <v>4578140000000</v>
      </c>
      <c r="AK31" s="1">
        <v>4656610000000</v>
      </c>
      <c r="AL31" s="1">
        <v>3081750000000</v>
      </c>
      <c r="AN31" s="1">
        <f t="shared" si="0"/>
        <v>0.0289729</v>
      </c>
      <c r="AO31" s="1">
        <f t="shared" si="1"/>
        <v>23244400000000</v>
      </c>
      <c r="AP31" s="1"/>
      <c r="AQ31" s="1"/>
      <c r="AR31" s="1">
        <f t="shared" si="2"/>
        <v>2919053333333.33</v>
      </c>
      <c r="AS31" s="1">
        <f t="shared" si="3"/>
        <v>2808000000000</v>
      </c>
      <c r="AT31" s="1">
        <f t="shared" si="4"/>
        <v>3081750000000</v>
      </c>
    </row>
    <row r="32" spans="1:46">
      <c r="A32" s="8">
        <v>0.0299927</v>
      </c>
      <c r="B32" s="1">
        <v>0.0306591</v>
      </c>
      <c r="C32" s="1">
        <v>23328400000000</v>
      </c>
      <c r="D32" s="1">
        <v>642770000</v>
      </c>
      <c r="E32" s="1">
        <v>0</v>
      </c>
      <c r="F32" s="1">
        <v>0</v>
      </c>
      <c r="G32" s="1">
        <v>2</v>
      </c>
      <c r="H32" s="1">
        <v>5517050000000</v>
      </c>
      <c r="I32" s="1">
        <v>4259120000000</v>
      </c>
      <c r="J32" s="1">
        <v>5544660000000</v>
      </c>
      <c r="K32" s="1">
        <v>4794210000000</v>
      </c>
      <c r="L32" s="1">
        <v>3213360000000</v>
      </c>
      <c r="N32" s="8">
        <v>0.0299988</v>
      </c>
      <c r="O32" s="1">
        <v>0.0306615</v>
      </c>
      <c r="P32" s="1">
        <v>23082800000000</v>
      </c>
      <c r="Q32" s="1">
        <v>1335640000</v>
      </c>
      <c r="R32" s="1">
        <v>0</v>
      </c>
      <c r="S32" s="1">
        <v>0</v>
      </c>
      <c r="T32" s="1">
        <v>2</v>
      </c>
      <c r="U32" s="1">
        <v>5629790000000</v>
      </c>
      <c r="V32" s="1">
        <v>4836390000000</v>
      </c>
      <c r="W32" s="1">
        <v>5181400000000</v>
      </c>
      <c r="X32" s="1">
        <v>4526310000000</v>
      </c>
      <c r="Y32" s="1">
        <v>2907900000000</v>
      </c>
      <c r="AA32" s="8">
        <v>0.030022</v>
      </c>
      <c r="AB32" s="1">
        <v>0.0306615</v>
      </c>
      <c r="AC32" s="1">
        <v>22291600000000</v>
      </c>
      <c r="AD32" s="1">
        <v>1030050000</v>
      </c>
      <c r="AE32" s="1">
        <v>0</v>
      </c>
      <c r="AF32" s="1">
        <v>0</v>
      </c>
      <c r="AG32" s="1">
        <v>2</v>
      </c>
      <c r="AH32" s="1">
        <v>5414840000000</v>
      </c>
      <c r="AI32" s="1">
        <v>4722230000000</v>
      </c>
      <c r="AJ32" s="1">
        <v>4463830000000</v>
      </c>
      <c r="AK32" s="1">
        <v>4825940000000</v>
      </c>
      <c r="AL32" s="1">
        <v>2864650000000</v>
      </c>
      <c r="AN32" s="1">
        <f t="shared" si="0"/>
        <v>0.0299927</v>
      </c>
      <c r="AO32" s="1">
        <f t="shared" si="1"/>
        <v>22900933333333.3</v>
      </c>
      <c r="AP32" s="1"/>
      <c r="AQ32" s="1"/>
      <c r="AR32" s="1">
        <f t="shared" si="2"/>
        <v>2995303333333.33</v>
      </c>
      <c r="AS32" s="1">
        <f t="shared" si="3"/>
        <v>2864650000000</v>
      </c>
      <c r="AT32" s="1">
        <f t="shared" si="4"/>
        <v>3213360000000</v>
      </c>
    </row>
    <row r="33" spans="1:46">
      <c r="A33" s="8">
        <v>0.0310163</v>
      </c>
      <c r="B33" s="1">
        <v>0.0316301</v>
      </c>
      <c r="C33" s="1">
        <v>23940800000000</v>
      </c>
      <c r="D33" s="1">
        <v>1417050000</v>
      </c>
      <c r="E33" s="1">
        <v>0</v>
      </c>
      <c r="F33" s="1">
        <v>0</v>
      </c>
      <c r="G33" s="1">
        <v>2</v>
      </c>
      <c r="H33" s="1">
        <v>6060740000000</v>
      </c>
      <c r="I33" s="1">
        <v>4367770000000</v>
      </c>
      <c r="J33" s="1">
        <v>5893540000000</v>
      </c>
      <c r="K33" s="1">
        <v>4338760000000</v>
      </c>
      <c r="L33" s="1">
        <v>3279550000000</v>
      </c>
      <c r="N33" s="8">
        <v>0.030998</v>
      </c>
      <c r="O33" s="1">
        <v>0.0316107</v>
      </c>
      <c r="P33" s="1">
        <v>23042200000000</v>
      </c>
      <c r="Q33" s="1">
        <v>527262000</v>
      </c>
      <c r="R33" s="1">
        <v>0</v>
      </c>
      <c r="S33" s="1">
        <v>0</v>
      </c>
      <c r="T33" s="1">
        <v>2</v>
      </c>
      <c r="U33" s="1">
        <v>5239140000000</v>
      </c>
      <c r="V33" s="1">
        <v>5773170000000</v>
      </c>
      <c r="W33" s="1">
        <v>4715680000000</v>
      </c>
      <c r="X33" s="1">
        <v>4261170000000</v>
      </c>
      <c r="Y33" s="1">
        <v>3052990000000</v>
      </c>
      <c r="AA33" s="8">
        <v>0.0309767</v>
      </c>
      <c r="AB33" s="1">
        <v>0.0316569</v>
      </c>
      <c r="AC33" s="1">
        <v>22091300000000</v>
      </c>
      <c r="AD33" s="1">
        <v>1002990000</v>
      </c>
      <c r="AE33" s="1">
        <v>0</v>
      </c>
      <c r="AF33" s="1">
        <v>0</v>
      </c>
      <c r="AG33" s="1">
        <v>2</v>
      </c>
      <c r="AH33" s="1">
        <v>4814400000000</v>
      </c>
      <c r="AI33" s="1">
        <v>4721270000000</v>
      </c>
      <c r="AJ33" s="1">
        <v>4726470000000</v>
      </c>
      <c r="AK33" s="1">
        <v>4674630000000</v>
      </c>
      <c r="AL33" s="1">
        <v>3154420000000</v>
      </c>
      <c r="AN33" s="1">
        <f t="shared" si="0"/>
        <v>0.0310163</v>
      </c>
      <c r="AO33" s="1">
        <f t="shared" si="1"/>
        <v>23024766666666.7</v>
      </c>
      <c r="AP33" s="1"/>
      <c r="AQ33" s="1"/>
      <c r="AR33" s="1">
        <f t="shared" si="2"/>
        <v>3162320000000</v>
      </c>
      <c r="AS33" s="1">
        <f t="shared" si="3"/>
        <v>3052990000000</v>
      </c>
      <c r="AT33" s="1">
        <f t="shared" si="4"/>
        <v>3279550000000</v>
      </c>
    </row>
    <row r="34" spans="1:46">
      <c r="A34" s="8">
        <v>0.0320023</v>
      </c>
      <c r="B34" s="1">
        <v>0.0326504</v>
      </c>
      <c r="C34" s="1">
        <v>22529700000000</v>
      </c>
      <c r="D34" s="1">
        <v>1049060000</v>
      </c>
      <c r="E34" s="1">
        <v>0</v>
      </c>
      <c r="F34" s="1">
        <v>0</v>
      </c>
      <c r="G34" s="1">
        <v>2</v>
      </c>
      <c r="H34" s="1">
        <v>5686490000000</v>
      </c>
      <c r="I34" s="1">
        <v>4163280000000</v>
      </c>
      <c r="J34" s="1">
        <v>4917670000000</v>
      </c>
      <c r="K34" s="1">
        <v>4356890000000</v>
      </c>
      <c r="L34" s="1">
        <v>3405370000000</v>
      </c>
      <c r="N34" s="8">
        <v>0.0320007</v>
      </c>
      <c r="O34" s="1">
        <v>0.0326165</v>
      </c>
      <c r="P34" s="1">
        <v>23212200000000</v>
      </c>
      <c r="Q34" s="1">
        <v>963251000</v>
      </c>
      <c r="R34" s="1">
        <v>0</v>
      </c>
      <c r="S34" s="1">
        <v>0</v>
      </c>
      <c r="T34" s="1">
        <v>2</v>
      </c>
      <c r="U34" s="1">
        <v>5458940000000</v>
      </c>
      <c r="V34" s="1">
        <v>4905830000000</v>
      </c>
      <c r="W34" s="1">
        <v>5555590000000</v>
      </c>
      <c r="X34" s="1">
        <v>4246650000000</v>
      </c>
      <c r="Y34" s="1">
        <v>3044820000000</v>
      </c>
      <c r="AA34" s="8">
        <v>0.0320219</v>
      </c>
      <c r="AB34" s="1">
        <v>0.0326656</v>
      </c>
      <c r="AC34" s="1">
        <v>21599200000000</v>
      </c>
      <c r="AD34" s="1">
        <v>635251000</v>
      </c>
      <c r="AE34" s="1">
        <v>0</v>
      </c>
      <c r="AF34" s="1">
        <v>0</v>
      </c>
      <c r="AG34" s="1">
        <v>2</v>
      </c>
      <c r="AH34" s="1">
        <v>4306490000000</v>
      </c>
      <c r="AI34" s="1">
        <v>4635890000000</v>
      </c>
      <c r="AJ34" s="1">
        <v>4716650000000</v>
      </c>
      <c r="AK34" s="1">
        <v>4860480000000</v>
      </c>
      <c r="AL34" s="1">
        <v>3079490000000</v>
      </c>
      <c r="AN34" s="1">
        <f t="shared" ref="AN34:AN48" si="5">A34</f>
        <v>0.0320023</v>
      </c>
      <c r="AO34" s="1">
        <f t="shared" ref="AO34:AO48" si="6">AVERAGE(C34,P34,AC34)</f>
        <v>22447033333333.3</v>
      </c>
      <c r="AP34" s="1"/>
      <c r="AQ34" s="1"/>
      <c r="AR34" s="1">
        <f t="shared" ref="AR34:AR48" si="7">AVERAGE(L34,Y34,AL34)</f>
        <v>3176560000000</v>
      </c>
      <c r="AS34" s="1">
        <f t="shared" ref="AS34:AS48" si="8">MIN(L34,Y34,AL34)</f>
        <v>3044820000000</v>
      </c>
      <c r="AT34" s="1">
        <f t="shared" ref="AT34:AT48" si="9">MAX(L34,Y34,AL34)</f>
        <v>3405370000000</v>
      </c>
    </row>
    <row r="35" spans="1:46">
      <c r="A35" s="8">
        <v>0.0329889</v>
      </c>
      <c r="B35" s="1">
        <v>0.0336595</v>
      </c>
      <c r="C35" s="1">
        <v>22637700000000</v>
      </c>
      <c r="D35" s="1">
        <v>820321000</v>
      </c>
      <c r="E35" s="1">
        <v>0</v>
      </c>
      <c r="F35" s="1">
        <v>0</v>
      </c>
      <c r="G35" s="1">
        <v>2</v>
      </c>
      <c r="H35" s="1">
        <v>5742580000000</v>
      </c>
      <c r="I35" s="1">
        <v>4339930000000</v>
      </c>
      <c r="J35" s="1">
        <v>4628850000000</v>
      </c>
      <c r="K35" s="1">
        <v>4456610000000</v>
      </c>
      <c r="L35" s="1">
        <v>3469740000000</v>
      </c>
      <c r="N35" s="8">
        <v>0.0329954</v>
      </c>
      <c r="O35" s="1">
        <v>0.0336084</v>
      </c>
      <c r="P35" s="1">
        <v>23685300000000</v>
      </c>
      <c r="Q35" s="1">
        <v>1307590000</v>
      </c>
      <c r="R35" s="1">
        <v>0</v>
      </c>
      <c r="S35" s="1">
        <v>0</v>
      </c>
      <c r="T35" s="1">
        <v>2</v>
      </c>
      <c r="U35" s="1">
        <v>5592330000000</v>
      </c>
      <c r="V35" s="1">
        <v>5041370000000</v>
      </c>
      <c r="W35" s="1">
        <v>5582610000000</v>
      </c>
      <c r="X35" s="1">
        <v>4394970000000</v>
      </c>
      <c r="Y35" s="1">
        <v>3073950000000</v>
      </c>
      <c r="AA35" s="8">
        <v>0.033033</v>
      </c>
      <c r="AB35" s="1">
        <v>0.0337079</v>
      </c>
      <c r="AC35" s="1">
        <v>21788500000000</v>
      </c>
      <c r="AD35" s="1">
        <v>1084110000</v>
      </c>
      <c r="AE35" s="1">
        <v>0</v>
      </c>
      <c r="AF35" s="1">
        <v>0</v>
      </c>
      <c r="AG35" s="1">
        <v>2</v>
      </c>
      <c r="AH35" s="1">
        <v>4679770000000</v>
      </c>
      <c r="AI35" s="1">
        <v>4687870000000</v>
      </c>
      <c r="AJ35" s="1">
        <v>4441940000000</v>
      </c>
      <c r="AK35" s="1">
        <v>4628380000000</v>
      </c>
      <c r="AL35" s="1">
        <v>3350590000000</v>
      </c>
      <c r="AN35" s="1">
        <f t="shared" si="5"/>
        <v>0.0329889</v>
      </c>
      <c r="AO35" s="1">
        <f t="shared" si="6"/>
        <v>22703833333333.3</v>
      </c>
      <c r="AP35" s="1"/>
      <c r="AQ35" s="1"/>
      <c r="AR35" s="1">
        <f t="shared" si="7"/>
        <v>3298093333333.33</v>
      </c>
      <c r="AS35" s="1">
        <f t="shared" si="8"/>
        <v>3073950000000</v>
      </c>
      <c r="AT35" s="1">
        <f t="shared" si="9"/>
        <v>3469740000000</v>
      </c>
    </row>
    <row r="36" spans="1:46">
      <c r="A36" s="8">
        <v>0.033999</v>
      </c>
      <c r="B36" s="1">
        <v>0.0346485</v>
      </c>
      <c r="C36" s="1">
        <v>22912400000000</v>
      </c>
      <c r="D36" s="1">
        <v>840414000</v>
      </c>
      <c r="E36" s="1">
        <v>0</v>
      </c>
      <c r="F36" s="1">
        <v>0</v>
      </c>
      <c r="G36" s="1">
        <v>2</v>
      </c>
      <c r="H36" s="1">
        <v>5256530000000</v>
      </c>
      <c r="I36" s="1">
        <v>4406170000000</v>
      </c>
      <c r="J36" s="1">
        <v>4875270000000</v>
      </c>
      <c r="K36" s="1">
        <v>4697200000000</v>
      </c>
      <c r="L36" s="1">
        <v>3677220000000</v>
      </c>
      <c r="N36" s="8">
        <v>0.0339793</v>
      </c>
      <c r="O36" s="1">
        <v>0.0346358</v>
      </c>
      <c r="P36" s="1">
        <v>22767300000000</v>
      </c>
      <c r="Q36" s="1">
        <v>1108640000</v>
      </c>
      <c r="R36" s="1">
        <v>0</v>
      </c>
      <c r="S36" s="1">
        <v>0</v>
      </c>
      <c r="T36" s="1">
        <v>2</v>
      </c>
      <c r="U36" s="1">
        <v>5846040000000</v>
      </c>
      <c r="V36" s="1">
        <v>4699460000000</v>
      </c>
      <c r="W36" s="1">
        <v>4638430000000</v>
      </c>
      <c r="X36" s="1">
        <v>4454200000000</v>
      </c>
      <c r="Y36" s="1">
        <v>3129100000000</v>
      </c>
      <c r="AA36" s="8">
        <v>0.0340157</v>
      </c>
      <c r="AB36" s="1">
        <v>0.0346739</v>
      </c>
      <c r="AC36" s="1">
        <v>23641500000000</v>
      </c>
      <c r="AD36" s="1">
        <v>908079000</v>
      </c>
      <c r="AE36" s="1">
        <v>0</v>
      </c>
      <c r="AF36" s="1">
        <v>0</v>
      </c>
      <c r="AG36" s="1">
        <v>2</v>
      </c>
      <c r="AH36" s="1">
        <v>4753600000000</v>
      </c>
      <c r="AI36" s="1">
        <v>5817880000000</v>
      </c>
      <c r="AJ36" s="1">
        <v>4794770000000</v>
      </c>
      <c r="AK36" s="1">
        <v>4774730000000</v>
      </c>
      <c r="AL36" s="1">
        <v>3500420000000</v>
      </c>
      <c r="AN36" s="1">
        <f t="shared" si="5"/>
        <v>0.033999</v>
      </c>
      <c r="AO36" s="1">
        <f t="shared" si="6"/>
        <v>23107066666666.7</v>
      </c>
      <c r="AP36" s="1"/>
      <c r="AQ36" s="1"/>
      <c r="AR36" s="1">
        <f t="shared" si="7"/>
        <v>3435580000000</v>
      </c>
      <c r="AS36" s="1">
        <f t="shared" si="8"/>
        <v>3129100000000</v>
      </c>
      <c r="AT36" s="1">
        <f t="shared" si="9"/>
        <v>3677220000000</v>
      </c>
    </row>
    <row r="37" spans="1:46">
      <c r="A37" s="8">
        <v>0.0350086</v>
      </c>
      <c r="B37" s="1">
        <v>0.0356402</v>
      </c>
      <c r="C37" s="1">
        <v>22744400000000</v>
      </c>
      <c r="D37" s="1">
        <v>955793000</v>
      </c>
      <c r="E37" s="1">
        <v>0</v>
      </c>
      <c r="F37" s="1">
        <v>0</v>
      </c>
      <c r="G37" s="1">
        <v>2</v>
      </c>
      <c r="H37" s="1">
        <v>5419870000000</v>
      </c>
      <c r="I37" s="1">
        <v>4214990000000</v>
      </c>
      <c r="J37" s="1">
        <v>5639060000000</v>
      </c>
      <c r="K37" s="1">
        <v>4229670000000</v>
      </c>
      <c r="L37" s="1">
        <v>3240650000000</v>
      </c>
      <c r="N37" s="8">
        <v>0.0349875</v>
      </c>
      <c r="O37" s="1">
        <v>0.0355414</v>
      </c>
      <c r="P37" s="1">
        <v>22327200000000</v>
      </c>
      <c r="Q37" s="1">
        <v>1051880000</v>
      </c>
      <c r="R37" s="1">
        <v>0</v>
      </c>
      <c r="S37" s="1">
        <v>0</v>
      </c>
      <c r="T37" s="1">
        <v>2</v>
      </c>
      <c r="U37" s="1">
        <v>6213510000000</v>
      </c>
      <c r="V37" s="1">
        <v>4721220000000</v>
      </c>
      <c r="W37" s="1">
        <v>4413270000000</v>
      </c>
      <c r="X37" s="1">
        <v>4328690000000</v>
      </c>
      <c r="Y37" s="1">
        <v>2650470000000</v>
      </c>
      <c r="AA37" s="8">
        <v>0.0349878</v>
      </c>
      <c r="AB37" s="1">
        <v>0.0356257</v>
      </c>
      <c r="AC37" s="1">
        <v>22476100000000</v>
      </c>
      <c r="AD37" s="1">
        <v>925474000</v>
      </c>
      <c r="AE37" s="1">
        <v>0</v>
      </c>
      <c r="AF37" s="1">
        <v>0</v>
      </c>
      <c r="AG37" s="1">
        <v>2</v>
      </c>
      <c r="AH37" s="1">
        <v>4727630000000</v>
      </c>
      <c r="AI37" s="1">
        <v>4939490000000</v>
      </c>
      <c r="AJ37" s="1">
        <v>4920650000000</v>
      </c>
      <c r="AK37" s="1">
        <v>4992740000000</v>
      </c>
      <c r="AL37" s="1">
        <v>2895550000000</v>
      </c>
      <c r="AN37" s="1">
        <f t="shared" si="5"/>
        <v>0.0350086</v>
      </c>
      <c r="AO37" s="1">
        <f t="shared" si="6"/>
        <v>22515900000000</v>
      </c>
      <c r="AP37" s="1"/>
      <c r="AQ37" s="1"/>
      <c r="AR37" s="1">
        <f t="shared" si="7"/>
        <v>2928890000000</v>
      </c>
      <c r="AS37" s="1">
        <f t="shared" si="8"/>
        <v>2650470000000</v>
      </c>
      <c r="AT37" s="1">
        <f t="shared" si="9"/>
        <v>3240650000000</v>
      </c>
    </row>
    <row r="38" spans="1:46">
      <c r="A38" s="8">
        <v>0.0360034</v>
      </c>
      <c r="B38" s="1">
        <v>0.036661</v>
      </c>
      <c r="C38" s="1">
        <v>23666700000000</v>
      </c>
      <c r="D38" s="1">
        <v>798420000</v>
      </c>
      <c r="E38" s="1">
        <v>0</v>
      </c>
      <c r="F38" s="1">
        <v>0</v>
      </c>
      <c r="G38" s="1">
        <v>2</v>
      </c>
      <c r="H38" s="1">
        <v>5650260000000</v>
      </c>
      <c r="I38" s="1">
        <v>5396400000000</v>
      </c>
      <c r="J38" s="1">
        <v>4524830000000</v>
      </c>
      <c r="K38" s="1">
        <v>4720760000000</v>
      </c>
      <c r="L38" s="1">
        <v>3374390000000</v>
      </c>
      <c r="N38" s="8">
        <v>0.0359924</v>
      </c>
      <c r="O38" s="1">
        <v>0.0365326</v>
      </c>
      <c r="P38" s="1">
        <v>22464900000000</v>
      </c>
      <c r="Q38" s="1">
        <v>935339000</v>
      </c>
      <c r="R38" s="1">
        <v>0</v>
      </c>
      <c r="S38" s="1">
        <v>0</v>
      </c>
      <c r="T38" s="1">
        <v>2</v>
      </c>
      <c r="U38" s="1">
        <v>6584200000000</v>
      </c>
      <c r="V38" s="1">
        <v>4503510000000</v>
      </c>
      <c r="W38" s="1">
        <v>4117800000000</v>
      </c>
      <c r="X38" s="1">
        <v>4651420000000</v>
      </c>
      <c r="Y38" s="1">
        <v>2607820000000</v>
      </c>
      <c r="AA38" s="8">
        <v>0.0359964</v>
      </c>
      <c r="AB38" s="1">
        <v>0.0366179</v>
      </c>
      <c r="AC38" s="1">
        <v>22543200000000</v>
      </c>
      <c r="AD38" s="1">
        <v>768164000</v>
      </c>
      <c r="AE38" s="1">
        <v>0</v>
      </c>
      <c r="AF38" s="1">
        <v>0</v>
      </c>
      <c r="AG38" s="1">
        <v>2</v>
      </c>
      <c r="AH38" s="1">
        <v>5120510000000</v>
      </c>
      <c r="AI38" s="1">
        <v>4607620000000</v>
      </c>
      <c r="AJ38" s="1">
        <v>4885950000000</v>
      </c>
      <c r="AK38" s="1">
        <v>5249000000000</v>
      </c>
      <c r="AL38" s="1">
        <v>2680140000000</v>
      </c>
      <c r="AN38" s="1">
        <f t="shared" si="5"/>
        <v>0.0360034</v>
      </c>
      <c r="AO38" s="1">
        <f t="shared" si="6"/>
        <v>22891600000000</v>
      </c>
      <c r="AP38" s="1"/>
      <c r="AQ38" s="1"/>
      <c r="AR38" s="1">
        <f t="shared" si="7"/>
        <v>2887450000000</v>
      </c>
      <c r="AS38" s="1">
        <f t="shared" si="8"/>
        <v>2607820000000</v>
      </c>
      <c r="AT38" s="1">
        <f t="shared" si="9"/>
        <v>3374390000000</v>
      </c>
    </row>
    <row r="39" spans="1:46">
      <c r="A39" s="8">
        <v>0.0369615</v>
      </c>
      <c r="B39" s="1">
        <v>0.0375993</v>
      </c>
      <c r="C39" s="1">
        <v>22751700000000</v>
      </c>
      <c r="D39" s="1">
        <v>1103760000</v>
      </c>
      <c r="E39" s="1">
        <v>0</v>
      </c>
      <c r="F39" s="1">
        <v>0</v>
      </c>
      <c r="G39" s="1">
        <v>2</v>
      </c>
      <c r="H39" s="1">
        <v>5861830000000</v>
      </c>
      <c r="I39" s="1">
        <v>4523880000000</v>
      </c>
      <c r="J39" s="1">
        <v>4364450000000</v>
      </c>
      <c r="K39" s="1">
        <v>4945930000000</v>
      </c>
      <c r="L39" s="1">
        <v>3055590000000</v>
      </c>
      <c r="N39" s="8">
        <v>0.0370439</v>
      </c>
      <c r="O39" s="1">
        <v>0.0376465</v>
      </c>
      <c r="P39" s="1">
        <v>21973900000000</v>
      </c>
      <c r="Q39" s="1">
        <v>1179290000</v>
      </c>
      <c r="R39" s="1">
        <v>0</v>
      </c>
      <c r="S39" s="1">
        <v>0</v>
      </c>
      <c r="T39" s="1">
        <v>2</v>
      </c>
      <c r="U39" s="1">
        <v>5913940000000</v>
      </c>
      <c r="V39" s="1">
        <v>4562220000000</v>
      </c>
      <c r="W39" s="1">
        <v>4210500000000</v>
      </c>
      <c r="X39" s="1">
        <v>4745040000000</v>
      </c>
      <c r="Y39" s="1">
        <v>2542210000000</v>
      </c>
      <c r="AA39" s="8">
        <v>0.0370491</v>
      </c>
      <c r="AB39" s="1">
        <v>0.0377119</v>
      </c>
      <c r="AC39" s="1">
        <v>22928800000000</v>
      </c>
      <c r="AD39" s="1">
        <v>826904000</v>
      </c>
      <c r="AE39" s="1">
        <v>0</v>
      </c>
      <c r="AF39" s="1">
        <v>0</v>
      </c>
      <c r="AG39" s="1">
        <v>2</v>
      </c>
      <c r="AH39" s="1">
        <v>5336600000000</v>
      </c>
      <c r="AI39" s="1">
        <v>4389470000000</v>
      </c>
      <c r="AJ39" s="1">
        <v>5197300000000</v>
      </c>
      <c r="AK39" s="1">
        <v>4870880000000</v>
      </c>
      <c r="AL39" s="1">
        <v>3134500000000</v>
      </c>
      <c r="AN39" s="1">
        <f t="shared" si="5"/>
        <v>0.0369615</v>
      </c>
      <c r="AO39" s="1">
        <f t="shared" si="6"/>
        <v>22551466666666.7</v>
      </c>
      <c r="AP39" s="1"/>
      <c r="AQ39" s="1"/>
      <c r="AR39" s="1">
        <f t="shared" si="7"/>
        <v>2910766666666.67</v>
      </c>
      <c r="AS39" s="1">
        <f t="shared" si="8"/>
        <v>2542210000000</v>
      </c>
      <c r="AT39" s="1">
        <f t="shared" si="9"/>
        <v>3134500000000</v>
      </c>
    </row>
    <row r="40" spans="1:46">
      <c r="A40" s="8">
        <v>0.0380792</v>
      </c>
      <c r="B40" s="1">
        <v>0.0386747</v>
      </c>
      <c r="C40" s="1">
        <v>22900100000000</v>
      </c>
      <c r="D40" s="1">
        <v>678094000</v>
      </c>
      <c r="E40" s="1">
        <v>0</v>
      </c>
      <c r="F40" s="1">
        <v>0</v>
      </c>
      <c r="G40" s="1">
        <v>2</v>
      </c>
      <c r="H40" s="1">
        <v>6148780000000</v>
      </c>
      <c r="I40" s="1">
        <v>4632780000000</v>
      </c>
      <c r="J40" s="1">
        <v>4407770000000</v>
      </c>
      <c r="K40" s="1">
        <v>5052220000000</v>
      </c>
      <c r="L40" s="1">
        <v>2658590000000</v>
      </c>
      <c r="N40" s="8">
        <v>0.0379855</v>
      </c>
      <c r="O40" s="1">
        <v>0.0386485</v>
      </c>
      <c r="P40" s="1">
        <v>22775300000000</v>
      </c>
      <c r="Q40" s="1">
        <v>964262000</v>
      </c>
      <c r="R40" s="1">
        <v>0</v>
      </c>
      <c r="S40" s="1">
        <v>0</v>
      </c>
      <c r="T40" s="1">
        <v>2</v>
      </c>
      <c r="U40" s="1">
        <v>5430100000000</v>
      </c>
      <c r="V40" s="1">
        <v>4687130000000</v>
      </c>
      <c r="W40" s="1">
        <v>4670360000000</v>
      </c>
      <c r="X40" s="1">
        <v>5165540000000</v>
      </c>
      <c r="Y40" s="1">
        <v>2821780000000</v>
      </c>
      <c r="AA40" s="8">
        <v>0.0379656</v>
      </c>
      <c r="AB40" s="1">
        <v>0.0386149</v>
      </c>
      <c r="AC40" s="1">
        <v>23081800000000</v>
      </c>
      <c r="AD40" s="1">
        <v>1172230000</v>
      </c>
      <c r="AE40" s="1">
        <v>0</v>
      </c>
      <c r="AF40" s="1">
        <v>0</v>
      </c>
      <c r="AG40" s="1">
        <v>2</v>
      </c>
      <c r="AH40" s="1">
        <v>5236890000000</v>
      </c>
      <c r="AI40" s="1">
        <v>4587790000000</v>
      </c>
      <c r="AJ40" s="1">
        <v>5637640000000</v>
      </c>
      <c r="AK40" s="1">
        <v>4624660000000</v>
      </c>
      <c r="AL40" s="1">
        <v>2994710000000</v>
      </c>
      <c r="AN40" s="1">
        <f t="shared" si="5"/>
        <v>0.0380792</v>
      </c>
      <c r="AO40" s="1">
        <f t="shared" si="6"/>
        <v>22919066666666.7</v>
      </c>
      <c r="AP40" s="1"/>
      <c r="AQ40" s="1"/>
      <c r="AR40" s="1">
        <f t="shared" si="7"/>
        <v>2825026666666.67</v>
      </c>
      <c r="AS40" s="1">
        <f t="shared" si="8"/>
        <v>2658590000000</v>
      </c>
      <c r="AT40" s="1">
        <f t="shared" si="9"/>
        <v>2994710000000</v>
      </c>
    </row>
    <row r="41" spans="1:46">
      <c r="A41" s="8">
        <v>0.0389912</v>
      </c>
      <c r="B41" s="1">
        <v>0.0396388</v>
      </c>
      <c r="C41" s="1">
        <v>22361200000000</v>
      </c>
      <c r="D41" s="1">
        <v>840812000</v>
      </c>
      <c r="E41" s="1">
        <v>0</v>
      </c>
      <c r="F41" s="1">
        <v>0</v>
      </c>
      <c r="G41" s="1">
        <v>2</v>
      </c>
      <c r="H41" s="1">
        <v>5676780000000</v>
      </c>
      <c r="I41" s="1">
        <v>4831460000000</v>
      </c>
      <c r="J41" s="1">
        <v>4455610000000</v>
      </c>
      <c r="K41" s="1">
        <v>4510490000000</v>
      </c>
      <c r="L41" s="1">
        <v>2886830000000</v>
      </c>
      <c r="N41" s="8">
        <v>0.0389911</v>
      </c>
      <c r="O41" s="1">
        <v>0.0396263</v>
      </c>
      <c r="P41" s="1">
        <v>21621200000000</v>
      </c>
      <c r="Q41" s="1">
        <v>685558000</v>
      </c>
      <c r="R41" s="1">
        <v>0</v>
      </c>
      <c r="S41" s="1">
        <v>0</v>
      </c>
      <c r="T41" s="1">
        <v>2</v>
      </c>
      <c r="U41" s="1">
        <v>5310570000000</v>
      </c>
      <c r="V41" s="1">
        <v>4467280000000</v>
      </c>
      <c r="W41" s="1">
        <v>4571660000000</v>
      </c>
      <c r="X41" s="1">
        <v>4491940000000</v>
      </c>
      <c r="Y41" s="1">
        <v>2779780000000</v>
      </c>
      <c r="AA41" s="8">
        <v>0.0389923</v>
      </c>
      <c r="AB41" s="1">
        <v>0.039647</v>
      </c>
      <c r="AC41" s="1">
        <v>22728700000000</v>
      </c>
      <c r="AD41" s="1">
        <v>715765000</v>
      </c>
      <c r="AE41" s="1">
        <v>0</v>
      </c>
      <c r="AF41" s="1">
        <v>0</v>
      </c>
      <c r="AG41" s="1">
        <v>2</v>
      </c>
      <c r="AH41" s="1">
        <v>5102350000000</v>
      </c>
      <c r="AI41" s="1">
        <v>5256070000000</v>
      </c>
      <c r="AJ41" s="1">
        <v>5120500000000</v>
      </c>
      <c r="AK41" s="1">
        <v>4568180000000</v>
      </c>
      <c r="AL41" s="1">
        <v>2681570000000</v>
      </c>
      <c r="AN41" s="1">
        <f t="shared" si="5"/>
        <v>0.0389912</v>
      </c>
      <c r="AO41" s="1">
        <f t="shared" si="6"/>
        <v>22237033333333.3</v>
      </c>
      <c r="AP41" s="1"/>
      <c r="AQ41" s="1"/>
      <c r="AR41" s="1">
        <f t="shared" si="7"/>
        <v>2782726666666.67</v>
      </c>
      <c r="AS41" s="1">
        <f t="shared" si="8"/>
        <v>2681570000000</v>
      </c>
      <c r="AT41" s="1">
        <f t="shared" si="9"/>
        <v>2886830000000</v>
      </c>
    </row>
    <row r="42" spans="1:46">
      <c r="A42" s="8">
        <v>0.039977</v>
      </c>
      <c r="B42" s="1">
        <v>0.0406739</v>
      </c>
      <c r="C42" s="1">
        <v>23125300000000</v>
      </c>
      <c r="D42" s="1">
        <v>1516190000</v>
      </c>
      <c r="E42" s="1">
        <v>0</v>
      </c>
      <c r="F42" s="1">
        <v>0</v>
      </c>
      <c r="G42" s="1">
        <v>2</v>
      </c>
      <c r="H42" s="1">
        <v>5230640000000</v>
      </c>
      <c r="I42" s="1">
        <v>4874590000000</v>
      </c>
      <c r="J42" s="1">
        <v>4946350000000</v>
      </c>
      <c r="K42" s="1">
        <v>4544350000000</v>
      </c>
      <c r="L42" s="1">
        <v>3529360000000</v>
      </c>
      <c r="N42" s="8">
        <v>0.0400767</v>
      </c>
      <c r="O42" s="1">
        <v>0.0406965</v>
      </c>
      <c r="P42" s="1">
        <v>22138300000000</v>
      </c>
      <c r="Q42" s="1">
        <v>540989000</v>
      </c>
      <c r="R42" s="1">
        <v>0</v>
      </c>
      <c r="S42" s="1">
        <v>0</v>
      </c>
      <c r="T42" s="1">
        <v>2</v>
      </c>
      <c r="U42" s="1">
        <v>5614190000000</v>
      </c>
      <c r="V42" s="1">
        <v>4530180000000</v>
      </c>
      <c r="W42" s="1">
        <v>4581540000000</v>
      </c>
      <c r="X42" s="1">
        <v>4677510000000</v>
      </c>
      <c r="Y42" s="1">
        <v>2734830000000</v>
      </c>
      <c r="AA42" s="8">
        <v>0.0399835</v>
      </c>
      <c r="AB42" s="1">
        <v>0.0406194</v>
      </c>
      <c r="AC42" s="1">
        <v>21812100000000</v>
      </c>
      <c r="AD42" s="1">
        <v>512226000</v>
      </c>
      <c r="AE42" s="1">
        <v>0</v>
      </c>
      <c r="AF42" s="1">
        <v>0</v>
      </c>
      <c r="AG42" s="1">
        <v>2</v>
      </c>
      <c r="AH42" s="1">
        <v>4996820000000</v>
      </c>
      <c r="AI42" s="1">
        <v>4975260000000</v>
      </c>
      <c r="AJ42" s="1">
        <v>4782400000000</v>
      </c>
      <c r="AK42" s="1">
        <v>4691830000000</v>
      </c>
      <c r="AL42" s="1">
        <v>2365820000000</v>
      </c>
      <c r="AN42" s="1">
        <f t="shared" si="5"/>
        <v>0.039977</v>
      </c>
      <c r="AO42" s="1">
        <f t="shared" si="6"/>
        <v>22358566666666.7</v>
      </c>
      <c r="AP42" s="1"/>
      <c r="AQ42" s="1"/>
      <c r="AR42" s="1">
        <f t="shared" si="7"/>
        <v>2876670000000</v>
      </c>
      <c r="AS42" s="1">
        <f t="shared" si="8"/>
        <v>2365820000000</v>
      </c>
      <c r="AT42" s="1">
        <f t="shared" si="9"/>
        <v>3529360000000</v>
      </c>
    </row>
    <row r="43" spans="1:46">
      <c r="A43" s="8">
        <v>0.0410236</v>
      </c>
      <c r="B43" s="1">
        <v>0.0416751</v>
      </c>
      <c r="C43" s="1">
        <v>22858800000000</v>
      </c>
      <c r="D43" s="1">
        <v>763313000</v>
      </c>
      <c r="E43" s="1">
        <v>0</v>
      </c>
      <c r="F43" s="1">
        <v>0</v>
      </c>
      <c r="G43" s="1">
        <v>2</v>
      </c>
      <c r="H43" s="1">
        <v>5492840000000</v>
      </c>
      <c r="I43" s="1">
        <v>4009200000000</v>
      </c>
      <c r="J43" s="1">
        <v>5184430000000</v>
      </c>
      <c r="K43" s="1">
        <v>4922020000000</v>
      </c>
      <c r="L43" s="1">
        <v>3250000000000</v>
      </c>
      <c r="N43" s="8">
        <v>0.041027</v>
      </c>
      <c r="O43" s="1">
        <v>0.0416712</v>
      </c>
      <c r="P43" s="1">
        <v>23545300000000</v>
      </c>
      <c r="Q43" s="1">
        <v>735263000</v>
      </c>
      <c r="R43" s="1">
        <v>0</v>
      </c>
      <c r="S43" s="1">
        <v>0</v>
      </c>
      <c r="T43" s="1">
        <v>2</v>
      </c>
      <c r="U43" s="1">
        <v>5373430000000</v>
      </c>
      <c r="V43" s="1">
        <v>4918910000000</v>
      </c>
      <c r="W43" s="1">
        <v>5578540000000</v>
      </c>
      <c r="X43" s="1">
        <v>4957400000000</v>
      </c>
      <c r="Y43" s="1">
        <v>2716990000000</v>
      </c>
      <c r="AA43" s="8">
        <v>0.0410189</v>
      </c>
      <c r="AB43" s="1">
        <v>0.0416418</v>
      </c>
      <c r="AC43" s="1">
        <v>21676900000000</v>
      </c>
      <c r="AD43" s="1">
        <v>696912000</v>
      </c>
      <c r="AE43" s="1">
        <v>0</v>
      </c>
      <c r="AF43" s="1">
        <v>0</v>
      </c>
      <c r="AG43" s="1">
        <v>2</v>
      </c>
      <c r="AH43" s="1">
        <v>4927960000000</v>
      </c>
      <c r="AI43" s="1">
        <v>4777370000000</v>
      </c>
      <c r="AJ43" s="1">
        <v>4555140000000</v>
      </c>
      <c r="AK43" s="1">
        <v>4921180000000</v>
      </c>
      <c r="AL43" s="1">
        <v>2495270000000</v>
      </c>
      <c r="AN43" s="1">
        <f t="shared" si="5"/>
        <v>0.0410236</v>
      </c>
      <c r="AO43" s="1">
        <f t="shared" si="6"/>
        <v>22693666666666.7</v>
      </c>
      <c r="AP43" s="1"/>
      <c r="AQ43" s="1"/>
      <c r="AR43" s="1">
        <f t="shared" si="7"/>
        <v>2820753333333.33</v>
      </c>
      <c r="AS43" s="1">
        <f t="shared" si="8"/>
        <v>2495270000000</v>
      </c>
      <c r="AT43" s="1">
        <f t="shared" si="9"/>
        <v>3250000000000</v>
      </c>
    </row>
    <row r="44" spans="1:46">
      <c r="A44" s="8">
        <v>0.0420737</v>
      </c>
      <c r="B44" s="1">
        <v>0.0427357</v>
      </c>
      <c r="C44" s="1">
        <v>23352700000000</v>
      </c>
      <c r="D44" s="1">
        <v>578855000</v>
      </c>
      <c r="E44" s="1">
        <v>0</v>
      </c>
      <c r="F44" s="1">
        <v>0</v>
      </c>
      <c r="G44" s="1">
        <v>2</v>
      </c>
      <c r="H44" s="1">
        <v>5146100000000</v>
      </c>
      <c r="I44" s="1">
        <v>4213150000000</v>
      </c>
      <c r="J44" s="1">
        <v>5354450000000</v>
      </c>
      <c r="K44" s="1">
        <v>5372730000000</v>
      </c>
      <c r="L44" s="1">
        <v>3266240000000</v>
      </c>
      <c r="N44" s="8">
        <v>0.0420081</v>
      </c>
      <c r="O44" s="1">
        <v>0.0426398</v>
      </c>
      <c r="P44" s="1">
        <v>23476600000000</v>
      </c>
      <c r="Q44" s="1">
        <v>608754000</v>
      </c>
      <c r="R44" s="1">
        <v>0</v>
      </c>
      <c r="S44" s="1">
        <v>0</v>
      </c>
      <c r="T44" s="1">
        <v>2</v>
      </c>
      <c r="U44" s="1">
        <v>5436430000000</v>
      </c>
      <c r="V44" s="1">
        <v>4957580000000</v>
      </c>
      <c r="W44" s="1">
        <v>5827330000000</v>
      </c>
      <c r="X44" s="1">
        <v>4476970000000</v>
      </c>
      <c r="Y44" s="1">
        <v>2778280000000</v>
      </c>
      <c r="AA44" s="8">
        <v>0.0420531</v>
      </c>
      <c r="AB44" s="1">
        <v>0.0426555</v>
      </c>
      <c r="AC44" s="1">
        <v>21565000000000</v>
      </c>
      <c r="AD44" s="1">
        <v>1119950000</v>
      </c>
      <c r="AE44" s="1">
        <v>0</v>
      </c>
      <c r="AF44" s="1">
        <v>0</v>
      </c>
      <c r="AG44" s="1">
        <v>2</v>
      </c>
      <c r="AH44" s="1">
        <v>4979780000000</v>
      </c>
      <c r="AI44" s="1">
        <v>4485100000000</v>
      </c>
      <c r="AJ44" s="1">
        <v>4376860000000</v>
      </c>
      <c r="AK44" s="1">
        <v>4758450000000</v>
      </c>
      <c r="AL44" s="1">
        <v>2964760000000</v>
      </c>
      <c r="AN44" s="1">
        <f t="shared" si="5"/>
        <v>0.0420737</v>
      </c>
      <c r="AO44" s="1">
        <f t="shared" si="6"/>
        <v>22798100000000</v>
      </c>
      <c r="AP44" s="1"/>
      <c r="AQ44" s="1"/>
      <c r="AR44" s="1">
        <f t="shared" si="7"/>
        <v>3003093333333.33</v>
      </c>
      <c r="AS44" s="1">
        <f t="shared" si="8"/>
        <v>2778280000000</v>
      </c>
      <c r="AT44" s="1">
        <f t="shared" si="9"/>
        <v>3266240000000</v>
      </c>
    </row>
    <row r="45" spans="1:46">
      <c r="A45" s="8">
        <v>0.0430426</v>
      </c>
      <c r="B45" s="1">
        <v>0.0437114</v>
      </c>
      <c r="C45" s="1">
        <v>23368600000000</v>
      </c>
      <c r="D45" s="1">
        <v>885638000</v>
      </c>
      <c r="E45" s="1">
        <v>0</v>
      </c>
      <c r="F45" s="1">
        <v>0</v>
      </c>
      <c r="G45" s="1">
        <v>2</v>
      </c>
      <c r="H45" s="1">
        <v>5301040000000</v>
      </c>
      <c r="I45" s="1">
        <v>4648700000000</v>
      </c>
      <c r="J45" s="1">
        <v>5121450000000</v>
      </c>
      <c r="K45" s="1">
        <v>5009050000000</v>
      </c>
      <c r="L45" s="1">
        <v>3288320000000</v>
      </c>
      <c r="N45" s="8">
        <v>0.042972</v>
      </c>
      <c r="O45" s="1">
        <v>0.0436479</v>
      </c>
      <c r="P45" s="1">
        <v>22257100000000</v>
      </c>
      <c r="Q45" s="1">
        <v>1004740000</v>
      </c>
      <c r="R45" s="1">
        <v>0</v>
      </c>
      <c r="S45" s="1">
        <v>0</v>
      </c>
      <c r="T45" s="1">
        <v>2</v>
      </c>
      <c r="U45" s="1">
        <v>5522800000000</v>
      </c>
      <c r="V45" s="1">
        <v>4452730000000</v>
      </c>
      <c r="W45" s="1">
        <v>4574810000000</v>
      </c>
      <c r="X45" s="1">
        <v>4474490000000</v>
      </c>
      <c r="Y45" s="1">
        <v>3232150000000</v>
      </c>
      <c r="AA45" s="8">
        <v>0.0430179</v>
      </c>
      <c r="AB45" s="1">
        <v>0.0436521</v>
      </c>
      <c r="AC45" s="1">
        <v>21397500000000</v>
      </c>
      <c r="AD45" s="1">
        <v>612519000</v>
      </c>
      <c r="AE45" s="1">
        <v>0</v>
      </c>
      <c r="AF45" s="1">
        <v>0</v>
      </c>
      <c r="AG45" s="1">
        <v>2</v>
      </c>
      <c r="AH45" s="1">
        <v>5131860000000</v>
      </c>
      <c r="AI45" s="1">
        <v>4655900000000</v>
      </c>
      <c r="AJ45" s="1">
        <v>4542020000000</v>
      </c>
      <c r="AK45" s="1">
        <v>4562630000000</v>
      </c>
      <c r="AL45" s="1">
        <v>2505060000000</v>
      </c>
      <c r="AN45" s="1">
        <f t="shared" si="5"/>
        <v>0.0430426</v>
      </c>
      <c r="AO45" s="1">
        <f t="shared" si="6"/>
        <v>22341066666666.7</v>
      </c>
      <c r="AP45" s="1"/>
      <c r="AQ45" s="1"/>
      <c r="AR45" s="1">
        <f t="shared" si="7"/>
        <v>3008510000000</v>
      </c>
      <c r="AS45" s="1">
        <f t="shared" si="8"/>
        <v>2505060000000</v>
      </c>
      <c r="AT45" s="1">
        <f t="shared" si="9"/>
        <v>3288320000000</v>
      </c>
    </row>
    <row r="46" spans="1:46">
      <c r="A46" s="8">
        <v>0.0438978</v>
      </c>
      <c r="B46" s="1">
        <v>0.0445316</v>
      </c>
      <c r="C46" s="1">
        <v>23616300000000</v>
      </c>
      <c r="D46" s="1">
        <v>625637000</v>
      </c>
      <c r="E46" s="1">
        <v>0</v>
      </c>
      <c r="F46" s="1">
        <v>0</v>
      </c>
      <c r="G46" s="1">
        <v>2</v>
      </c>
      <c r="H46" s="1">
        <v>5054780000000</v>
      </c>
      <c r="I46" s="1">
        <v>4530190000000</v>
      </c>
      <c r="J46" s="1">
        <v>5098430000000</v>
      </c>
      <c r="K46" s="1">
        <v>5604240000000</v>
      </c>
      <c r="L46" s="1">
        <v>3328630000000</v>
      </c>
      <c r="N46" s="8">
        <v>0.0440345</v>
      </c>
      <c r="O46" s="1">
        <v>0.0446607</v>
      </c>
      <c r="P46" s="1">
        <v>22476600000000</v>
      </c>
      <c r="Q46" s="1">
        <v>893498000</v>
      </c>
      <c r="R46" s="1">
        <v>0</v>
      </c>
      <c r="S46" s="1">
        <v>0</v>
      </c>
      <c r="T46" s="1">
        <v>2</v>
      </c>
      <c r="U46" s="1">
        <v>5802500000000</v>
      </c>
      <c r="V46" s="1">
        <v>4579520000000</v>
      </c>
      <c r="W46" s="1">
        <v>4601400000000</v>
      </c>
      <c r="X46" s="1">
        <v>4474910000000</v>
      </c>
      <c r="Y46" s="1">
        <v>3018300000000</v>
      </c>
      <c r="AA46" s="8">
        <v>0.0439825</v>
      </c>
      <c r="AB46" s="1">
        <v>0.0446347</v>
      </c>
      <c r="AC46" s="1">
        <v>21540100000000</v>
      </c>
      <c r="AD46" s="1">
        <v>696586000</v>
      </c>
      <c r="AE46" s="1">
        <v>0</v>
      </c>
      <c r="AF46" s="1">
        <v>0</v>
      </c>
      <c r="AG46" s="1">
        <v>2</v>
      </c>
      <c r="AH46" s="1">
        <v>4789440000000</v>
      </c>
      <c r="AI46" s="1">
        <v>4810710000000</v>
      </c>
      <c r="AJ46" s="1">
        <v>4766520000000</v>
      </c>
      <c r="AK46" s="1">
        <v>4716370000000</v>
      </c>
      <c r="AL46" s="1">
        <v>2456620000000</v>
      </c>
      <c r="AN46" s="1">
        <f t="shared" si="5"/>
        <v>0.0438978</v>
      </c>
      <c r="AO46" s="1">
        <f t="shared" si="6"/>
        <v>22544333333333.3</v>
      </c>
      <c r="AP46" s="1"/>
      <c r="AQ46" s="1"/>
      <c r="AR46" s="1">
        <f t="shared" si="7"/>
        <v>2934516666666.67</v>
      </c>
      <c r="AS46" s="1">
        <f t="shared" si="8"/>
        <v>2456620000000</v>
      </c>
      <c r="AT46" s="1">
        <f t="shared" si="9"/>
        <v>3328630000000</v>
      </c>
    </row>
    <row r="47" spans="1:46">
      <c r="A47" s="8">
        <v>0.0449996</v>
      </c>
      <c r="B47" s="1">
        <v>0.0456061</v>
      </c>
      <c r="C47" s="1">
        <v>23489300000000</v>
      </c>
      <c r="D47" s="1">
        <v>1091680000</v>
      </c>
      <c r="E47" s="1">
        <v>0</v>
      </c>
      <c r="F47" s="1">
        <v>0</v>
      </c>
      <c r="G47" s="1">
        <v>2</v>
      </c>
      <c r="H47" s="1">
        <v>5583040000000</v>
      </c>
      <c r="I47" s="1">
        <v>4126080000000</v>
      </c>
      <c r="J47" s="1">
        <v>5348830000000</v>
      </c>
      <c r="K47" s="1">
        <v>5167400000000</v>
      </c>
      <c r="L47" s="1">
        <v>3263800000000</v>
      </c>
      <c r="N47" s="8">
        <v>0.0449776</v>
      </c>
      <c r="O47" s="1">
        <v>0.0456184</v>
      </c>
      <c r="P47" s="1">
        <v>21910000000000</v>
      </c>
      <c r="Q47" s="1">
        <v>690222000</v>
      </c>
      <c r="R47" s="1">
        <v>0</v>
      </c>
      <c r="S47" s="1">
        <v>0</v>
      </c>
      <c r="T47" s="1">
        <v>2</v>
      </c>
      <c r="U47" s="1">
        <v>5792210000000</v>
      </c>
      <c r="V47" s="1">
        <v>4507530000000</v>
      </c>
      <c r="W47" s="1">
        <v>4616740000000</v>
      </c>
      <c r="X47" s="1">
        <v>4240120000000</v>
      </c>
      <c r="Y47" s="1">
        <v>2753410000000</v>
      </c>
      <c r="AA47" s="8">
        <v>0.0449833</v>
      </c>
      <c r="AB47" s="1">
        <v>0.0455601</v>
      </c>
      <c r="AC47" s="1">
        <v>21618100000000</v>
      </c>
      <c r="AD47" s="1">
        <v>638254000</v>
      </c>
      <c r="AE47" s="1">
        <v>0</v>
      </c>
      <c r="AF47" s="1">
        <v>0</v>
      </c>
      <c r="AG47" s="1">
        <v>2</v>
      </c>
      <c r="AH47" s="1">
        <v>4735020000000</v>
      </c>
      <c r="AI47" s="1">
        <v>5022120000000</v>
      </c>
      <c r="AJ47" s="1">
        <v>4719050000000</v>
      </c>
      <c r="AK47" s="1">
        <v>4925770000000</v>
      </c>
      <c r="AL47" s="1">
        <v>2215790000000</v>
      </c>
      <c r="AN47" s="1">
        <f t="shared" si="5"/>
        <v>0.0449996</v>
      </c>
      <c r="AO47" s="1">
        <f t="shared" si="6"/>
        <v>22339133333333.3</v>
      </c>
      <c r="AP47" s="1"/>
      <c r="AQ47" s="1"/>
      <c r="AR47" s="1">
        <f t="shared" si="7"/>
        <v>2744333333333.33</v>
      </c>
      <c r="AS47" s="1">
        <f t="shared" si="8"/>
        <v>2215790000000</v>
      </c>
      <c r="AT47" s="1">
        <f t="shared" si="9"/>
        <v>3263800000000</v>
      </c>
    </row>
    <row r="48" spans="1:46">
      <c r="A48" s="8">
        <v>0.0460068</v>
      </c>
      <c r="B48" s="1">
        <v>0.0466329</v>
      </c>
      <c r="C48" s="1">
        <v>23774500000000</v>
      </c>
      <c r="D48" s="1">
        <v>796280000</v>
      </c>
      <c r="E48" s="1">
        <v>0</v>
      </c>
      <c r="F48" s="1">
        <v>0</v>
      </c>
      <c r="G48" s="1">
        <v>2</v>
      </c>
      <c r="H48" s="1">
        <v>5709460000000</v>
      </c>
      <c r="I48" s="1">
        <v>4754210000000</v>
      </c>
      <c r="J48" s="1">
        <v>4116150000000</v>
      </c>
      <c r="K48" s="1">
        <v>5569740000000</v>
      </c>
      <c r="L48" s="1">
        <v>3624190000000</v>
      </c>
      <c r="N48" s="8">
        <v>0.0460098</v>
      </c>
      <c r="O48" s="1">
        <v>0.0466669</v>
      </c>
      <c r="P48" s="1">
        <v>21821100000000</v>
      </c>
      <c r="Q48" s="1">
        <v>904320000</v>
      </c>
      <c r="R48" s="1">
        <v>0</v>
      </c>
      <c r="S48" s="1">
        <v>0</v>
      </c>
      <c r="T48" s="1">
        <v>2</v>
      </c>
      <c r="U48" s="1">
        <v>5487090000000</v>
      </c>
      <c r="V48" s="1">
        <v>4591340000000</v>
      </c>
      <c r="W48" s="1">
        <v>4680230000000</v>
      </c>
      <c r="X48" s="1">
        <v>4206800000000</v>
      </c>
      <c r="Y48" s="1">
        <v>2855570000000</v>
      </c>
      <c r="AA48" s="8">
        <v>0.0459909</v>
      </c>
      <c r="AB48" s="1">
        <v>0.0465835</v>
      </c>
      <c r="AC48" s="1">
        <v>24529900000000</v>
      </c>
      <c r="AD48" s="1">
        <v>603422000</v>
      </c>
      <c r="AE48" s="1">
        <v>0</v>
      </c>
      <c r="AF48" s="1">
        <v>0</v>
      </c>
      <c r="AG48" s="1">
        <v>2</v>
      </c>
      <c r="AH48" s="1">
        <v>4827640000000</v>
      </c>
      <c r="AI48" s="1">
        <v>5355100000000</v>
      </c>
      <c r="AJ48" s="1">
        <v>4751910000000</v>
      </c>
      <c r="AK48" s="1">
        <v>7152520000000</v>
      </c>
      <c r="AL48" s="1">
        <v>2442760000000</v>
      </c>
      <c r="AN48" s="1">
        <f t="shared" si="5"/>
        <v>0.0460068</v>
      </c>
      <c r="AO48" s="1">
        <f t="shared" si="6"/>
        <v>23375166666666.7</v>
      </c>
      <c r="AP48" s="1"/>
      <c r="AQ48" s="1"/>
      <c r="AR48" s="1">
        <f t="shared" si="7"/>
        <v>2974173333333.33</v>
      </c>
      <c r="AS48" s="1">
        <f t="shared" si="8"/>
        <v>2442760000000</v>
      </c>
      <c r="AT48" s="1">
        <f t="shared" si="9"/>
        <v>3624190000000</v>
      </c>
    </row>
    <row r="49" spans="1:46">
      <c r="A49" s="8">
        <v>0.0470161</v>
      </c>
      <c r="B49" s="1">
        <v>0.0476587</v>
      </c>
      <c r="C49" s="1">
        <v>22948600000000</v>
      </c>
      <c r="D49" s="1">
        <v>964747000</v>
      </c>
      <c r="E49" s="1">
        <v>0</v>
      </c>
      <c r="F49" s="1">
        <v>0</v>
      </c>
      <c r="G49" s="1">
        <v>2</v>
      </c>
      <c r="H49" s="1">
        <v>5117220000000</v>
      </c>
      <c r="I49" s="1">
        <v>5317970000000</v>
      </c>
      <c r="J49" s="1">
        <v>4343010000000</v>
      </c>
      <c r="K49" s="1">
        <v>5044530000000</v>
      </c>
      <c r="L49" s="1">
        <v>3125500000000</v>
      </c>
      <c r="N49" s="8">
        <v>0.0469837</v>
      </c>
      <c r="O49" s="1">
        <v>0.0476358</v>
      </c>
      <c r="P49" s="1">
        <v>21993200000000</v>
      </c>
      <c r="Q49" s="1">
        <v>949209000</v>
      </c>
      <c r="R49" s="1">
        <v>0</v>
      </c>
      <c r="S49" s="1">
        <v>0</v>
      </c>
      <c r="T49" s="1">
        <v>2</v>
      </c>
      <c r="U49" s="1">
        <v>5439240000000</v>
      </c>
      <c r="V49" s="1">
        <v>4549780000000</v>
      </c>
      <c r="W49" s="1">
        <v>5010810000000</v>
      </c>
      <c r="X49" s="1">
        <v>4132950000000</v>
      </c>
      <c r="Y49" s="1">
        <v>2859960000000</v>
      </c>
      <c r="AA49" s="8">
        <v>0.0470262</v>
      </c>
      <c r="AB49" s="1">
        <v>0.0476483</v>
      </c>
      <c r="AC49" s="1">
        <v>22643000000000</v>
      </c>
      <c r="AD49" s="1">
        <v>806642000</v>
      </c>
      <c r="AE49" s="1">
        <v>0</v>
      </c>
      <c r="AF49" s="1">
        <v>0</v>
      </c>
      <c r="AG49" s="1">
        <v>2</v>
      </c>
      <c r="AH49" s="1">
        <v>4924040000000</v>
      </c>
      <c r="AI49" s="1">
        <v>5381270000000</v>
      </c>
      <c r="AJ49" s="1">
        <v>4991610000000</v>
      </c>
      <c r="AK49" s="1">
        <v>4944960000000</v>
      </c>
      <c r="AL49" s="1">
        <v>2401080000000</v>
      </c>
      <c r="AN49" s="1">
        <f t="shared" ref="AN49:AN53" si="10">A49</f>
        <v>0.0470161</v>
      </c>
      <c r="AO49" s="1">
        <f t="shared" ref="AO49:AO53" si="11">AVERAGE(C49,P49,AC49)</f>
        <v>22528266666666.7</v>
      </c>
      <c r="AP49" s="1"/>
      <c r="AQ49" s="1"/>
      <c r="AR49" s="1">
        <f t="shared" ref="AR49:AR53" si="12">AVERAGE(L49,Y49,AL49)</f>
        <v>2795513333333.33</v>
      </c>
      <c r="AS49" s="1">
        <f t="shared" ref="AS49:AS53" si="13">MIN(L49,Y49,AL49)</f>
        <v>2401080000000</v>
      </c>
      <c r="AT49" s="1">
        <f t="shared" ref="AT49:AT53" si="14">MAX(L49,Y49,AL49)</f>
        <v>3125500000000</v>
      </c>
    </row>
    <row r="50" spans="1:46">
      <c r="A50" s="8">
        <v>0.0479715</v>
      </c>
      <c r="B50" s="1">
        <v>0.0486254</v>
      </c>
      <c r="C50" s="1">
        <v>23261900000000</v>
      </c>
      <c r="D50" s="1">
        <v>947064000</v>
      </c>
      <c r="E50" s="1">
        <v>0</v>
      </c>
      <c r="F50" s="1">
        <v>0</v>
      </c>
      <c r="G50" s="1">
        <v>2</v>
      </c>
      <c r="H50" s="1">
        <v>5335710000000</v>
      </c>
      <c r="I50" s="1">
        <v>4847380000000</v>
      </c>
      <c r="J50" s="1">
        <v>4610240000000</v>
      </c>
      <c r="K50" s="1">
        <v>5330340000000</v>
      </c>
      <c r="L50" s="1">
        <v>3135080000000</v>
      </c>
      <c r="N50" s="8">
        <v>0.0480006</v>
      </c>
      <c r="O50" s="1">
        <v>0.0486207</v>
      </c>
      <c r="P50" s="1">
        <v>22181700000000</v>
      </c>
      <c r="Q50" s="1">
        <v>966159000</v>
      </c>
      <c r="R50" s="1">
        <v>0</v>
      </c>
      <c r="S50" s="1">
        <v>0</v>
      </c>
      <c r="T50" s="1">
        <v>2</v>
      </c>
      <c r="U50" s="1">
        <v>5221210000000</v>
      </c>
      <c r="V50" s="1">
        <v>4752240000000</v>
      </c>
      <c r="W50" s="1">
        <v>4856350000000</v>
      </c>
      <c r="X50" s="1">
        <v>4348440000000</v>
      </c>
      <c r="Y50" s="1">
        <v>3003310000000</v>
      </c>
      <c r="AA50" s="8">
        <v>0.0480267</v>
      </c>
      <c r="AB50" s="1">
        <v>0.048599</v>
      </c>
      <c r="AC50" s="1">
        <v>22372100000000</v>
      </c>
      <c r="AD50" s="1">
        <v>1065690000</v>
      </c>
      <c r="AE50" s="1">
        <v>0</v>
      </c>
      <c r="AF50" s="1">
        <v>0</v>
      </c>
      <c r="AG50" s="1">
        <v>2</v>
      </c>
      <c r="AH50" s="1">
        <v>5011950000000</v>
      </c>
      <c r="AI50" s="1">
        <v>5205230000000</v>
      </c>
      <c r="AJ50" s="1">
        <v>5153010000000</v>
      </c>
      <c r="AK50" s="1">
        <v>4721180000000</v>
      </c>
      <c r="AL50" s="1">
        <v>2280690000000</v>
      </c>
      <c r="AN50" s="1">
        <f t="shared" si="10"/>
        <v>0.0479715</v>
      </c>
      <c r="AO50" s="1">
        <f t="shared" si="11"/>
        <v>22605233333333.3</v>
      </c>
      <c r="AP50" s="1"/>
      <c r="AQ50" s="1"/>
      <c r="AR50" s="1">
        <f t="shared" si="12"/>
        <v>2806360000000</v>
      </c>
      <c r="AS50" s="1">
        <f t="shared" si="13"/>
        <v>2280690000000</v>
      </c>
      <c r="AT50" s="1">
        <f t="shared" si="14"/>
        <v>3135080000000</v>
      </c>
    </row>
    <row r="51" spans="1:46">
      <c r="A51" s="8">
        <v>0.0489561</v>
      </c>
      <c r="B51" s="1">
        <v>0.0495904</v>
      </c>
      <c r="C51" s="1">
        <v>22716000000000</v>
      </c>
      <c r="D51" s="1">
        <v>1015140000</v>
      </c>
      <c r="E51" s="1">
        <v>0</v>
      </c>
      <c r="F51" s="1">
        <v>0</v>
      </c>
      <c r="G51" s="1">
        <v>2</v>
      </c>
      <c r="H51" s="1">
        <v>5239320000000</v>
      </c>
      <c r="I51" s="1">
        <v>4495720000000</v>
      </c>
      <c r="J51" s="1">
        <v>5102530000000</v>
      </c>
      <c r="K51" s="1">
        <v>5035770000000</v>
      </c>
      <c r="L51" s="1">
        <v>2842630000000</v>
      </c>
      <c r="N51" s="8">
        <v>0.0489791</v>
      </c>
      <c r="O51" s="1">
        <v>0.0496172</v>
      </c>
      <c r="P51" s="1">
        <v>22959800000000</v>
      </c>
      <c r="Q51" s="1">
        <v>611831000</v>
      </c>
      <c r="R51" s="1">
        <v>0</v>
      </c>
      <c r="S51" s="1">
        <v>0</v>
      </c>
      <c r="T51" s="1">
        <v>2</v>
      </c>
      <c r="U51" s="1">
        <v>5400640000000</v>
      </c>
      <c r="V51" s="1">
        <v>5553210000000</v>
      </c>
      <c r="W51" s="1">
        <v>4725300000000</v>
      </c>
      <c r="X51" s="1">
        <v>4299370000000</v>
      </c>
      <c r="Y51" s="1">
        <v>2980940000000</v>
      </c>
      <c r="AA51" s="8">
        <v>0.0490539</v>
      </c>
      <c r="AB51" s="1">
        <v>0.049624</v>
      </c>
      <c r="AC51" s="1">
        <v>20907900000000</v>
      </c>
      <c r="AD51" s="1">
        <v>928955000</v>
      </c>
      <c r="AE51" s="1">
        <v>0</v>
      </c>
      <c r="AF51" s="1">
        <v>0</v>
      </c>
      <c r="AG51" s="1">
        <v>2</v>
      </c>
      <c r="AH51" s="1">
        <v>4610340000000</v>
      </c>
      <c r="AI51" s="1">
        <v>4649180000000</v>
      </c>
      <c r="AJ51" s="1">
        <v>4603220000000</v>
      </c>
      <c r="AK51" s="1">
        <v>4255690000000</v>
      </c>
      <c r="AL51" s="1">
        <v>2789370000000</v>
      </c>
      <c r="AN51" s="1">
        <f t="shared" si="10"/>
        <v>0.0489561</v>
      </c>
      <c r="AO51" s="1">
        <f t="shared" si="11"/>
        <v>22194566666666.7</v>
      </c>
      <c r="AP51" s="1"/>
      <c r="AQ51" s="1"/>
      <c r="AR51" s="1">
        <f t="shared" si="12"/>
        <v>2870980000000</v>
      </c>
      <c r="AS51" s="1">
        <f t="shared" si="13"/>
        <v>2789370000000</v>
      </c>
      <c r="AT51" s="1">
        <f t="shared" si="14"/>
        <v>2980940000000</v>
      </c>
    </row>
    <row r="52" spans="1:46">
      <c r="A52" s="8">
        <v>0.0499716</v>
      </c>
      <c r="B52" s="1">
        <v>0.0506223</v>
      </c>
      <c r="C52" s="1">
        <v>22837000000000</v>
      </c>
      <c r="D52" s="1">
        <v>1053730000</v>
      </c>
      <c r="E52" s="1">
        <v>0</v>
      </c>
      <c r="F52" s="1">
        <v>0</v>
      </c>
      <c r="G52" s="1">
        <v>2</v>
      </c>
      <c r="H52" s="1">
        <v>5463830000000</v>
      </c>
      <c r="I52" s="1">
        <v>4414520000000</v>
      </c>
      <c r="J52" s="1">
        <v>5634010000000</v>
      </c>
      <c r="K52" s="1">
        <v>4792390000000</v>
      </c>
      <c r="L52" s="1">
        <v>2532220000000</v>
      </c>
      <c r="N52" s="8">
        <v>0.0499045</v>
      </c>
      <c r="O52" s="1">
        <v>0.0505007</v>
      </c>
      <c r="P52" s="1">
        <v>23333100000000</v>
      </c>
      <c r="Q52" s="1">
        <v>651539000</v>
      </c>
      <c r="R52" s="1">
        <v>0</v>
      </c>
      <c r="S52" s="1">
        <v>0</v>
      </c>
      <c r="T52" s="1">
        <v>2</v>
      </c>
      <c r="U52" s="1">
        <v>5201070000000</v>
      </c>
      <c r="V52" s="1">
        <v>5902350000000</v>
      </c>
      <c r="W52" s="1">
        <v>4966900000000</v>
      </c>
      <c r="X52" s="1">
        <v>4375440000000</v>
      </c>
      <c r="Y52" s="1">
        <v>2887340000000</v>
      </c>
      <c r="AA52" s="8">
        <v>0.0500183</v>
      </c>
      <c r="AB52" s="1">
        <v>0.0507007</v>
      </c>
      <c r="AC52" s="1">
        <v>21895900000000</v>
      </c>
      <c r="AD52" s="1">
        <v>615989000</v>
      </c>
      <c r="AE52" s="1">
        <v>0</v>
      </c>
      <c r="AF52" s="1">
        <v>0</v>
      </c>
      <c r="AG52" s="1">
        <v>2</v>
      </c>
      <c r="AH52" s="1">
        <v>4664520000000</v>
      </c>
      <c r="AI52" s="1">
        <v>4639780000000</v>
      </c>
      <c r="AJ52" s="1">
        <v>4804240000000</v>
      </c>
      <c r="AK52" s="1">
        <v>4614280000000</v>
      </c>
      <c r="AL52" s="1">
        <v>3173070000000</v>
      </c>
      <c r="AN52" s="1">
        <f t="shared" si="10"/>
        <v>0.0499716</v>
      </c>
      <c r="AO52" s="1">
        <f t="shared" si="11"/>
        <v>22688666666666.7</v>
      </c>
      <c r="AP52" s="1"/>
      <c r="AQ52" s="1"/>
      <c r="AR52" s="1">
        <f t="shared" si="12"/>
        <v>2864210000000</v>
      </c>
      <c r="AS52" s="1">
        <f t="shared" si="13"/>
        <v>2532220000000</v>
      </c>
      <c r="AT52" s="1">
        <f t="shared" si="14"/>
        <v>3173070000000</v>
      </c>
    </row>
    <row r="53" spans="1:46">
      <c r="A53" s="8">
        <v>0.0510131</v>
      </c>
      <c r="B53" s="1">
        <v>0.0516527</v>
      </c>
      <c r="C53" s="1">
        <v>22350100000000</v>
      </c>
      <c r="D53" s="1">
        <v>795597000</v>
      </c>
      <c r="E53" s="1">
        <v>0</v>
      </c>
      <c r="F53" s="1">
        <v>0</v>
      </c>
      <c r="G53" s="1">
        <v>2</v>
      </c>
      <c r="H53" s="1">
        <v>5484860000000</v>
      </c>
      <c r="I53" s="1">
        <v>4626460000000</v>
      </c>
      <c r="J53" s="1">
        <v>5163260000000</v>
      </c>
      <c r="K53" s="1">
        <v>4576780000000</v>
      </c>
      <c r="L53" s="1">
        <v>2498760000000</v>
      </c>
      <c r="AA53" s="8">
        <v>0.0508411</v>
      </c>
      <c r="AB53" s="1">
        <v>0.0514904</v>
      </c>
      <c r="AC53" s="1">
        <v>21648500000000</v>
      </c>
      <c r="AD53" s="1">
        <v>859980000</v>
      </c>
      <c r="AE53" s="1">
        <v>0</v>
      </c>
      <c r="AF53" s="1">
        <v>0</v>
      </c>
      <c r="AG53" s="1">
        <v>2</v>
      </c>
      <c r="AH53" s="1">
        <v>4459860000000</v>
      </c>
      <c r="AI53" s="1">
        <v>4696310000000</v>
      </c>
      <c r="AJ53" s="1">
        <v>4701940000000</v>
      </c>
      <c r="AK53" s="1">
        <v>5048790000000</v>
      </c>
      <c r="AL53" s="1">
        <v>2741570000000</v>
      </c>
      <c r="AN53" s="1">
        <f t="shared" si="10"/>
        <v>0.0510131</v>
      </c>
      <c r="AO53" s="1">
        <f t="shared" si="11"/>
        <v>21999300000000</v>
      </c>
      <c r="AP53" s="1"/>
      <c r="AQ53" s="1"/>
      <c r="AR53" s="1">
        <f t="shared" si="12"/>
        <v>2620165000000</v>
      </c>
      <c r="AS53" s="1">
        <f t="shared" si="13"/>
        <v>2498760000000</v>
      </c>
      <c r="AT53" s="1">
        <f t="shared" si="14"/>
        <v>2741570000000</v>
      </c>
    </row>
    <row r="54" spans="1:12">
      <c r="A54" s="8">
        <v>0.0520037</v>
      </c>
      <c r="B54" s="1">
        <v>0.0526478</v>
      </c>
      <c r="C54" s="1">
        <v>22341100000000</v>
      </c>
      <c r="D54" s="1">
        <v>806574000</v>
      </c>
      <c r="E54" s="1">
        <v>0</v>
      </c>
      <c r="F54" s="1">
        <v>0</v>
      </c>
      <c r="G54" s="1">
        <v>2</v>
      </c>
      <c r="H54" s="1">
        <v>5733340000000</v>
      </c>
      <c r="I54" s="1">
        <v>4715930000000</v>
      </c>
      <c r="J54" s="1">
        <v>4686970000000</v>
      </c>
      <c r="K54" s="1">
        <v>4516340000000</v>
      </c>
      <c r="L54" s="1">
        <v>2688510000000</v>
      </c>
    </row>
    <row r="55" spans="1:12">
      <c r="A55" s="8">
        <v>0.0529856</v>
      </c>
      <c r="B55" s="1">
        <v>0.0536038</v>
      </c>
      <c r="C55" s="1">
        <v>22664700000000</v>
      </c>
      <c r="D55" s="1">
        <v>1259670000</v>
      </c>
      <c r="E55" s="1">
        <v>0</v>
      </c>
      <c r="F55" s="1">
        <v>0</v>
      </c>
      <c r="G55" s="1">
        <v>2</v>
      </c>
      <c r="H55" s="1">
        <v>6020080000000</v>
      </c>
      <c r="I55" s="1">
        <v>4438640000000</v>
      </c>
      <c r="J55" s="1">
        <v>4834910000000</v>
      </c>
      <c r="K55" s="1">
        <v>4555850000000</v>
      </c>
      <c r="L55" s="1">
        <v>2815080000000</v>
      </c>
    </row>
    <row r="56" spans="1:12">
      <c r="A56" s="8">
        <v>0.0540033</v>
      </c>
      <c r="B56" s="1">
        <v>0.0546653</v>
      </c>
      <c r="C56" s="1">
        <v>23069400000000</v>
      </c>
      <c r="D56" s="1">
        <v>1081160000</v>
      </c>
      <c r="E56" s="1">
        <v>0</v>
      </c>
      <c r="F56" s="1">
        <v>0</v>
      </c>
      <c r="G56" s="1">
        <v>2</v>
      </c>
      <c r="H56" s="1">
        <v>5477910000000</v>
      </c>
      <c r="I56" s="1">
        <v>4310460000000</v>
      </c>
      <c r="J56" s="1">
        <v>4668570000000</v>
      </c>
      <c r="K56" s="1">
        <v>5154580000000</v>
      </c>
      <c r="L56" s="1">
        <v>3457710000000</v>
      </c>
    </row>
    <row r="59" spans="3:38">
      <c r="C59" s="1">
        <f>AVERAGE(C28:C32)</f>
        <v>22543600000000</v>
      </c>
      <c r="L59" s="1">
        <f>AVERAGE(L28:L32)</f>
        <v>2735326000000</v>
      </c>
      <c r="P59" s="1">
        <f>AVERAGE(P28:P32)</f>
        <v>23056260000000</v>
      </c>
      <c r="Y59" s="1">
        <f>AVERAGE(Y28:Y32)</f>
        <v>2919746000000</v>
      </c>
      <c r="AC59" s="1">
        <f>AVERAGE(AC28:AC32)</f>
        <v>23398880000000</v>
      </c>
      <c r="AL59" s="1">
        <f>AVERAGE(AL28:AL32)</f>
        <v>2946768000000</v>
      </c>
    </row>
  </sheetData>
  <mergeCells count="3">
    <mergeCell ref="A1:L1"/>
    <mergeCell ref="N1:Y1"/>
    <mergeCell ref="AA1:AL1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9"/>
  <sheetViews>
    <sheetView workbookViewId="0">
      <selection activeCell="L6" sqref="L6"/>
    </sheetView>
  </sheetViews>
  <sheetFormatPr defaultColWidth="9" defaultRowHeight="15"/>
  <sheetData>
    <row r="1" spans="1:19">
      <c r="A1" s="9" t="s">
        <v>0</v>
      </c>
      <c r="B1" s="9"/>
      <c r="D1" s="9" t="s">
        <v>1</v>
      </c>
      <c r="E1" s="9"/>
      <c r="G1" s="9" t="s">
        <v>2</v>
      </c>
      <c r="H1" s="9"/>
      <c r="J1" s="9" t="s">
        <v>3</v>
      </c>
      <c r="K1" s="9"/>
      <c r="N1" s="2"/>
      <c r="O1" s="2"/>
      <c r="S1" s="2"/>
    </row>
    <row r="2" spans="1:19">
      <c r="A2" s="10">
        <v>0.000179423</v>
      </c>
      <c r="B2" s="1">
        <v>116025000</v>
      </c>
      <c r="D2" s="6">
        <v>0.000149957</v>
      </c>
      <c r="E2" s="1">
        <v>110025000</v>
      </c>
      <c r="G2" s="6">
        <v>0.000169795</v>
      </c>
      <c r="H2" s="1">
        <v>106240000</v>
      </c>
      <c r="K2" t="s">
        <v>4</v>
      </c>
      <c r="L2" t="s">
        <v>5</v>
      </c>
      <c r="M2" t="s">
        <v>6</v>
      </c>
      <c r="N2" s="2" t="s">
        <v>7</v>
      </c>
      <c r="O2" s="2" t="s">
        <v>8</v>
      </c>
      <c r="P2" t="s">
        <v>9</v>
      </c>
      <c r="Q2" t="s">
        <v>10</v>
      </c>
      <c r="R2" t="s">
        <v>11</v>
      </c>
      <c r="S2" s="2" t="s">
        <v>12</v>
      </c>
    </row>
    <row r="3" spans="1:19">
      <c r="A3" s="10">
        <v>0.00102473</v>
      </c>
      <c r="B3" s="1">
        <v>149080000</v>
      </c>
      <c r="D3" s="6">
        <v>0.00101315</v>
      </c>
      <c r="E3" s="1">
        <v>151427000</v>
      </c>
      <c r="G3" s="6">
        <v>0.00102785</v>
      </c>
      <c r="H3" s="1">
        <v>151972000</v>
      </c>
      <c r="J3" t="s">
        <v>0</v>
      </c>
      <c r="K3">
        <v>147</v>
      </c>
      <c r="L3" s="1">
        <v>284000000000</v>
      </c>
      <c r="M3" s="1">
        <v>20000000000000</v>
      </c>
      <c r="N3" s="2">
        <f>0.5*80.9*0.248*SQRT(L3)/1000000</f>
        <v>5.34600519930911</v>
      </c>
      <c r="O3" s="2">
        <f>0.05*80.9*0.248*SQRT(M3)/1000000</f>
        <v>4.48626790461738</v>
      </c>
      <c r="P3">
        <f>SQRT(N3^2+O3^2)</f>
        <v>6.97899500666393</v>
      </c>
      <c r="Q3">
        <f>K3*0.4395</f>
        <v>64.6065</v>
      </c>
      <c r="R3">
        <f>Q3/P3</f>
        <v>9.25727843884545</v>
      </c>
      <c r="S3" s="2">
        <f>L3/M3</f>
        <v>0.0142</v>
      </c>
    </row>
    <row r="4" spans="1:19">
      <c r="A4" s="10">
        <v>0.00202215</v>
      </c>
      <c r="B4" s="1">
        <v>146446000</v>
      </c>
      <c r="D4" s="6">
        <v>0.00202284</v>
      </c>
      <c r="E4" s="1">
        <v>147871000</v>
      </c>
      <c r="G4" s="6">
        <v>0.00199475</v>
      </c>
      <c r="H4" s="1">
        <v>147123000</v>
      </c>
      <c r="J4" t="s">
        <v>1</v>
      </c>
      <c r="K4">
        <v>147</v>
      </c>
      <c r="L4" s="1">
        <v>326000000000</v>
      </c>
      <c r="M4" s="1">
        <v>20100000000000</v>
      </c>
      <c r="N4" s="2">
        <f t="shared" ref="N4:N5" si="0">0.5*80.9*0.248*SQRT(L4)/1000000</f>
        <v>5.72768343491154</v>
      </c>
      <c r="O4" s="2">
        <f t="shared" ref="O4:O5" si="1">0.05*80.9*0.248*SQRT(M4)/1000000</f>
        <v>4.49746958973154</v>
      </c>
      <c r="P4">
        <f t="shared" ref="P4:P5" si="2">SQRT(N4^2+O4^2)</f>
        <v>7.2824165110985</v>
      </c>
      <c r="Q4">
        <f t="shared" ref="Q4:Q5" si="3">K4*0.4395</f>
        <v>64.6065</v>
      </c>
      <c r="R4">
        <f t="shared" ref="R4:R5" si="4">Q4/P4</f>
        <v>8.87157441510505</v>
      </c>
      <c r="S4" s="2">
        <f t="shared" ref="S4:S5" si="5">L4/M4</f>
        <v>0.0162189054726368</v>
      </c>
    </row>
    <row r="5" spans="1:19">
      <c r="A5" s="10">
        <v>0.00300973</v>
      </c>
      <c r="B5" s="1">
        <v>145357000</v>
      </c>
      <c r="D5" s="6">
        <v>0.0030001</v>
      </c>
      <c r="E5" s="1">
        <v>149364000</v>
      </c>
      <c r="G5" s="6">
        <v>0.00296564</v>
      </c>
      <c r="H5" s="1">
        <v>150963000</v>
      </c>
      <c r="J5" t="s">
        <v>13</v>
      </c>
      <c r="K5">
        <v>148</v>
      </c>
      <c r="L5" s="1">
        <v>300000000000</v>
      </c>
      <c r="M5" s="1">
        <v>20100000000000</v>
      </c>
      <c r="N5" s="2">
        <f t="shared" si="0"/>
        <v>5.49453360786883</v>
      </c>
      <c r="O5" s="2">
        <f t="shared" si="1"/>
        <v>4.49746958973154</v>
      </c>
      <c r="P5">
        <f t="shared" si="2"/>
        <v>7.10050225537321</v>
      </c>
      <c r="Q5">
        <f t="shared" si="3"/>
        <v>65.046</v>
      </c>
      <c r="R5">
        <f t="shared" si="4"/>
        <v>9.16076041674057</v>
      </c>
      <c r="S5" s="2">
        <f t="shared" si="5"/>
        <v>0.0149253731343284</v>
      </c>
    </row>
    <row r="6" spans="1:8">
      <c r="A6" s="10">
        <v>0.00397296</v>
      </c>
      <c r="B6" s="1">
        <v>147506000</v>
      </c>
      <c r="D6" s="6">
        <v>0.00400961</v>
      </c>
      <c r="E6" s="1">
        <v>144515000</v>
      </c>
      <c r="G6" s="6">
        <v>0.00403862</v>
      </c>
      <c r="H6" s="1">
        <v>146054000</v>
      </c>
    </row>
    <row r="7" spans="1:8">
      <c r="A7" s="10">
        <v>0.00501557</v>
      </c>
      <c r="B7" s="1">
        <v>146042000</v>
      </c>
      <c r="D7" s="6">
        <v>0.00494308</v>
      </c>
      <c r="E7" s="1">
        <v>145421000</v>
      </c>
      <c r="G7" s="6">
        <v>0.00502587</v>
      </c>
      <c r="H7" s="1">
        <v>146773000</v>
      </c>
    </row>
    <row r="8" spans="1:8">
      <c r="A8" s="10">
        <v>0.00599917</v>
      </c>
      <c r="B8" s="1">
        <v>148477000</v>
      </c>
      <c r="D8" s="6">
        <v>0.00597295</v>
      </c>
      <c r="E8" s="1">
        <v>151358000</v>
      </c>
      <c r="G8" s="6">
        <v>0.00598598</v>
      </c>
      <c r="H8" s="1">
        <v>147392000</v>
      </c>
    </row>
    <row r="9" spans="1:8">
      <c r="A9" s="10">
        <v>0.00700747</v>
      </c>
      <c r="B9" s="1">
        <v>146665000</v>
      </c>
      <c r="D9" s="6">
        <v>0.0069798</v>
      </c>
      <c r="E9" s="1">
        <v>148263000</v>
      </c>
      <c r="G9" s="6">
        <v>0.00697691</v>
      </c>
      <c r="H9" s="1">
        <v>148324000</v>
      </c>
    </row>
    <row r="10" spans="1:8">
      <c r="A10" s="10">
        <v>0.00802983</v>
      </c>
      <c r="B10" s="1">
        <v>147195000</v>
      </c>
      <c r="D10" s="6">
        <v>0.00802353</v>
      </c>
      <c r="E10" s="1">
        <v>146590000</v>
      </c>
      <c r="G10" s="6">
        <v>0.0079513</v>
      </c>
      <c r="H10" s="1">
        <v>148428000</v>
      </c>
    </row>
    <row r="11" spans="1:8">
      <c r="A11" s="10">
        <v>0.0090006</v>
      </c>
      <c r="B11" s="1">
        <v>148007000</v>
      </c>
      <c r="D11" s="6">
        <v>0.00899122</v>
      </c>
      <c r="E11" s="1">
        <v>146015000</v>
      </c>
      <c r="G11" s="6">
        <v>0.00901626</v>
      </c>
      <c r="H11" s="1">
        <v>147581000</v>
      </c>
    </row>
    <row r="12" spans="1:8">
      <c r="A12" s="10">
        <v>0.0100111</v>
      </c>
      <c r="B12" s="1">
        <v>147672000</v>
      </c>
      <c r="D12" s="6">
        <v>0.0100051</v>
      </c>
      <c r="E12" s="1">
        <v>148251000</v>
      </c>
      <c r="G12" s="6">
        <v>0.0100257</v>
      </c>
      <c r="H12" s="1">
        <v>145056000</v>
      </c>
    </row>
    <row r="13" spans="1:8">
      <c r="A13" s="10">
        <v>0.0109899</v>
      </c>
      <c r="B13" s="1">
        <v>145680000</v>
      </c>
      <c r="D13" s="6">
        <v>0.0109804</v>
      </c>
      <c r="E13" s="1">
        <v>143175000</v>
      </c>
      <c r="G13" s="6">
        <v>0.0110172</v>
      </c>
      <c r="H13" s="1">
        <v>145539000</v>
      </c>
    </row>
    <row r="14" spans="1:8">
      <c r="A14" s="10">
        <v>0.0120068</v>
      </c>
      <c r="B14" s="1">
        <v>144527000</v>
      </c>
      <c r="D14" s="6">
        <v>0.0119974</v>
      </c>
      <c r="E14" s="1">
        <v>144986000</v>
      </c>
      <c r="G14" s="6">
        <v>0.0119765</v>
      </c>
      <c r="H14" s="1">
        <v>147360000</v>
      </c>
    </row>
    <row r="15" spans="1:8">
      <c r="A15" s="10">
        <v>0.0129769</v>
      </c>
      <c r="B15" s="1">
        <v>145566000</v>
      </c>
      <c r="D15" s="6">
        <v>0.0129288</v>
      </c>
      <c r="E15" s="1">
        <v>147750000</v>
      </c>
      <c r="G15" s="6">
        <v>0.0129495</v>
      </c>
      <c r="H15" s="1">
        <v>147950000</v>
      </c>
    </row>
    <row r="16" spans="1:8">
      <c r="A16" s="10">
        <v>0.01399</v>
      </c>
      <c r="B16" s="1">
        <v>146263000</v>
      </c>
      <c r="D16" s="6">
        <v>0.0139889</v>
      </c>
      <c r="E16" s="1">
        <v>147178000</v>
      </c>
      <c r="G16" s="6">
        <v>0.0139916</v>
      </c>
      <c r="H16" s="1">
        <v>145274000</v>
      </c>
    </row>
    <row r="17" spans="1:8">
      <c r="A17" s="10">
        <v>0.0150222</v>
      </c>
      <c r="B17" s="1">
        <v>146788000</v>
      </c>
      <c r="D17" s="6">
        <v>0.0150401</v>
      </c>
      <c r="E17" s="1">
        <v>146775000</v>
      </c>
      <c r="G17" s="6">
        <v>0.0149879</v>
      </c>
      <c r="H17" s="1">
        <v>146896000</v>
      </c>
    </row>
    <row r="18" spans="1:8">
      <c r="A18" s="10">
        <v>0.0159929</v>
      </c>
      <c r="B18" s="1">
        <v>147630000</v>
      </c>
      <c r="D18" s="6">
        <v>0.0159689</v>
      </c>
      <c r="E18" s="1">
        <v>150502000</v>
      </c>
      <c r="G18" s="6">
        <v>0.0160247</v>
      </c>
      <c r="H18" s="1">
        <v>147288000</v>
      </c>
    </row>
    <row r="19" spans="1:8">
      <c r="A19" s="10">
        <v>0.0169648</v>
      </c>
      <c r="B19" s="1">
        <v>142681000</v>
      </c>
      <c r="D19" s="6">
        <v>0.017014</v>
      </c>
      <c r="E19" s="1">
        <v>142941000</v>
      </c>
      <c r="G19" s="6">
        <v>0.0169954</v>
      </c>
      <c r="H19" s="1">
        <v>152392000</v>
      </c>
    </row>
    <row r="20" spans="1:8">
      <c r="A20" s="10">
        <v>0.0179968</v>
      </c>
      <c r="B20" s="1">
        <v>147722000</v>
      </c>
      <c r="D20" s="6">
        <v>0.0180288</v>
      </c>
      <c r="E20" s="1">
        <v>144893000</v>
      </c>
      <c r="G20" s="6">
        <v>0.0180174</v>
      </c>
      <c r="H20" s="1">
        <v>153745000</v>
      </c>
    </row>
    <row r="21" spans="1:8">
      <c r="A21" s="10">
        <v>0.0190018</v>
      </c>
      <c r="B21" s="1">
        <v>146499000</v>
      </c>
      <c r="D21" s="6">
        <v>0.019002</v>
      </c>
      <c r="E21" s="1">
        <v>146783000</v>
      </c>
      <c r="G21" s="6">
        <v>0.0190216</v>
      </c>
      <c r="H21" s="1">
        <v>149497000</v>
      </c>
    </row>
    <row r="22" spans="1:8">
      <c r="A22" s="10">
        <v>0.0199607</v>
      </c>
      <c r="B22" s="1">
        <v>147547000</v>
      </c>
      <c r="D22" s="6">
        <v>0.0199941</v>
      </c>
      <c r="E22" s="1">
        <v>145899000</v>
      </c>
      <c r="G22" s="6">
        <v>0.0200069</v>
      </c>
      <c r="H22" s="1">
        <v>149280000</v>
      </c>
    </row>
    <row r="23" spans="1:8">
      <c r="A23" s="10">
        <v>0.0210218</v>
      </c>
      <c r="B23" s="1">
        <v>147554000</v>
      </c>
      <c r="D23" s="6">
        <v>0.0209981</v>
      </c>
      <c r="E23" s="1">
        <v>147400000</v>
      </c>
      <c r="G23" s="6">
        <v>0.0209925</v>
      </c>
      <c r="H23" s="1">
        <v>149661000</v>
      </c>
    </row>
    <row r="24" spans="1:8">
      <c r="A24" s="10">
        <v>0.0220402</v>
      </c>
      <c r="B24" s="1">
        <v>141949000</v>
      </c>
      <c r="D24" s="6">
        <v>0.0219557</v>
      </c>
      <c r="E24" s="1">
        <v>146426000</v>
      </c>
      <c r="G24" s="6">
        <v>0.0220253</v>
      </c>
      <c r="H24" s="1">
        <v>149345000</v>
      </c>
    </row>
    <row r="25" spans="1:8">
      <c r="A25" s="10">
        <v>0.023007</v>
      </c>
      <c r="B25" s="1">
        <v>146574000</v>
      </c>
      <c r="D25" s="6">
        <v>0.022992</v>
      </c>
      <c r="E25" s="1">
        <v>149239000</v>
      </c>
      <c r="G25" s="6">
        <v>0.0229945</v>
      </c>
      <c r="H25" s="1">
        <v>147017000</v>
      </c>
    </row>
    <row r="26" spans="1:8">
      <c r="A26" s="10">
        <v>0.0240035</v>
      </c>
      <c r="B26" s="1">
        <v>147010000</v>
      </c>
      <c r="D26" s="6">
        <v>0.0240103</v>
      </c>
      <c r="E26" s="1">
        <v>146640000</v>
      </c>
      <c r="G26" s="6">
        <v>0.024021</v>
      </c>
      <c r="H26" s="1">
        <v>147845000</v>
      </c>
    </row>
    <row r="27" spans="1:8">
      <c r="A27" s="10">
        <v>0.0249714</v>
      </c>
      <c r="B27" s="1">
        <v>148058000</v>
      </c>
      <c r="D27" s="6">
        <v>0.0250298</v>
      </c>
      <c r="E27" s="1">
        <v>145588000</v>
      </c>
      <c r="G27" s="6">
        <v>0.0250064</v>
      </c>
      <c r="H27" s="1">
        <v>146736000</v>
      </c>
    </row>
    <row r="28" spans="1:8">
      <c r="A28" s="10">
        <v>0.0260152</v>
      </c>
      <c r="B28" s="1">
        <v>146492000</v>
      </c>
      <c r="D28" s="6">
        <v>0.0259997</v>
      </c>
      <c r="E28" s="1">
        <v>146490000</v>
      </c>
      <c r="G28" s="6">
        <v>0.0259825</v>
      </c>
      <c r="H28" s="1">
        <v>148309000</v>
      </c>
    </row>
    <row r="29" spans="1:8">
      <c r="A29" s="10">
        <v>0.0270016</v>
      </c>
      <c r="B29" s="1">
        <v>147101000</v>
      </c>
      <c r="D29" s="6">
        <v>0.0270124</v>
      </c>
      <c r="E29" s="1">
        <v>145058000</v>
      </c>
      <c r="G29" s="6">
        <v>0.0270004</v>
      </c>
      <c r="H29" s="1">
        <v>144858000</v>
      </c>
    </row>
    <row r="30" spans="1:8">
      <c r="A30" s="10">
        <v>0.0279963</v>
      </c>
      <c r="B30" s="1">
        <v>146264000</v>
      </c>
      <c r="D30" s="6">
        <v>0.0279905</v>
      </c>
      <c r="E30" s="1">
        <v>146284000</v>
      </c>
      <c r="G30" s="6">
        <v>0.0280158</v>
      </c>
      <c r="H30" s="1">
        <v>142479000</v>
      </c>
    </row>
    <row r="31" spans="1:8">
      <c r="A31" s="10">
        <v>0.0290191</v>
      </c>
      <c r="B31" s="1">
        <v>143346000</v>
      </c>
      <c r="D31" s="6">
        <v>0.0289987</v>
      </c>
      <c r="E31" s="1">
        <v>148956000</v>
      </c>
      <c r="G31" s="6">
        <v>0.0289991</v>
      </c>
      <c r="H31" s="1">
        <v>145560000</v>
      </c>
    </row>
    <row r="32" spans="1:8">
      <c r="A32" s="10">
        <v>0.0300186</v>
      </c>
      <c r="B32" s="1">
        <v>146194000</v>
      </c>
      <c r="D32" s="6">
        <v>0.0300154</v>
      </c>
      <c r="E32" s="1">
        <v>143624000</v>
      </c>
      <c r="G32" s="6">
        <v>0.0300272</v>
      </c>
      <c r="H32" s="1">
        <v>145211000</v>
      </c>
    </row>
    <row r="33" spans="1:8">
      <c r="A33" s="10">
        <v>0.0309938</v>
      </c>
      <c r="B33" s="1">
        <v>145900000</v>
      </c>
      <c r="D33" s="6">
        <v>0.0309869</v>
      </c>
      <c r="E33" s="1">
        <v>148514000</v>
      </c>
      <c r="G33" s="6">
        <v>0.0310693</v>
      </c>
      <c r="H33" s="1">
        <v>148584000</v>
      </c>
    </row>
    <row r="34" spans="1:8">
      <c r="A34" s="10">
        <v>0.031998</v>
      </c>
      <c r="B34" s="1">
        <v>149974000</v>
      </c>
      <c r="D34" s="6">
        <v>0.0319943</v>
      </c>
      <c r="E34" s="1">
        <v>143486000</v>
      </c>
      <c r="G34" s="6">
        <v>0.0319982</v>
      </c>
      <c r="H34" s="1">
        <v>146586000</v>
      </c>
    </row>
    <row r="35" spans="1:8">
      <c r="A35" s="10">
        <v>0.0329689</v>
      </c>
      <c r="B35" s="1">
        <v>153536000</v>
      </c>
      <c r="D35" s="6">
        <v>0.0330069</v>
      </c>
      <c r="E35" s="1">
        <v>145093000</v>
      </c>
      <c r="G35" s="6">
        <v>0.0329772</v>
      </c>
      <c r="H35" s="1">
        <v>149423000</v>
      </c>
    </row>
    <row r="36" spans="1:8">
      <c r="A36" s="10">
        <v>0.0339732</v>
      </c>
      <c r="B36" s="1">
        <v>144192000</v>
      </c>
      <c r="D36" s="6">
        <v>0.0339952</v>
      </c>
      <c r="E36" s="1">
        <v>147800000</v>
      </c>
      <c r="G36" s="6">
        <v>0.0340291</v>
      </c>
      <c r="H36" s="1">
        <v>148697000</v>
      </c>
    </row>
    <row r="37" spans="1:8">
      <c r="A37" s="10">
        <v>0.035011</v>
      </c>
      <c r="B37" s="1">
        <v>143520000</v>
      </c>
      <c r="D37" s="6">
        <v>0.0350233</v>
      </c>
      <c r="E37" s="1">
        <v>141579000</v>
      </c>
      <c r="G37" s="6">
        <v>0.035</v>
      </c>
      <c r="H37" s="1">
        <v>147655000</v>
      </c>
    </row>
    <row r="38" spans="1:8">
      <c r="A38" s="10">
        <v>0.0359973</v>
      </c>
      <c r="B38" s="1">
        <v>144843000</v>
      </c>
      <c r="D38" s="6">
        <v>0.03602</v>
      </c>
      <c r="E38" s="1">
        <v>146376000</v>
      </c>
      <c r="G38" s="6">
        <v>0.0359894</v>
      </c>
      <c r="H38" s="1">
        <v>146990000</v>
      </c>
    </row>
    <row r="39" spans="1:8">
      <c r="A39" s="10">
        <v>0.0370147</v>
      </c>
      <c r="B39" s="1">
        <v>146837000</v>
      </c>
      <c r="D39" s="6">
        <v>0.0370227</v>
      </c>
      <c r="E39" s="1">
        <v>149489000</v>
      </c>
      <c r="G39" s="6">
        <v>0.0370088</v>
      </c>
      <c r="H39" s="1">
        <v>148219000</v>
      </c>
    </row>
    <row r="40" spans="1:8">
      <c r="A40" s="10">
        <v>0.0379976</v>
      </c>
      <c r="B40" s="1">
        <v>144553000</v>
      </c>
      <c r="D40" s="6">
        <v>0.037966</v>
      </c>
      <c r="E40" s="1">
        <v>150728000</v>
      </c>
      <c r="G40" s="6">
        <v>0.0379902</v>
      </c>
      <c r="H40" s="1">
        <v>147146000</v>
      </c>
    </row>
    <row r="41" spans="1:8">
      <c r="A41" s="10">
        <v>0.0390228</v>
      </c>
      <c r="B41" s="1">
        <v>146798000</v>
      </c>
      <c r="D41" s="6">
        <v>0.0390078</v>
      </c>
      <c r="E41" s="1">
        <v>146906000</v>
      </c>
      <c r="G41" s="6">
        <v>0.0389842</v>
      </c>
      <c r="H41" s="1">
        <v>149547000</v>
      </c>
    </row>
    <row r="42" spans="1:8">
      <c r="A42" s="10">
        <v>0.040004</v>
      </c>
      <c r="B42" s="1">
        <v>142814000</v>
      </c>
      <c r="D42" s="6">
        <v>0.0400277</v>
      </c>
      <c r="E42" s="1">
        <v>145448000</v>
      </c>
      <c r="G42" s="6">
        <v>0.0400083</v>
      </c>
      <c r="H42" s="1">
        <v>145466000</v>
      </c>
    </row>
    <row r="43" spans="1:8">
      <c r="A43" s="10">
        <v>0.0409965</v>
      </c>
      <c r="B43" s="1">
        <v>144231000</v>
      </c>
      <c r="D43" s="6">
        <v>0.0410055</v>
      </c>
      <c r="E43" s="1">
        <v>144363000</v>
      </c>
      <c r="G43" s="6">
        <v>0.041012</v>
      </c>
      <c r="H43" s="1">
        <v>147331000</v>
      </c>
    </row>
    <row r="44" spans="1:8">
      <c r="A44" s="10">
        <v>0.0420297</v>
      </c>
      <c r="B44" s="1">
        <v>149528000</v>
      </c>
      <c r="D44" s="6">
        <v>0.0419779</v>
      </c>
      <c r="E44" s="1">
        <v>147485000</v>
      </c>
      <c r="G44" s="6">
        <v>0.0420119</v>
      </c>
      <c r="H44" s="1">
        <v>146802000</v>
      </c>
    </row>
    <row r="45" spans="1:8">
      <c r="A45" s="10">
        <v>0.0429955</v>
      </c>
      <c r="B45" s="1">
        <v>150300000</v>
      </c>
      <c r="D45" s="6">
        <v>0.0430051</v>
      </c>
      <c r="E45" s="1">
        <v>144564000</v>
      </c>
      <c r="G45" s="6">
        <v>0.042994</v>
      </c>
      <c r="H45" s="1">
        <v>148844000</v>
      </c>
    </row>
    <row r="46" spans="1:8">
      <c r="A46" s="10">
        <v>0.043986</v>
      </c>
      <c r="B46" s="1">
        <v>146533000</v>
      </c>
      <c r="D46" s="6">
        <v>0.0439899</v>
      </c>
      <c r="E46" s="1">
        <v>149434000</v>
      </c>
      <c r="G46" s="6">
        <v>0.0439723</v>
      </c>
      <c r="H46" s="1">
        <v>144835000</v>
      </c>
    </row>
    <row r="47" spans="1:8">
      <c r="A47" s="10">
        <v>0.0450076</v>
      </c>
      <c r="B47" s="1">
        <v>144873000</v>
      </c>
      <c r="D47" s="6">
        <v>0.0450142</v>
      </c>
      <c r="E47" s="1">
        <v>145029000</v>
      </c>
      <c r="G47" s="6">
        <v>0.0450035</v>
      </c>
      <c r="H47" s="1">
        <v>147335000</v>
      </c>
    </row>
    <row r="48" spans="1:8">
      <c r="A48" s="10">
        <v>0.0459917</v>
      </c>
      <c r="B48" s="1">
        <v>146461000</v>
      </c>
      <c r="D48" s="6">
        <v>0.046071</v>
      </c>
      <c r="E48" s="1">
        <v>144328000</v>
      </c>
      <c r="G48" s="6">
        <v>0.0460051</v>
      </c>
      <c r="H48" s="1">
        <v>149570000</v>
      </c>
    </row>
    <row r="49" spans="1:8">
      <c r="A49" s="10">
        <v>0.0469672</v>
      </c>
      <c r="B49" s="1">
        <v>145956000</v>
      </c>
      <c r="D49" s="6">
        <v>0.0470068</v>
      </c>
      <c r="E49" s="1">
        <v>144552000</v>
      </c>
      <c r="G49" s="6">
        <v>0.0470141</v>
      </c>
      <c r="H49" s="1">
        <v>148417000</v>
      </c>
    </row>
    <row r="50" spans="1:8">
      <c r="A50" s="10">
        <v>0.0479836</v>
      </c>
      <c r="B50" s="1">
        <v>146306000</v>
      </c>
      <c r="D50" s="6">
        <v>0.0479754</v>
      </c>
      <c r="E50" s="1">
        <v>147885000</v>
      </c>
      <c r="G50" s="6">
        <v>0.048013</v>
      </c>
      <c r="H50" s="1">
        <v>147986000</v>
      </c>
    </row>
    <row r="51" spans="1:8">
      <c r="A51" s="10">
        <v>0.0490047</v>
      </c>
      <c r="B51" s="1">
        <v>145211000</v>
      </c>
      <c r="D51" s="6">
        <v>0.0489907</v>
      </c>
      <c r="E51" s="1">
        <v>148186000</v>
      </c>
      <c r="G51" s="6">
        <v>0.0490232</v>
      </c>
      <c r="H51" s="1">
        <v>145312000</v>
      </c>
    </row>
    <row r="52" spans="1:8">
      <c r="A52" s="10">
        <v>0.0499874</v>
      </c>
      <c r="B52" s="1">
        <v>149079000</v>
      </c>
      <c r="D52" s="6">
        <v>0.0499603</v>
      </c>
      <c r="E52" s="1">
        <v>149629000</v>
      </c>
      <c r="G52" s="6">
        <v>0.0500142</v>
      </c>
      <c r="H52" s="1">
        <v>148445000</v>
      </c>
    </row>
    <row r="53" spans="1:8">
      <c r="A53" s="10"/>
      <c r="B53" s="1"/>
      <c r="D53" s="6"/>
      <c r="E53" s="1"/>
      <c r="G53" s="6"/>
      <c r="H53" s="1"/>
    </row>
    <row r="54" spans="1:8">
      <c r="A54" s="10"/>
      <c r="B54" s="1"/>
      <c r="D54" s="6"/>
      <c r="E54" s="1"/>
      <c r="G54" s="6"/>
      <c r="H54" s="1"/>
    </row>
    <row r="55" spans="1:8">
      <c r="A55" s="10"/>
      <c r="B55" s="1"/>
      <c r="D55" s="6"/>
      <c r="E55" s="1"/>
      <c r="G55" s="6"/>
      <c r="H55" s="1"/>
    </row>
    <row r="56" spans="1:8">
      <c r="A56" s="10"/>
      <c r="B56" s="1"/>
      <c r="D56" s="6"/>
      <c r="E56" s="1"/>
      <c r="G56" s="6"/>
      <c r="H56" s="1"/>
    </row>
    <row r="57" spans="1:8">
      <c r="A57" s="10"/>
      <c r="B57" s="1"/>
      <c r="D57" s="6"/>
      <c r="E57" s="1"/>
      <c r="G57" s="6"/>
      <c r="H57" s="1"/>
    </row>
    <row r="58" spans="1:8">
      <c r="A58" s="10"/>
      <c r="B58" s="1"/>
      <c r="D58" s="6"/>
      <c r="E58" s="1"/>
      <c r="G58" s="6"/>
      <c r="H58" s="1"/>
    </row>
    <row r="59" spans="1:8">
      <c r="A59" s="10"/>
      <c r="B59" s="1"/>
      <c r="D59" s="6"/>
      <c r="E59" s="1"/>
      <c r="G59" s="6"/>
      <c r="H59" s="1"/>
    </row>
    <row r="60" spans="1:8">
      <c r="A60" s="10"/>
      <c r="B60" s="1"/>
      <c r="D60" s="6"/>
      <c r="E60" s="1"/>
      <c r="G60" s="6"/>
      <c r="H60" s="1"/>
    </row>
    <row r="61" spans="1:8">
      <c r="A61" s="10"/>
      <c r="B61" s="1"/>
      <c r="D61" s="6"/>
      <c r="E61" s="1"/>
      <c r="G61" s="6"/>
      <c r="H61" s="1"/>
    </row>
    <row r="62" spans="1:8">
      <c r="A62" s="10"/>
      <c r="B62" s="1"/>
      <c r="D62" s="6"/>
      <c r="E62" s="1"/>
      <c r="G62" s="6"/>
      <c r="H62" s="1"/>
    </row>
    <row r="63" spans="1:8">
      <c r="A63" s="10"/>
      <c r="B63" s="1"/>
      <c r="D63" s="6"/>
      <c r="E63" s="1"/>
      <c r="G63" s="6"/>
      <c r="H63" s="1"/>
    </row>
    <row r="64" spans="1:8">
      <c r="A64" s="10"/>
      <c r="B64" s="1"/>
      <c r="D64" s="6"/>
      <c r="E64" s="1"/>
      <c r="G64" s="6"/>
      <c r="H64" s="1"/>
    </row>
    <row r="65" spans="1:8">
      <c r="A65" s="10"/>
      <c r="B65" s="1"/>
      <c r="D65" s="6"/>
      <c r="E65" s="1"/>
      <c r="G65" s="6"/>
      <c r="H65" s="1"/>
    </row>
    <row r="66" spans="1:8">
      <c r="A66" s="10"/>
      <c r="B66" s="1"/>
      <c r="D66" s="6"/>
      <c r="E66" s="1"/>
      <c r="G66" s="6"/>
      <c r="H66" s="1"/>
    </row>
    <row r="67" spans="1:8">
      <c r="A67" s="10"/>
      <c r="B67" s="1"/>
      <c r="D67" s="6"/>
      <c r="E67" s="1"/>
      <c r="G67" s="6"/>
      <c r="H67" s="1"/>
    </row>
    <row r="68" spans="1:8">
      <c r="A68" s="10"/>
      <c r="B68" s="1"/>
      <c r="D68" s="6"/>
      <c r="E68" s="1"/>
      <c r="G68" s="6"/>
      <c r="H68" s="1"/>
    </row>
    <row r="69" spans="1:8">
      <c r="A69" s="10"/>
      <c r="B69" s="1"/>
      <c r="D69" s="6"/>
      <c r="E69" s="1"/>
      <c r="G69" s="6"/>
      <c r="H69" s="1"/>
    </row>
    <row r="70" spans="1:5">
      <c r="A70" s="10"/>
      <c r="B70" s="1"/>
      <c r="D70" s="6"/>
      <c r="E70" s="1"/>
    </row>
    <row r="71" spans="1:2">
      <c r="A71" s="10"/>
      <c r="B71" s="1"/>
    </row>
    <row r="72" spans="1:2">
      <c r="A72" s="10"/>
      <c r="B72" s="1"/>
    </row>
    <row r="73" spans="1:2">
      <c r="A73" s="10"/>
      <c r="B73" s="1"/>
    </row>
    <row r="74" spans="1:2">
      <c r="A74" s="10"/>
      <c r="B74" s="1"/>
    </row>
    <row r="75" spans="1:2">
      <c r="A75" s="10"/>
      <c r="B75" s="1"/>
    </row>
    <row r="76" spans="1:2">
      <c r="A76" s="10"/>
      <c r="B76" s="1"/>
    </row>
    <row r="77" spans="1:2">
      <c r="A77" s="10"/>
      <c r="B77" s="1"/>
    </row>
    <row r="78" spans="1:2">
      <c r="A78" s="10"/>
      <c r="B78" s="1"/>
    </row>
    <row r="79" spans="1:2">
      <c r="A79" s="10"/>
      <c r="B79" s="1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79"/>
  <sheetViews>
    <sheetView topLeftCell="K22" workbookViewId="0">
      <selection activeCell="C55" sqref="C55:AL55"/>
    </sheetView>
  </sheetViews>
  <sheetFormatPr defaultColWidth="9" defaultRowHeight="15"/>
  <sheetData>
    <row r="1" spans="1:46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16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0.000179423</v>
      </c>
      <c r="B2" s="1">
        <v>0.000721001</v>
      </c>
      <c r="C2" s="1">
        <v>19885600000000</v>
      </c>
      <c r="D2" s="1">
        <v>1009430000</v>
      </c>
      <c r="E2" s="1">
        <v>0</v>
      </c>
      <c r="F2" s="1">
        <v>0</v>
      </c>
      <c r="G2" s="1">
        <v>2</v>
      </c>
      <c r="H2" s="1">
        <v>5478290000000</v>
      </c>
      <c r="I2" s="1">
        <v>4679780000000</v>
      </c>
      <c r="J2" s="1">
        <v>4687320000000</v>
      </c>
      <c r="K2" s="1">
        <v>4737970000000</v>
      </c>
      <c r="L2" s="1">
        <v>302216000000</v>
      </c>
      <c r="N2" s="8">
        <v>0.000149957</v>
      </c>
      <c r="O2" s="1">
        <v>0.000663531</v>
      </c>
      <c r="P2" s="1">
        <v>19873600000000</v>
      </c>
      <c r="Q2" s="1">
        <v>1423150000</v>
      </c>
      <c r="R2" s="1">
        <v>0</v>
      </c>
      <c r="S2" s="1">
        <v>0</v>
      </c>
      <c r="T2" s="1">
        <v>2</v>
      </c>
      <c r="U2" s="1">
        <v>5497770000000</v>
      </c>
      <c r="V2" s="1">
        <v>4709180000000</v>
      </c>
      <c r="W2" s="1">
        <v>4695150000000</v>
      </c>
      <c r="X2" s="1">
        <v>4718420000000</v>
      </c>
      <c r="Y2" s="1">
        <v>253126000000</v>
      </c>
      <c r="AA2" s="8">
        <v>0.000169795</v>
      </c>
      <c r="AB2" s="1">
        <v>0.000665701</v>
      </c>
      <c r="AC2" s="1">
        <v>19676800000000</v>
      </c>
      <c r="AD2" s="1">
        <v>277356000</v>
      </c>
      <c r="AE2" s="1">
        <v>0</v>
      </c>
      <c r="AF2" s="1">
        <v>0</v>
      </c>
      <c r="AG2" s="1">
        <v>2</v>
      </c>
      <c r="AH2" s="1">
        <v>4871030000000</v>
      </c>
      <c r="AI2" s="1">
        <v>4864820000000</v>
      </c>
      <c r="AJ2" s="1">
        <v>4870090000000</v>
      </c>
      <c r="AK2" s="1">
        <v>4879760000000</v>
      </c>
      <c r="AL2" s="1">
        <v>191101000000</v>
      </c>
      <c r="AN2" s="1">
        <f>A2</f>
        <v>0.000179423</v>
      </c>
      <c r="AO2" s="1">
        <f>AVERAGE(C2,P2,AC2)</f>
        <v>19812000000000</v>
      </c>
      <c r="AP2" s="1"/>
      <c r="AQ2" s="1"/>
      <c r="AR2" s="1">
        <f>AVERAGE(L2,Y2,AL2)</f>
        <v>248814333333.333</v>
      </c>
      <c r="AS2" s="1">
        <f>MIN(L2,Y2,AL2)</f>
        <v>191101000000</v>
      </c>
      <c r="AT2" s="1">
        <f>MAX(L2,Y2,AL2)</f>
        <v>302216000000</v>
      </c>
    </row>
    <row r="3" spans="1:46">
      <c r="A3" s="8">
        <v>0.00102473</v>
      </c>
      <c r="B3" s="1">
        <v>0.00172059</v>
      </c>
      <c r="C3" s="1">
        <v>20059300000000</v>
      </c>
      <c r="D3" s="1">
        <v>192236000</v>
      </c>
      <c r="E3" s="1">
        <v>0</v>
      </c>
      <c r="F3" s="1">
        <v>0</v>
      </c>
      <c r="G3" s="1">
        <v>2</v>
      </c>
      <c r="H3" s="1">
        <v>5536440000000</v>
      </c>
      <c r="I3" s="1">
        <v>4767710000000</v>
      </c>
      <c r="J3" s="1">
        <v>4756020000000</v>
      </c>
      <c r="K3" s="1">
        <v>4747620000000</v>
      </c>
      <c r="L3" s="1">
        <v>251507000000</v>
      </c>
      <c r="N3" s="8">
        <v>0.00101315</v>
      </c>
      <c r="O3" s="1">
        <v>0.00171997</v>
      </c>
      <c r="P3" s="1">
        <v>20024000000000</v>
      </c>
      <c r="Q3" s="1">
        <v>286648000</v>
      </c>
      <c r="R3" s="1">
        <v>0</v>
      </c>
      <c r="S3" s="1">
        <v>0</v>
      </c>
      <c r="T3" s="1">
        <v>2</v>
      </c>
      <c r="U3" s="1">
        <v>5551470000000</v>
      </c>
      <c r="V3" s="1">
        <v>4716510000000</v>
      </c>
      <c r="W3" s="1">
        <v>4727520000000</v>
      </c>
      <c r="X3" s="1">
        <v>4772620000000</v>
      </c>
      <c r="Y3" s="1">
        <v>255876000000</v>
      </c>
      <c r="AA3" s="8">
        <v>0.00102785</v>
      </c>
      <c r="AB3" s="1">
        <v>0.00173722</v>
      </c>
      <c r="AC3" s="1">
        <v>19832500000000</v>
      </c>
      <c r="AD3" s="1">
        <v>153520000</v>
      </c>
      <c r="AE3" s="1">
        <v>0</v>
      </c>
      <c r="AF3" s="1">
        <v>0</v>
      </c>
      <c r="AG3" s="1">
        <v>2</v>
      </c>
      <c r="AH3" s="1">
        <v>4906550000000</v>
      </c>
      <c r="AI3" s="1">
        <v>4887760000000</v>
      </c>
      <c r="AJ3" s="1">
        <v>4885140000000</v>
      </c>
      <c r="AK3" s="1">
        <v>4898320000000</v>
      </c>
      <c r="AL3" s="1">
        <v>254734000000</v>
      </c>
      <c r="AN3" s="1">
        <f t="shared" ref="AN3:AN5" si="0">A3</f>
        <v>0.00102473</v>
      </c>
      <c r="AO3" s="1">
        <f t="shared" ref="AO3:AO5" si="1">AVERAGE(C3,P3,AC3)</f>
        <v>19971933333333.3</v>
      </c>
      <c r="AP3" s="1"/>
      <c r="AQ3" s="1"/>
      <c r="AR3" s="1">
        <f t="shared" ref="AR3:AR5" si="2">AVERAGE(L3,Y3,AL3)</f>
        <v>254039000000</v>
      </c>
      <c r="AS3" s="1">
        <f t="shared" ref="AS3:AS5" si="3">MIN(L3,Y3,AL3)</f>
        <v>251507000000</v>
      </c>
      <c r="AT3" s="1">
        <f t="shared" ref="AT3:AT5" si="4">MAX(L3,Y3,AL3)</f>
        <v>255876000000</v>
      </c>
    </row>
    <row r="4" spans="1:46">
      <c r="A4" s="8">
        <v>0.00202215</v>
      </c>
      <c r="B4" s="1">
        <v>0.00270572</v>
      </c>
      <c r="C4" s="1">
        <v>20106800000000</v>
      </c>
      <c r="D4" s="1">
        <v>591380000</v>
      </c>
      <c r="E4" s="1">
        <v>0</v>
      </c>
      <c r="F4" s="1">
        <v>0</v>
      </c>
      <c r="G4" s="1">
        <v>2</v>
      </c>
      <c r="H4" s="1">
        <v>5540240000000</v>
      </c>
      <c r="I4" s="1">
        <v>4755620000000</v>
      </c>
      <c r="J4" s="1">
        <v>4797370000000</v>
      </c>
      <c r="K4" s="1">
        <v>4763230000000</v>
      </c>
      <c r="L4" s="1">
        <v>250308000000</v>
      </c>
      <c r="N4" s="8">
        <v>0.00202284</v>
      </c>
      <c r="O4" s="1">
        <v>0.00271306</v>
      </c>
      <c r="P4" s="1">
        <v>20391500000000</v>
      </c>
      <c r="Q4" s="1">
        <v>697706000</v>
      </c>
      <c r="R4" s="1">
        <v>0</v>
      </c>
      <c r="S4" s="1">
        <v>0</v>
      </c>
      <c r="T4" s="1">
        <v>2</v>
      </c>
      <c r="U4" s="1">
        <v>5530530000000</v>
      </c>
      <c r="V4" s="1">
        <v>4775090000000</v>
      </c>
      <c r="W4" s="1">
        <v>4819260000000</v>
      </c>
      <c r="X4" s="1">
        <v>4828540000000</v>
      </c>
      <c r="Y4" s="1">
        <v>438080000000</v>
      </c>
      <c r="AA4" s="8">
        <v>0.00199475</v>
      </c>
      <c r="AB4" s="1">
        <v>0.00268147</v>
      </c>
      <c r="AC4" s="1">
        <v>19928000000000</v>
      </c>
      <c r="AD4" s="1">
        <v>573867000</v>
      </c>
      <c r="AE4" s="1">
        <v>0</v>
      </c>
      <c r="AF4" s="1">
        <v>0</v>
      </c>
      <c r="AG4" s="1">
        <v>2</v>
      </c>
      <c r="AH4" s="1">
        <v>4947330000000</v>
      </c>
      <c r="AI4" s="1">
        <v>4908750000000</v>
      </c>
      <c r="AJ4" s="1">
        <v>4919560000000</v>
      </c>
      <c r="AK4" s="1">
        <v>4924140000000</v>
      </c>
      <c r="AL4" s="1">
        <v>228231000000</v>
      </c>
      <c r="AN4" s="1">
        <f t="shared" si="0"/>
        <v>0.00202215</v>
      </c>
      <c r="AO4" s="1">
        <f t="shared" si="1"/>
        <v>20142100000000</v>
      </c>
      <c r="AP4" s="1"/>
      <c r="AQ4" s="1"/>
      <c r="AR4" s="1">
        <f t="shared" si="2"/>
        <v>305539666666.667</v>
      </c>
      <c r="AS4" s="1">
        <f t="shared" si="3"/>
        <v>228231000000</v>
      </c>
      <c r="AT4" s="1">
        <f t="shared" si="4"/>
        <v>438080000000</v>
      </c>
    </row>
    <row r="5" spans="1:46">
      <c r="A5" s="8">
        <v>0.00300973</v>
      </c>
      <c r="B5" s="1">
        <v>0.00368822</v>
      </c>
      <c r="C5" s="1">
        <v>20127800000000</v>
      </c>
      <c r="D5" s="1">
        <v>188981000</v>
      </c>
      <c r="E5" s="1">
        <v>0</v>
      </c>
      <c r="F5" s="1">
        <v>0</v>
      </c>
      <c r="G5" s="1">
        <v>2</v>
      </c>
      <c r="H5" s="1">
        <v>5556330000000</v>
      </c>
      <c r="I5" s="1">
        <v>4737970000000</v>
      </c>
      <c r="J5" s="1">
        <v>4762570000000</v>
      </c>
      <c r="K5" s="1">
        <v>4792830000000</v>
      </c>
      <c r="L5" s="1">
        <v>278072000000</v>
      </c>
      <c r="N5" s="8">
        <v>0.0030001</v>
      </c>
      <c r="O5" s="1">
        <v>0.00369729</v>
      </c>
      <c r="P5" s="1">
        <v>20317900000000</v>
      </c>
      <c r="Q5" s="1">
        <v>347682000</v>
      </c>
      <c r="R5" s="1">
        <v>0</v>
      </c>
      <c r="S5" s="1">
        <v>0</v>
      </c>
      <c r="T5" s="1">
        <v>2</v>
      </c>
      <c r="U5" s="1">
        <v>5626720000000</v>
      </c>
      <c r="V5" s="1">
        <v>4755890000000</v>
      </c>
      <c r="W5" s="1">
        <v>4743820000000</v>
      </c>
      <c r="X5" s="1">
        <v>4837870000000</v>
      </c>
      <c r="Y5" s="1">
        <v>353624000000</v>
      </c>
      <c r="AA5" s="8">
        <v>0.00296564</v>
      </c>
      <c r="AB5" s="1">
        <v>0.0036703</v>
      </c>
      <c r="AC5" s="1">
        <v>19918500000000</v>
      </c>
      <c r="AD5" s="1">
        <v>455728000</v>
      </c>
      <c r="AE5" s="1">
        <v>0</v>
      </c>
      <c r="AF5" s="1">
        <v>0</v>
      </c>
      <c r="AG5" s="1">
        <v>2</v>
      </c>
      <c r="AH5" s="1">
        <v>4916080000000</v>
      </c>
      <c r="AI5" s="1">
        <v>4924650000000</v>
      </c>
      <c r="AJ5" s="1">
        <v>4895420000000</v>
      </c>
      <c r="AK5" s="1">
        <v>4925550000000</v>
      </c>
      <c r="AL5" s="1">
        <v>256778000000</v>
      </c>
      <c r="AN5" s="1">
        <f t="shared" si="0"/>
        <v>0.00300973</v>
      </c>
      <c r="AO5" s="1">
        <f t="shared" si="1"/>
        <v>20121400000000</v>
      </c>
      <c r="AP5" s="1"/>
      <c r="AQ5" s="1"/>
      <c r="AR5" s="1">
        <f t="shared" si="2"/>
        <v>296158000000</v>
      </c>
      <c r="AS5" s="1">
        <f t="shared" si="3"/>
        <v>256778000000</v>
      </c>
      <c r="AT5" s="1">
        <f t="shared" si="4"/>
        <v>353624000000</v>
      </c>
    </row>
    <row r="6" spans="1:46">
      <c r="A6" s="8">
        <v>0.00397296</v>
      </c>
      <c r="B6" s="1">
        <v>0.00466147</v>
      </c>
      <c r="C6" s="1">
        <v>20131100000000</v>
      </c>
      <c r="D6" s="1">
        <v>203330000</v>
      </c>
      <c r="E6" s="1">
        <v>0</v>
      </c>
      <c r="F6" s="1">
        <v>0</v>
      </c>
      <c r="G6" s="1">
        <v>2</v>
      </c>
      <c r="H6" s="1">
        <v>5519180000000</v>
      </c>
      <c r="I6" s="1">
        <v>4779230000000</v>
      </c>
      <c r="J6" s="1">
        <v>4769870000000</v>
      </c>
      <c r="K6" s="1">
        <v>4781240000000</v>
      </c>
      <c r="L6" s="1">
        <v>281600000000</v>
      </c>
      <c r="N6" s="8">
        <v>0.00400961</v>
      </c>
      <c r="O6" s="1">
        <v>0.00468417</v>
      </c>
      <c r="P6" s="1">
        <v>19978400000000</v>
      </c>
      <c r="Q6" s="1">
        <v>293240000</v>
      </c>
      <c r="R6" s="1">
        <v>0</v>
      </c>
      <c r="S6" s="1">
        <v>0</v>
      </c>
      <c r="T6" s="1">
        <v>2</v>
      </c>
      <c r="U6" s="1">
        <v>5562910000000</v>
      </c>
      <c r="V6" s="1">
        <v>4739140000000</v>
      </c>
      <c r="W6" s="1">
        <v>4763170000000</v>
      </c>
      <c r="X6" s="1">
        <v>4742320000000</v>
      </c>
      <c r="Y6" s="1">
        <v>170876000000</v>
      </c>
      <c r="AA6" s="8">
        <v>0.00403862</v>
      </c>
      <c r="AB6" s="1">
        <v>0.00472037</v>
      </c>
      <c r="AC6" s="1">
        <v>19867100000000</v>
      </c>
      <c r="AD6" s="1">
        <v>137128000</v>
      </c>
      <c r="AE6" s="1">
        <v>0</v>
      </c>
      <c r="AF6" s="1">
        <v>0</v>
      </c>
      <c r="AG6" s="1">
        <v>2</v>
      </c>
      <c r="AH6" s="1">
        <v>4909120000000</v>
      </c>
      <c r="AI6" s="1">
        <v>4948910000000</v>
      </c>
      <c r="AJ6" s="1">
        <v>4908850000000</v>
      </c>
      <c r="AK6" s="1">
        <v>4899720000000</v>
      </c>
      <c r="AL6" s="1">
        <v>200513000000</v>
      </c>
      <c r="AN6" s="1">
        <f t="shared" ref="AN6:AN49" si="5">A6</f>
        <v>0.00397296</v>
      </c>
      <c r="AO6" s="1">
        <f t="shared" ref="AO6:AO49" si="6">AVERAGE(C6,P6,AC6)</f>
        <v>19992200000000</v>
      </c>
      <c r="AP6" s="1"/>
      <c r="AQ6" s="1"/>
      <c r="AR6" s="1">
        <f t="shared" ref="AR6:AR49" si="7">AVERAGE(L6,Y6,AL6)</f>
        <v>217663000000</v>
      </c>
      <c r="AS6" s="1">
        <f t="shared" ref="AS6:AS49" si="8">MIN(L6,Y6,AL6)</f>
        <v>170876000000</v>
      </c>
      <c r="AT6" s="1">
        <f t="shared" ref="AT6:AT49" si="9">MAX(L6,Y6,AL6)</f>
        <v>281600000000</v>
      </c>
    </row>
    <row r="7" spans="1:46">
      <c r="A7" s="8">
        <v>0.00501557</v>
      </c>
      <c r="B7" s="1">
        <v>0.00569725</v>
      </c>
      <c r="C7" s="1">
        <v>20150800000000</v>
      </c>
      <c r="D7" s="1">
        <v>62065200</v>
      </c>
      <c r="E7" s="1">
        <v>0</v>
      </c>
      <c r="F7" s="1">
        <v>0</v>
      </c>
      <c r="G7" s="1">
        <v>2</v>
      </c>
      <c r="H7" s="1">
        <v>5533380000000</v>
      </c>
      <c r="I7" s="1">
        <v>4763720000000</v>
      </c>
      <c r="J7" s="1">
        <v>4729770000000</v>
      </c>
      <c r="K7" s="1">
        <v>4783930000000</v>
      </c>
      <c r="L7" s="1">
        <v>339974000000</v>
      </c>
      <c r="N7" s="8">
        <v>0.00494308</v>
      </c>
      <c r="O7" s="1">
        <v>0.00562186</v>
      </c>
      <c r="P7" s="1">
        <v>20055800000000</v>
      </c>
      <c r="Q7" s="1">
        <v>146830000</v>
      </c>
      <c r="R7" s="1">
        <v>0</v>
      </c>
      <c r="S7" s="1">
        <v>0</v>
      </c>
      <c r="T7" s="1">
        <v>2</v>
      </c>
      <c r="U7" s="1">
        <v>5541760000000</v>
      </c>
      <c r="V7" s="1">
        <v>4763550000000</v>
      </c>
      <c r="W7" s="1">
        <v>4774080000000</v>
      </c>
      <c r="X7" s="1">
        <v>4743390000000</v>
      </c>
      <c r="Y7" s="1">
        <v>232995000000</v>
      </c>
      <c r="AA7" s="8">
        <v>0.00502587</v>
      </c>
      <c r="AB7" s="1">
        <v>0.00571096</v>
      </c>
      <c r="AC7" s="1">
        <v>19832000000000</v>
      </c>
      <c r="AD7" s="1">
        <v>446568000</v>
      </c>
      <c r="AE7" s="1">
        <v>0</v>
      </c>
      <c r="AF7" s="1">
        <v>0</v>
      </c>
      <c r="AG7" s="1">
        <v>2</v>
      </c>
      <c r="AH7" s="1">
        <v>4897420000000</v>
      </c>
      <c r="AI7" s="1">
        <v>4903320000000</v>
      </c>
      <c r="AJ7" s="1">
        <v>4900320000000</v>
      </c>
      <c r="AK7" s="1">
        <v>4905140000000</v>
      </c>
      <c r="AL7" s="1">
        <v>225759000000</v>
      </c>
      <c r="AN7" s="1">
        <f t="shared" si="5"/>
        <v>0.00501557</v>
      </c>
      <c r="AO7" s="1">
        <f t="shared" si="6"/>
        <v>20012866666666.7</v>
      </c>
      <c r="AP7" s="1"/>
      <c r="AQ7" s="1"/>
      <c r="AR7" s="1">
        <f t="shared" si="7"/>
        <v>266242666666.667</v>
      </c>
      <c r="AS7" s="1">
        <f t="shared" si="8"/>
        <v>225759000000</v>
      </c>
      <c r="AT7" s="1">
        <f t="shared" si="9"/>
        <v>339974000000</v>
      </c>
    </row>
    <row r="8" spans="1:46">
      <c r="A8" s="8">
        <v>0.00599917</v>
      </c>
      <c r="B8" s="1">
        <v>0.00669222</v>
      </c>
      <c r="C8" s="1">
        <v>20281100000000</v>
      </c>
      <c r="D8" s="1">
        <v>661115000</v>
      </c>
      <c r="E8" s="1">
        <v>0</v>
      </c>
      <c r="F8" s="1">
        <v>0</v>
      </c>
      <c r="G8" s="1">
        <v>2</v>
      </c>
      <c r="H8" s="1">
        <v>5535420000000</v>
      </c>
      <c r="I8" s="1">
        <v>4839210000000</v>
      </c>
      <c r="J8" s="1">
        <v>4774130000000</v>
      </c>
      <c r="K8" s="1">
        <v>4781870000000</v>
      </c>
      <c r="L8" s="1">
        <v>350477000000</v>
      </c>
      <c r="N8" s="8">
        <v>0.00597295</v>
      </c>
      <c r="O8" s="1">
        <v>0.00667944</v>
      </c>
      <c r="P8" s="1">
        <v>20251100000000</v>
      </c>
      <c r="Q8" s="1">
        <v>734975000</v>
      </c>
      <c r="R8" s="1">
        <v>0</v>
      </c>
      <c r="S8" s="1">
        <v>0</v>
      </c>
      <c r="T8" s="1">
        <v>2</v>
      </c>
      <c r="U8" s="1">
        <v>5538480000000</v>
      </c>
      <c r="V8" s="1">
        <v>4761100000000</v>
      </c>
      <c r="W8" s="1">
        <v>4821410000000</v>
      </c>
      <c r="X8" s="1">
        <v>4747840000000</v>
      </c>
      <c r="Y8" s="1">
        <v>382008000000</v>
      </c>
      <c r="AA8" s="8">
        <v>0.00598598</v>
      </c>
      <c r="AB8" s="1">
        <v>0.00667397</v>
      </c>
      <c r="AC8" s="1">
        <v>19906600000000</v>
      </c>
      <c r="AD8" s="1">
        <v>459041000</v>
      </c>
      <c r="AE8" s="1">
        <v>0</v>
      </c>
      <c r="AF8" s="1">
        <v>0</v>
      </c>
      <c r="AG8" s="1">
        <v>2</v>
      </c>
      <c r="AH8" s="1">
        <v>4902750000000</v>
      </c>
      <c r="AI8" s="1">
        <v>4946390000000</v>
      </c>
      <c r="AJ8" s="1">
        <v>4906150000000</v>
      </c>
      <c r="AK8" s="1">
        <v>4925050000000</v>
      </c>
      <c r="AL8" s="1">
        <v>226280000000</v>
      </c>
      <c r="AN8" s="1">
        <f t="shared" si="5"/>
        <v>0.00599917</v>
      </c>
      <c r="AO8" s="1">
        <f t="shared" si="6"/>
        <v>20146266666666.7</v>
      </c>
      <c r="AP8" s="1"/>
      <c r="AQ8" s="1"/>
      <c r="AR8" s="1">
        <f t="shared" si="7"/>
        <v>319588333333.333</v>
      </c>
      <c r="AS8" s="1">
        <f t="shared" si="8"/>
        <v>226280000000</v>
      </c>
      <c r="AT8" s="1">
        <f t="shared" si="9"/>
        <v>382008000000</v>
      </c>
    </row>
    <row r="9" spans="1:46">
      <c r="A9" s="8">
        <v>0.00700747</v>
      </c>
      <c r="B9" s="1">
        <v>0.00769206</v>
      </c>
      <c r="C9" s="1">
        <v>20039800000000</v>
      </c>
      <c r="D9" s="1">
        <v>527180000</v>
      </c>
      <c r="E9" s="1">
        <v>0</v>
      </c>
      <c r="F9" s="1">
        <v>0</v>
      </c>
      <c r="G9" s="1">
        <v>2</v>
      </c>
      <c r="H9" s="1">
        <v>5532370000000</v>
      </c>
      <c r="I9" s="1">
        <v>4754880000000</v>
      </c>
      <c r="J9" s="1">
        <v>4747270000000</v>
      </c>
      <c r="K9" s="1">
        <v>4758380000000</v>
      </c>
      <c r="L9" s="1">
        <v>246864000000</v>
      </c>
      <c r="N9" s="8">
        <v>0.0069798</v>
      </c>
      <c r="O9" s="1">
        <v>0.00767185</v>
      </c>
      <c r="P9" s="1">
        <v>20166900000000</v>
      </c>
      <c r="Q9" s="1">
        <v>603936000</v>
      </c>
      <c r="R9" s="1">
        <v>0</v>
      </c>
      <c r="S9" s="1">
        <v>0</v>
      </c>
      <c r="T9" s="1">
        <v>2</v>
      </c>
      <c r="U9" s="1">
        <v>5545520000000</v>
      </c>
      <c r="V9" s="1">
        <v>4779210000000</v>
      </c>
      <c r="W9" s="1">
        <v>4775080000000</v>
      </c>
      <c r="X9" s="1">
        <v>4768060000000</v>
      </c>
      <c r="Y9" s="1">
        <v>299021000000</v>
      </c>
      <c r="AA9" s="8">
        <v>0.00697691</v>
      </c>
      <c r="AB9" s="1">
        <v>0.00766925</v>
      </c>
      <c r="AC9" s="1">
        <v>19883700000000</v>
      </c>
      <c r="AD9" s="1">
        <v>399521000</v>
      </c>
      <c r="AE9" s="1">
        <v>0</v>
      </c>
      <c r="AF9" s="1">
        <v>0</v>
      </c>
      <c r="AG9" s="1">
        <v>2</v>
      </c>
      <c r="AH9" s="1">
        <v>4928600000000</v>
      </c>
      <c r="AI9" s="1">
        <v>4900550000000</v>
      </c>
      <c r="AJ9" s="1">
        <v>4908940000000</v>
      </c>
      <c r="AK9" s="1">
        <v>4922240000000</v>
      </c>
      <c r="AL9" s="1">
        <v>223406000000</v>
      </c>
      <c r="AN9" s="1">
        <f t="shared" si="5"/>
        <v>0.00700747</v>
      </c>
      <c r="AO9" s="1">
        <f t="shared" si="6"/>
        <v>20030133333333.3</v>
      </c>
      <c r="AP9" s="1"/>
      <c r="AQ9" s="1"/>
      <c r="AR9" s="1">
        <f t="shared" si="7"/>
        <v>256430333333.333</v>
      </c>
      <c r="AS9" s="1">
        <f t="shared" si="8"/>
        <v>223406000000</v>
      </c>
      <c r="AT9" s="1">
        <f t="shared" si="9"/>
        <v>299021000000</v>
      </c>
    </row>
    <row r="10" spans="1:46">
      <c r="A10" s="8">
        <v>0.00802983</v>
      </c>
      <c r="B10" s="1">
        <v>0.00871689</v>
      </c>
      <c r="C10" s="1">
        <v>20057000000000</v>
      </c>
      <c r="D10" s="1">
        <v>176238000</v>
      </c>
      <c r="E10" s="1">
        <v>0</v>
      </c>
      <c r="F10" s="1">
        <v>0</v>
      </c>
      <c r="G10" s="1">
        <v>2</v>
      </c>
      <c r="H10" s="1">
        <v>5560460000000</v>
      </c>
      <c r="I10" s="1">
        <v>4751900000000</v>
      </c>
      <c r="J10" s="1">
        <v>4761850000000</v>
      </c>
      <c r="K10" s="1">
        <v>4731920000000</v>
      </c>
      <c r="L10" s="1">
        <v>250834000000</v>
      </c>
      <c r="N10" s="8">
        <v>0.00802353</v>
      </c>
      <c r="O10" s="1">
        <v>0.00870777</v>
      </c>
      <c r="P10" s="1">
        <v>20028400000000</v>
      </c>
      <c r="Q10" s="1">
        <v>168618000</v>
      </c>
      <c r="R10" s="1">
        <v>0</v>
      </c>
      <c r="S10" s="1">
        <v>0</v>
      </c>
      <c r="T10" s="1">
        <v>2</v>
      </c>
      <c r="U10" s="1">
        <v>5546540000000</v>
      </c>
      <c r="V10" s="1">
        <v>4743930000000</v>
      </c>
      <c r="W10" s="1">
        <v>4755010000000</v>
      </c>
      <c r="X10" s="1">
        <v>4747660000000</v>
      </c>
      <c r="Y10" s="1">
        <v>235248000000</v>
      </c>
      <c r="AA10" s="8">
        <v>0.0079513</v>
      </c>
      <c r="AB10" s="1">
        <v>0.00864413</v>
      </c>
      <c r="AC10" s="1">
        <v>19983800000000</v>
      </c>
      <c r="AD10" s="1">
        <v>126266000</v>
      </c>
      <c r="AE10" s="1">
        <v>0</v>
      </c>
      <c r="AF10" s="1">
        <v>0</v>
      </c>
      <c r="AG10" s="1">
        <v>2</v>
      </c>
      <c r="AH10" s="1">
        <v>4928640000000</v>
      </c>
      <c r="AI10" s="1">
        <v>4934100000000</v>
      </c>
      <c r="AJ10" s="1">
        <v>4897310000000</v>
      </c>
      <c r="AK10" s="1">
        <v>4915810000000</v>
      </c>
      <c r="AL10" s="1">
        <v>307952000000</v>
      </c>
      <c r="AN10" s="1">
        <f t="shared" si="5"/>
        <v>0.00802983</v>
      </c>
      <c r="AO10" s="1">
        <f t="shared" si="6"/>
        <v>20023066666666.7</v>
      </c>
      <c r="AP10" s="1"/>
      <c r="AQ10" s="1"/>
      <c r="AR10" s="1">
        <f t="shared" si="7"/>
        <v>264678000000</v>
      </c>
      <c r="AS10" s="1">
        <f t="shared" si="8"/>
        <v>235248000000</v>
      </c>
      <c r="AT10" s="1">
        <f t="shared" si="9"/>
        <v>307952000000</v>
      </c>
    </row>
    <row r="11" spans="1:46">
      <c r="A11" s="8">
        <v>0.0090006</v>
      </c>
      <c r="B11" s="1">
        <v>0.00969145</v>
      </c>
      <c r="C11" s="1">
        <v>20118500000000</v>
      </c>
      <c r="D11" s="1">
        <v>329515000</v>
      </c>
      <c r="E11" s="1">
        <v>0</v>
      </c>
      <c r="F11" s="1">
        <v>0</v>
      </c>
      <c r="G11" s="1">
        <v>2</v>
      </c>
      <c r="H11" s="1">
        <v>5555690000000</v>
      </c>
      <c r="I11" s="1">
        <v>4743380000000</v>
      </c>
      <c r="J11" s="1">
        <v>4747990000000</v>
      </c>
      <c r="K11" s="1">
        <v>4766510000000</v>
      </c>
      <c r="L11" s="1">
        <v>304819000000</v>
      </c>
      <c r="N11" s="8">
        <v>0.00899122</v>
      </c>
      <c r="O11" s="1">
        <v>0.00967278</v>
      </c>
      <c r="P11" s="1">
        <v>20021300000000</v>
      </c>
      <c r="Q11" s="1">
        <v>63488400</v>
      </c>
      <c r="R11" s="1">
        <v>0</v>
      </c>
      <c r="S11" s="1">
        <v>0</v>
      </c>
      <c r="T11" s="1">
        <v>2</v>
      </c>
      <c r="U11" s="1">
        <v>5551110000000</v>
      </c>
      <c r="V11" s="1">
        <v>4753140000000</v>
      </c>
      <c r="W11" s="1">
        <v>4750220000000</v>
      </c>
      <c r="X11" s="1">
        <v>4756050000000</v>
      </c>
      <c r="Y11" s="1">
        <v>210771000000</v>
      </c>
      <c r="AA11" s="8">
        <v>0.00901626</v>
      </c>
      <c r="AB11" s="1">
        <v>0.00970513</v>
      </c>
      <c r="AC11" s="1">
        <v>19916400000000</v>
      </c>
      <c r="AD11" s="1">
        <v>144024000</v>
      </c>
      <c r="AE11" s="1">
        <v>0</v>
      </c>
      <c r="AF11" s="1">
        <v>0</v>
      </c>
      <c r="AG11" s="1">
        <v>2</v>
      </c>
      <c r="AH11" s="1">
        <v>4927970000000</v>
      </c>
      <c r="AI11" s="1">
        <v>4901840000000</v>
      </c>
      <c r="AJ11" s="1">
        <v>4917480000000</v>
      </c>
      <c r="AK11" s="1">
        <v>4909240000000</v>
      </c>
      <c r="AL11" s="1">
        <v>259872000000</v>
      </c>
      <c r="AN11" s="1">
        <f t="shared" si="5"/>
        <v>0.0090006</v>
      </c>
      <c r="AO11" s="1">
        <f t="shared" si="6"/>
        <v>20018733333333.3</v>
      </c>
      <c r="AP11" s="1"/>
      <c r="AQ11" s="1"/>
      <c r="AR11" s="1">
        <f t="shared" si="7"/>
        <v>258487333333.333</v>
      </c>
      <c r="AS11" s="1">
        <f t="shared" si="8"/>
        <v>210771000000</v>
      </c>
      <c r="AT11" s="1">
        <f t="shared" si="9"/>
        <v>304819000000</v>
      </c>
    </row>
    <row r="12" spans="1:46">
      <c r="A12" s="8">
        <v>0.0100111</v>
      </c>
      <c r="B12" s="1">
        <v>0.0107004</v>
      </c>
      <c r="C12" s="1">
        <v>20101300000000</v>
      </c>
      <c r="D12" s="1">
        <v>705282000</v>
      </c>
      <c r="E12" s="1">
        <v>0</v>
      </c>
      <c r="F12" s="1">
        <v>0</v>
      </c>
      <c r="G12" s="1">
        <v>2</v>
      </c>
      <c r="H12" s="1">
        <v>5553260000000</v>
      </c>
      <c r="I12" s="1">
        <v>4749260000000</v>
      </c>
      <c r="J12" s="1">
        <v>4754560000000</v>
      </c>
      <c r="K12" s="1">
        <v>4744840000000</v>
      </c>
      <c r="L12" s="1">
        <v>299350000000</v>
      </c>
      <c r="N12" s="8">
        <v>0.0100051</v>
      </c>
      <c r="O12" s="1">
        <v>0.0106971</v>
      </c>
      <c r="P12" s="1">
        <v>20091800000000</v>
      </c>
      <c r="Q12" s="1">
        <v>269038000</v>
      </c>
      <c r="R12" s="1">
        <v>0</v>
      </c>
      <c r="S12" s="1">
        <v>0</v>
      </c>
      <c r="T12" s="1">
        <v>2</v>
      </c>
      <c r="U12" s="1">
        <v>5568160000000</v>
      </c>
      <c r="V12" s="1">
        <v>4753650000000</v>
      </c>
      <c r="W12" s="1">
        <v>4718850000000</v>
      </c>
      <c r="X12" s="1">
        <v>4763370000000</v>
      </c>
      <c r="Y12" s="1">
        <v>287795000000</v>
      </c>
      <c r="AA12" s="8">
        <v>0.0100257</v>
      </c>
      <c r="AB12" s="1">
        <v>0.0107028</v>
      </c>
      <c r="AC12" s="1">
        <v>19892400000000</v>
      </c>
      <c r="AD12" s="1">
        <v>192442000</v>
      </c>
      <c r="AE12" s="1">
        <v>0</v>
      </c>
      <c r="AF12" s="1">
        <v>0</v>
      </c>
      <c r="AG12" s="1">
        <v>2</v>
      </c>
      <c r="AH12" s="1">
        <v>4955430000000</v>
      </c>
      <c r="AI12" s="1">
        <v>4897500000000</v>
      </c>
      <c r="AJ12" s="1">
        <v>4918100000000</v>
      </c>
      <c r="AK12" s="1">
        <v>4872020000000</v>
      </c>
      <c r="AL12" s="1">
        <v>249349000000</v>
      </c>
      <c r="AN12" s="1">
        <f t="shared" si="5"/>
        <v>0.0100111</v>
      </c>
      <c r="AO12" s="1">
        <f t="shared" si="6"/>
        <v>20028500000000</v>
      </c>
      <c r="AP12" s="1"/>
      <c r="AQ12" s="1"/>
      <c r="AR12" s="1">
        <f t="shared" si="7"/>
        <v>278831333333.333</v>
      </c>
      <c r="AS12" s="1">
        <f t="shared" si="8"/>
        <v>249349000000</v>
      </c>
      <c r="AT12" s="1">
        <f t="shared" si="9"/>
        <v>299350000000</v>
      </c>
    </row>
    <row r="13" spans="1:46">
      <c r="A13" s="8">
        <v>0.0109899</v>
      </c>
      <c r="B13" s="1">
        <v>0.0116699</v>
      </c>
      <c r="C13" s="1">
        <v>20030000000000</v>
      </c>
      <c r="D13" s="1">
        <v>405510000</v>
      </c>
      <c r="E13" s="1">
        <v>0</v>
      </c>
      <c r="F13" s="1">
        <v>0</v>
      </c>
      <c r="G13" s="1">
        <v>2</v>
      </c>
      <c r="H13" s="1">
        <v>5545840000000</v>
      </c>
      <c r="I13" s="1">
        <v>4755100000000</v>
      </c>
      <c r="J13" s="1">
        <v>4774720000000</v>
      </c>
      <c r="K13" s="1">
        <v>4746850000000</v>
      </c>
      <c r="L13" s="1">
        <v>207454000000</v>
      </c>
      <c r="N13" s="8">
        <v>0.0109804</v>
      </c>
      <c r="O13" s="1">
        <v>0.0116487</v>
      </c>
      <c r="P13" s="1">
        <v>20091500000000</v>
      </c>
      <c r="Q13" s="1">
        <v>589334000</v>
      </c>
      <c r="R13" s="1">
        <v>0</v>
      </c>
      <c r="S13" s="1">
        <v>0</v>
      </c>
      <c r="T13" s="1">
        <v>2</v>
      </c>
      <c r="U13" s="1">
        <v>5571410000000</v>
      </c>
      <c r="V13" s="1">
        <v>4769420000000</v>
      </c>
      <c r="W13" s="1">
        <v>4772800000000</v>
      </c>
      <c r="X13" s="1">
        <v>4728620000000</v>
      </c>
      <c r="Y13" s="1">
        <v>249284000000</v>
      </c>
      <c r="AA13" s="8">
        <v>0.0110172</v>
      </c>
      <c r="AB13" s="1">
        <v>0.0116966</v>
      </c>
      <c r="AC13" s="1">
        <v>19873400000000</v>
      </c>
      <c r="AD13" s="1">
        <v>219743000</v>
      </c>
      <c r="AE13" s="1">
        <v>0</v>
      </c>
      <c r="AF13" s="1">
        <v>0</v>
      </c>
      <c r="AG13" s="1">
        <v>2</v>
      </c>
      <c r="AH13" s="1">
        <v>4917100000000</v>
      </c>
      <c r="AI13" s="1">
        <v>4909180000000</v>
      </c>
      <c r="AJ13" s="1">
        <v>4913510000000</v>
      </c>
      <c r="AK13" s="1">
        <v>4916870000000</v>
      </c>
      <c r="AL13" s="1">
        <v>216700000000</v>
      </c>
      <c r="AN13" s="1">
        <f t="shared" si="5"/>
        <v>0.0109899</v>
      </c>
      <c r="AO13" s="1">
        <f t="shared" si="6"/>
        <v>19998300000000</v>
      </c>
      <c r="AP13" s="1"/>
      <c r="AQ13" s="1"/>
      <c r="AR13" s="1">
        <f t="shared" si="7"/>
        <v>224479333333.333</v>
      </c>
      <c r="AS13" s="1">
        <f t="shared" si="8"/>
        <v>207454000000</v>
      </c>
      <c r="AT13" s="1">
        <f t="shared" si="9"/>
        <v>249284000000</v>
      </c>
    </row>
    <row r="14" spans="1:46">
      <c r="A14" s="8">
        <v>0.0120068</v>
      </c>
      <c r="B14" s="1">
        <v>0.0126814</v>
      </c>
      <c r="C14" s="1">
        <v>19999100000000</v>
      </c>
      <c r="D14" s="1">
        <v>110459000</v>
      </c>
      <c r="E14" s="1">
        <v>0</v>
      </c>
      <c r="F14" s="1">
        <v>0</v>
      </c>
      <c r="G14" s="1">
        <v>2</v>
      </c>
      <c r="H14" s="1">
        <v>5543630000000</v>
      </c>
      <c r="I14" s="1">
        <v>4752190000000</v>
      </c>
      <c r="J14" s="1">
        <v>4743590000000</v>
      </c>
      <c r="K14" s="1">
        <v>4743660000000</v>
      </c>
      <c r="L14" s="1">
        <v>216015000000</v>
      </c>
      <c r="N14" s="8">
        <v>0.0119974</v>
      </c>
      <c r="O14" s="1">
        <v>0.0126742</v>
      </c>
      <c r="P14" s="1">
        <v>20074900000000</v>
      </c>
      <c r="Q14" s="1">
        <v>372098000</v>
      </c>
      <c r="R14" s="1">
        <v>0</v>
      </c>
      <c r="S14" s="1">
        <v>0</v>
      </c>
      <c r="T14" s="1">
        <v>2</v>
      </c>
      <c r="U14" s="1">
        <v>5548900000000</v>
      </c>
      <c r="V14" s="1">
        <v>4795570000000</v>
      </c>
      <c r="W14" s="1">
        <v>4703030000000</v>
      </c>
      <c r="X14" s="1">
        <v>4767050000000</v>
      </c>
      <c r="Y14" s="1">
        <v>260358000000</v>
      </c>
      <c r="AA14" s="8">
        <v>0.0119765</v>
      </c>
      <c r="AB14" s="1">
        <v>0.0126643</v>
      </c>
      <c r="AC14" s="1">
        <v>19923900000000</v>
      </c>
      <c r="AD14" s="1">
        <v>358695000</v>
      </c>
      <c r="AE14" s="1">
        <v>0</v>
      </c>
      <c r="AF14" s="1">
        <v>0</v>
      </c>
      <c r="AG14" s="1">
        <v>2</v>
      </c>
      <c r="AH14" s="1">
        <v>4913810000000</v>
      </c>
      <c r="AI14" s="1">
        <v>4932760000000</v>
      </c>
      <c r="AJ14" s="1">
        <v>4909010000000</v>
      </c>
      <c r="AK14" s="1">
        <v>4908640000000</v>
      </c>
      <c r="AL14" s="1">
        <v>259682000000</v>
      </c>
      <c r="AN14" s="1">
        <f t="shared" si="5"/>
        <v>0.0120068</v>
      </c>
      <c r="AO14" s="1">
        <f t="shared" si="6"/>
        <v>19999300000000</v>
      </c>
      <c r="AP14" s="1"/>
      <c r="AQ14" s="1"/>
      <c r="AR14" s="1">
        <f t="shared" si="7"/>
        <v>245351666666.667</v>
      </c>
      <c r="AS14" s="1">
        <f t="shared" si="8"/>
        <v>216015000000</v>
      </c>
      <c r="AT14" s="1">
        <f t="shared" si="9"/>
        <v>260358000000</v>
      </c>
    </row>
    <row r="15" spans="1:46">
      <c r="A15" s="8">
        <v>0.0129769</v>
      </c>
      <c r="B15" s="1">
        <v>0.0136563</v>
      </c>
      <c r="C15" s="1">
        <v>20053900000000</v>
      </c>
      <c r="D15" s="1">
        <v>82021700</v>
      </c>
      <c r="E15" s="1">
        <v>0</v>
      </c>
      <c r="F15" s="1">
        <v>0</v>
      </c>
      <c r="G15" s="1">
        <v>2</v>
      </c>
      <c r="H15" s="1">
        <v>5528850000000</v>
      </c>
      <c r="I15" s="1">
        <v>4752180000000</v>
      </c>
      <c r="J15" s="1">
        <v>4761890000000</v>
      </c>
      <c r="K15" s="1">
        <v>4772810000000</v>
      </c>
      <c r="L15" s="1">
        <v>238209000000</v>
      </c>
      <c r="N15" s="8">
        <v>0.0129288</v>
      </c>
      <c r="O15" s="1">
        <v>0.0136184</v>
      </c>
      <c r="P15" s="1">
        <v>20106000000000</v>
      </c>
      <c r="Q15" s="1">
        <v>305884000</v>
      </c>
      <c r="R15" s="1">
        <v>0</v>
      </c>
      <c r="S15" s="1">
        <v>0</v>
      </c>
      <c r="T15" s="1">
        <v>2</v>
      </c>
      <c r="U15" s="1">
        <v>5566030000000</v>
      </c>
      <c r="V15" s="1">
        <v>4783710000000</v>
      </c>
      <c r="W15" s="1">
        <v>4743810000000</v>
      </c>
      <c r="X15" s="1">
        <v>4755260000000</v>
      </c>
      <c r="Y15" s="1">
        <v>257224000000</v>
      </c>
      <c r="AA15" s="8">
        <v>0.0129495</v>
      </c>
      <c r="AB15" s="1">
        <v>0.0136401</v>
      </c>
      <c r="AC15" s="1">
        <v>19901600000000</v>
      </c>
      <c r="AD15" s="1">
        <v>331977000</v>
      </c>
      <c r="AE15" s="1">
        <v>0</v>
      </c>
      <c r="AF15" s="1">
        <v>0</v>
      </c>
      <c r="AG15" s="1">
        <v>2</v>
      </c>
      <c r="AH15" s="1">
        <v>4918690000000</v>
      </c>
      <c r="AI15" s="1">
        <v>4933480000000</v>
      </c>
      <c r="AJ15" s="1">
        <v>4898150000000</v>
      </c>
      <c r="AK15" s="1">
        <v>4925060000000</v>
      </c>
      <c r="AL15" s="1">
        <v>226238000000</v>
      </c>
      <c r="AN15" s="1">
        <f t="shared" si="5"/>
        <v>0.0129769</v>
      </c>
      <c r="AO15" s="1">
        <f t="shared" si="6"/>
        <v>20020500000000</v>
      </c>
      <c r="AP15" s="1"/>
      <c r="AQ15" s="1"/>
      <c r="AR15" s="1">
        <f t="shared" si="7"/>
        <v>240557000000</v>
      </c>
      <c r="AS15" s="1">
        <f t="shared" si="8"/>
        <v>226238000000</v>
      </c>
      <c r="AT15" s="1">
        <f t="shared" si="9"/>
        <v>257224000000</v>
      </c>
    </row>
    <row r="16" spans="1:46">
      <c r="A16" s="8">
        <v>0.01399</v>
      </c>
      <c r="B16" s="1">
        <v>0.0146727</v>
      </c>
      <c r="C16" s="1">
        <v>20078200000000</v>
      </c>
      <c r="D16" s="1">
        <v>595963000</v>
      </c>
      <c r="E16" s="1">
        <v>0</v>
      </c>
      <c r="F16" s="1">
        <v>0</v>
      </c>
      <c r="G16" s="1">
        <v>2</v>
      </c>
      <c r="H16" s="1">
        <v>5548370000000</v>
      </c>
      <c r="I16" s="1">
        <v>4760720000000</v>
      </c>
      <c r="J16" s="1">
        <v>4751520000000</v>
      </c>
      <c r="K16" s="1">
        <v>4780540000000</v>
      </c>
      <c r="L16" s="1">
        <v>237009000000</v>
      </c>
      <c r="N16" s="8">
        <v>0.0139889</v>
      </c>
      <c r="O16" s="1">
        <v>0.0146759</v>
      </c>
      <c r="P16" s="1">
        <v>20119000000000</v>
      </c>
      <c r="Q16" s="1">
        <v>325509000</v>
      </c>
      <c r="R16" s="1">
        <v>0</v>
      </c>
      <c r="S16" s="1">
        <v>0</v>
      </c>
      <c r="T16" s="1">
        <v>2</v>
      </c>
      <c r="U16" s="1">
        <v>5533200000000</v>
      </c>
      <c r="V16" s="1">
        <v>4752290000000</v>
      </c>
      <c r="W16" s="1">
        <v>4793110000000</v>
      </c>
      <c r="X16" s="1">
        <v>4737440000000</v>
      </c>
      <c r="Y16" s="1">
        <v>302921000000</v>
      </c>
      <c r="AA16" s="8">
        <v>0.0139916</v>
      </c>
      <c r="AB16" s="1">
        <v>0.0146697</v>
      </c>
      <c r="AC16" s="1">
        <v>19856800000000</v>
      </c>
      <c r="AD16" s="1">
        <v>480177000</v>
      </c>
      <c r="AE16" s="1">
        <v>0</v>
      </c>
      <c r="AF16" s="1">
        <v>0</v>
      </c>
      <c r="AG16" s="1">
        <v>2</v>
      </c>
      <c r="AH16" s="1">
        <v>4911080000000</v>
      </c>
      <c r="AI16" s="1">
        <v>4903620000000</v>
      </c>
      <c r="AJ16" s="1">
        <v>4895550000000</v>
      </c>
      <c r="AK16" s="1">
        <v>4916700000000</v>
      </c>
      <c r="AL16" s="1">
        <v>229901000000</v>
      </c>
      <c r="AN16" s="1">
        <f t="shared" si="5"/>
        <v>0.01399</v>
      </c>
      <c r="AO16" s="1">
        <f t="shared" si="6"/>
        <v>20018000000000</v>
      </c>
      <c r="AP16" s="1"/>
      <c r="AQ16" s="1"/>
      <c r="AR16" s="1">
        <f t="shared" si="7"/>
        <v>256610333333.333</v>
      </c>
      <c r="AS16" s="1">
        <f t="shared" si="8"/>
        <v>229901000000</v>
      </c>
      <c r="AT16" s="1">
        <f t="shared" si="9"/>
        <v>302921000000</v>
      </c>
    </row>
    <row r="17" spans="1:46">
      <c r="A17" s="8">
        <v>0.0150222</v>
      </c>
      <c r="B17" s="1">
        <v>0.0157074</v>
      </c>
      <c r="C17" s="1">
        <v>20148700000000</v>
      </c>
      <c r="D17" s="1">
        <v>193364000</v>
      </c>
      <c r="E17" s="1">
        <v>0</v>
      </c>
      <c r="F17" s="1">
        <v>0</v>
      </c>
      <c r="G17" s="1">
        <v>2</v>
      </c>
      <c r="H17" s="1">
        <v>5560240000000</v>
      </c>
      <c r="I17" s="1">
        <v>4769080000000</v>
      </c>
      <c r="J17" s="1">
        <v>4760890000000</v>
      </c>
      <c r="K17" s="1">
        <v>4774740000000</v>
      </c>
      <c r="L17" s="1">
        <v>283758000000</v>
      </c>
      <c r="N17" s="8">
        <v>0.0150401</v>
      </c>
      <c r="O17" s="1">
        <v>0.0157252</v>
      </c>
      <c r="P17" s="1">
        <v>20039000000000</v>
      </c>
      <c r="Q17" s="1">
        <v>281925000</v>
      </c>
      <c r="R17" s="1">
        <v>0</v>
      </c>
      <c r="S17" s="1">
        <v>0</v>
      </c>
      <c r="T17" s="1">
        <v>2</v>
      </c>
      <c r="U17" s="1">
        <v>5525520000000</v>
      </c>
      <c r="V17" s="1">
        <v>4738530000000</v>
      </c>
      <c r="W17" s="1">
        <v>4766220000000</v>
      </c>
      <c r="X17" s="1">
        <v>4758480000000</v>
      </c>
      <c r="Y17" s="1">
        <v>250283000000</v>
      </c>
      <c r="AA17" s="8">
        <v>0.0149879</v>
      </c>
      <c r="AB17" s="1">
        <v>0.0156736</v>
      </c>
      <c r="AC17" s="1">
        <v>19913400000000</v>
      </c>
      <c r="AD17" s="1">
        <v>312770000</v>
      </c>
      <c r="AE17" s="1">
        <v>0</v>
      </c>
      <c r="AF17" s="1">
        <v>0</v>
      </c>
      <c r="AG17" s="1">
        <v>2</v>
      </c>
      <c r="AH17" s="1">
        <v>4907690000000</v>
      </c>
      <c r="AI17" s="1">
        <v>4930900000000</v>
      </c>
      <c r="AJ17" s="1">
        <v>4925830000000</v>
      </c>
      <c r="AK17" s="1">
        <v>4912020000000</v>
      </c>
      <c r="AL17" s="1">
        <v>237003000000</v>
      </c>
      <c r="AN17" s="1">
        <f t="shared" si="5"/>
        <v>0.0150222</v>
      </c>
      <c r="AO17" s="1">
        <f t="shared" si="6"/>
        <v>20033700000000</v>
      </c>
      <c r="AP17" s="1"/>
      <c r="AQ17" s="1"/>
      <c r="AR17" s="1">
        <f t="shared" si="7"/>
        <v>257014666666.667</v>
      </c>
      <c r="AS17" s="1">
        <f t="shared" si="8"/>
        <v>237003000000</v>
      </c>
      <c r="AT17" s="1">
        <f t="shared" si="9"/>
        <v>283758000000</v>
      </c>
    </row>
    <row r="18" spans="1:46">
      <c r="A18" s="8">
        <v>0.0159929</v>
      </c>
      <c r="B18" s="1">
        <v>0.016682</v>
      </c>
      <c r="C18" s="1">
        <v>20130100000000</v>
      </c>
      <c r="D18" s="1">
        <v>347751000</v>
      </c>
      <c r="E18" s="1">
        <v>0</v>
      </c>
      <c r="F18" s="1">
        <v>0</v>
      </c>
      <c r="G18" s="1">
        <v>2</v>
      </c>
      <c r="H18" s="1">
        <v>5536580000000</v>
      </c>
      <c r="I18" s="1">
        <v>4752340000000</v>
      </c>
      <c r="J18" s="1">
        <v>4790230000000</v>
      </c>
      <c r="K18" s="1">
        <v>4764570000000</v>
      </c>
      <c r="L18" s="1">
        <v>286355000000</v>
      </c>
      <c r="N18" s="8">
        <v>0.0159689</v>
      </c>
      <c r="O18" s="1">
        <v>0.0166714</v>
      </c>
      <c r="P18" s="1">
        <v>20073000000000</v>
      </c>
      <c r="Q18" s="1">
        <v>201311000</v>
      </c>
      <c r="R18" s="1">
        <v>0</v>
      </c>
      <c r="S18" s="1">
        <v>0</v>
      </c>
      <c r="T18" s="1">
        <v>2</v>
      </c>
      <c r="U18" s="1">
        <v>5568860000000</v>
      </c>
      <c r="V18" s="1">
        <v>4765230000000</v>
      </c>
      <c r="W18" s="1">
        <v>4765890000000</v>
      </c>
      <c r="X18" s="1">
        <v>4733930000000</v>
      </c>
      <c r="Y18" s="1">
        <v>239140000000</v>
      </c>
      <c r="AA18" s="8">
        <v>0.0160247</v>
      </c>
      <c r="AB18" s="1">
        <v>0.0167122</v>
      </c>
      <c r="AC18" s="1">
        <v>20045700000000</v>
      </c>
      <c r="AD18" s="1">
        <v>468783000</v>
      </c>
      <c r="AE18" s="1">
        <v>0</v>
      </c>
      <c r="AF18" s="1">
        <v>0</v>
      </c>
      <c r="AG18" s="1">
        <v>2</v>
      </c>
      <c r="AH18" s="1">
        <v>4879680000000</v>
      </c>
      <c r="AI18" s="1">
        <v>4912730000000</v>
      </c>
      <c r="AJ18" s="1">
        <v>4963440000000</v>
      </c>
      <c r="AK18" s="1">
        <v>4973640000000</v>
      </c>
      <c r="AL18" s="1">
        <v>316227000000</v>
      </c>
      <c r="AN18" s="1">
        <f t="shared" si="5"/>
        <v>0.0159929</v>
      </c>
      <c r="AO18" s="1">
        <f t="shared" si="6"/>
        <v>20082933333333.3</v>
      </c>
      <c r="AP18" s="1"/>
      <c r="AQ18" s="1"/>
      <c r="AR18" s="1">
        <f t="shared" si="7"/>
        <v>280574000000</v>
      </c>
      <c r="AS18" s="1">
        <f t="shared" si="8"/>
        <v>239140000000</v>
      </c>
      <c r="AT18" s="1">
        <f t="shared" si="9"/>
        <v>316227000000</v>
      </c>
    </row>
    <row r="19" spans="1:46">
      <c r="A19" s="8">
        <v>0.0169648</v>
      </c>
      <c r="B19" s="1">
        <v>0.0176308</v>
      </c>
      <c r="C19" s="1">
        <v>20049600000000</v>
      </c>
      <c r="D19" s="1">
        <v>159546000</v>
      </c>
      <c r="E19" s="1">
        <v>0</v>
      </c>
      <c r="F19" s="1">
        <v>0</v>
      </c>
      <c r="G19" s="1">
        <v>2</v>
      </c>
      <c r="H19" s="1">
        <v>5555220000000</v>
      </c>
      <c r="I19" s="1">
        <v>4747850000000</v>
      </c>
      <c r="J19" s="1">
        <v>4790610000000</v>
      </c>
      <c r="K19" s="1">
        <v>4745140000000</v>
      </c>
      <c r="L19" s="1">
        <v>210815000000</v>
      </c>
      <c r="N19" s="8">
        <v>0.017014</v>
      </c>
      <c r="O19" s="1">
        <v>0.0176812</v>
      </c>
      <c r="P19" s="1">
        <v>19964800000000</v>
      </c>
      <c r="Q19" s="1">
        <v>212029000</v>
      </c>
      <c r="R19" s="1">
        <v>0</v>
      </c>
      <c r="S19" s="1">
        <v>0</v>
      </c>
      <c r="T19" s="1">
        <v>2</v>
      </c>
      <c r="U19" s="1">
        <v>5542550000000</v>
      </c>
      <c r="V19" s="1">
        <v>4751760000000</v>
      </c>
      <c r="W19" s="1">
        <v>4746160000000</v>
      </c>
      <c r="X19" s="1">
        <v>4747030000000</v>
      </c>
      <c r="Y19" s="1">
        <v>177343000000</v>
      </c>
      <c r="AA19" s="8">
        <v>0.0169954</v>
      </c>
      <c r="AB19" s="1">
        <v>0.0177068</v>
      </c>
      <c r="AC19" s="1">
        <v>20324700000000</v>
      </c>
      <c r="AD19" s="1">
        <v>425250000</v>
      </c>
      <c r="AE19" s="1">
        <v>0</v>
      </c>
      <c r="AF19" s="1">
        <v>0</v>
      </c>
      <c r="AG19" s="1">
        <v>2</v>
      </c>
      <c r="AH19" s="1">
        <v>4983400000000</v>
      </c>
      <c r="AI19" s="1">
        <v>4973710000000</v>
      </c>
      <c r="AJ19" s="1">
        <v>5095860000000</v>
      </c>
      <c r="AK19" s="1">
        <v>4885940000000</v>
      </c>
      <c r="AL19" s="1">
        <v>385786000000</v>
      </c>
      <c r="AN19" s="1">
        <f t="shared" si="5"/>
        <v>0.0169648</v>
      </c>
      <c r="AO19" s="1">
        <f t="shared" si="6"/>
        <v>20113033333333.3</v>
      </c>
      <c r="AP19" s="1"/>
      <c r="AQ19" s="1"/>
      <c r="AR19" s="1">
        <f t="shared" si="7"/>
        <v>257981333333.333</v>
      </c>
      <c r="AS19" s="1">
        <f t="shared" si="8"/>
        <v>177343000000</v>
      </c>
      <c r="AT19" s="1">
        <f t="shared" si="9"/>
        <v>385786000000</v>
      </c>
    </row>
    <row r="20" spans="1:46">
      <c r="A20" s="8">
        <v>0.0179968</v>
      </c>
      <c r="B20" s="1">
        <v>0.0186863</v>
      </c>
      <c r="C20" s="1">
        <v>20115200000000</v>
      </c>
      <c r="D20" s="1">
        <v>384953000</v>
      </c>
      <c r="E20" s="1">
        <v>0</v>
      </c>
      <c r="F20" s="1">
        <v>0</v>
      </c>
      <c r="G20" s="1">
        <v>2</v>
      </c>
      <c r="H20" s="1">
        <v>5546860000000</v>
      </c>
      <c r="I20" s="1">
        <v>4731220000000</v>
      </c>
      <c r="J20" s="1">
        <v>4801100000000</v>
      </c>
      <c r="K20" s="1">
        <v>4745980000000</v>
      </c>
      <c r="L20" s="1">
        <v>290025000000</v>
      </c>
      <c r="N20" s="8">
        <v>0.0180288</v>
      </c>
      <c r="O20" s="1">
        <v>0.0187051</v>
      </c>
      <c r="P20" s="1">
        <v>20004000000000</v>
      </c>
      <c r="Q20" s="1">
        <v>228069000</v>
      </c>
      <c r="R20" s="1">
        <v>0</v>
      </c>
      <c r="S20" s="1">
        <v>0</v>
      </c>
      <c r="T20" s="1">
        <v>2</v>
      </c>
      <c r="U20" s="1">
        <v>5526690000000</v>
      </c>
      <c r="V20" s="1">
        <v>4731840000000</v>
      </c>
      <c r="W20" s="1">
        <v>4742540000000</v>
      </c>
      <c r="X20" s="1">
        <v>4743380000000</v>
      </c>
      <c r="Y20" s="1">
        <v>259531000000</v>
      </c>
      <c r="AA20" s="8">
        <v>0.0180174</v>
      </c>
      <c r="AB20" s="1">
        <v>0.0187351</v>
      </c>
      <c r="AC20" s="1">
        <v>20282800000000</v>
      </c>
      <c r="AD20" s="1">
        <v>558881000</v>
      </c>
      <c r="AE20" s="1">
        <v>0</v>
      </c>
      <c r="AF20" s="1">
        <v>0</v>
      </c>
      <c r="AG20" s="1">
        <v>2</v>
      </c>
      <c r="AH20" s="1">
        <v>5071370000000</v>
      </c>
      <c r="AI20" s="1">
        <v>4987710000000</v>
      </c>
      <c r="AJ20" s="1">
        <v>4890080000000</v>
      </c>
      <c r="AK20" s="1">
        <v>4870550000000</v>
      </c>
      <c r="AL20" s="1">
        <v>463109000000</v>
      </c>
      <c r="AN20" s="1">
        <f t="shared" si="5"/>
        <v>0.0179968</v>
      </c>
      <c r="AO20" s="1">
        <f t="shared" si="6"/>
        <v>20134000000000</v>
      </c>
      <c r="AP20" s="1"/>
      <c r="AQ20" s="1"/>
      <c r="AR20" s="1">
        <f t="shared" si="7"/>
        <v>337555000000</v>
      </c>
      <c r="AS20" s="1">
        <f t="shared" si="8"/>
        <v>259531000000</v>
      </c>
      <c r="AT20" s="1">
        <f t="shared" si="9"/>
        <v>463109000000</v>
      </c>
    </row>
    <row r="21" spans="1:46">
      <c r="A21" s="8">
        <v>0.0190018</v>
      </c>
      <c r="B21" s="1">
        <v>0.0196856</v>
      </c>
      <c r="C21" s="1">
        <v>20036000000000</v>
      </c>
      <c r="D21" s="1">
        <v>359483000</v>
      </c>
      <c r="E21" s="1">
        <v>0</v>
      </c>
      <c r="F21" s="1">
        <v>0</v>
      </c>
      <c r="G21" s="1">
        <v>2</v>
      </c>
      <c r="H21" s="1">
        <v>5534540000000</v>
      </c>
      <c r="I21" s="1">
        <v>4743560000000</v>
      </c>
      <c r="J21" s="1">
        <v>4766730000000</v>
      </c>
      <c r="K21" s="1">
        <v>4750660000000</v>
      </c>
      <c r="L21" s="1">
        <v>240549000000</v>
      </c>
      <c r="N21" s="8">
        <v>0.019002</v>
      </c>
      <c r="O21" s="1">
        <v>0.0196872</v>
      </c>
      <c r="P21" s="1">
        <v>20161300000000</v>
      </c>
      <c r="Q21" s="1">
        <v>190721000</v>
      </c>
      <c r="R21" s="1">
        <v>0</v>
      </c>
      <c r="S21" s="1">
        <v>0</v>
      </c>
      <c r="T21" s="1">
        <v>2</v>
      </c>
      <c r="U21" s="1">
        <v>5518620000000</v>
      </c>
      <c r="V21" s="1">
        <v>4742740000000</v>
      </c>
      <c r="W21" s="1">
        <v>4798140000000</v>
      </c>
      <c r="X21" s="1">
        <v>4785760000000</v>
      </c>
      <c r="Y21" s="1">
        <v>316033000000</v>
      </c>
      <c r="AA21" s="8">
        <v>0.0190216</v>
      </c>
      <c r="AB21" s="1">
        <v>0.0197195</v>
      </c>
      <c r="AC21" s="1">
        <v>20174300000000</v>
      </c>
      <c r="AD21" s="1">
        <v>443461000</v>
      </c>
      <c r="AE21" s="1">
        <v>0</v>
      </c>
      <c r="AF21" s="1">
        <v>0</v>
      </c>
      <c r="AG21" s="1">
        <v>2</v>
      </c>
      <c r="AH21" s="1">
        <v>4919390000000</v>
      </c>
      <c r="AI21" s="1">
        <v>5073260000000</v>
      </c>
      <c r="AJ21" s="1">
        <v>4897270000000</v>
      </c>
      <c r="AK21" s="1">
        <v>4868260000000</v>
      </c>
      <c r="AL21" s="1">
        <v>416092000000</v>
      </c>
      <c r="AN21" s="1">
        <f t="shared" si="5"/>
        <v>0.0190018</v>
      </c>
      <c r="AO21" s="1">
        <f t="shared" si="6"/>
        <v>20123866666666.7</v>
      </c>
      <c r="AP21" s="1"/>
      <c r="AQ21" s="1"/>
      <c r="AR21" s="1">
        <f t="shared" si="7"/>
        <v>324224666666.667</v>
      </c>
      <c r="AS21" s="1">
        <f t="shared" si="8"/>
        <v>240549000000</v>
      </c>
      <c r="AT21" s="1">
        <f t="shared" si="9"/>
        <v>416092000000</v>
      </c>
    </row>
    <row r="22" spans="1:46">
      <c r="A22" s="8">
        <v>0.0199607</v>
      </c>
      <c r="B22" s="1">
        <v>0.0206494</v>
      </c>
      <c r="C22" s="1">
        <v>20184500000000</v>
      </c>
      <c r="D22" s="1">
        <v>322180000</v>
      </c>
      <c r="E22" s="1">
        <v>0</v>
      </c>
      <c r="F22" s="1">
        <v>0</v>
      </c>
      <c r="G22" s="1">
        <v>2</v>
      </c>
      <c r="H22" s="1">
        <v>5540900000000</v>
      </c>
      <c r="I22" s="1">
        <v>4797590000000</v>
      </c>
      <c r="J22" s="1">
        <v>4778350000000</v>
      </c>
      <c r="K22" s="1">
        <v>4735220000000</v>
      </c>
      <c r="L22" s="1">
        <v>332475000000</v>
      </c>
      <c r="N22" s="8">
        <v>0.0199941</v>
      </c>
      <c r="O22" s="1">
        <v>0.0206751</v>
      </c>
      <c r="P22" s="1">
        <v>20103600000000</v>
      </c>
      <c r="Q22" s="1">
        <v>323738000</v>
      </c>
      <c r="R22" s="1">
        <v>0</v>
      </c>
      <c r="S22" s="1">
        <v>0</v>
      </c>
      <c r="T22" s="1">
        <v>2</v>
      </c>
      <c r="U22" s="1">
        <v>5531060000000</v>
      </c>
      <c r="V22" s="1">
        <v>4767160000000</v>
      </c>
      <c r="W22" s="1">
        <v>4749410000000</v>
      </c>
      <c r="X22" s="1">
        <v>4776330000000</v>
      </c>
      <c r="Y22" s="1">
        <v>279699000000</v>
      </c>
      <c r="AA22" s="8">
        <v>0.0200069</v>
      </c>
      <c r="AB22" s="1">
        <v>0.0207037</v>
      </c>
      <c r="AC22" s="1">
        <v>20307300000000</v>
      </c>
      <c r="AD22" s="1">
        <v>971078000</v>
      </c>
      <c r="AE22" s="1">
        <v>0</v>
      </c>
      <c r="AF22" s="1">
        <v>0</v>
      </c>
      <c r="AG22" s="1">
        <v>2</v>
      </c>
      <c r="AH22" s="1">
        <v>4925290000000</v>
      </c>
      <c r="AI22" s="1">
        <v>5201410000000</v>
      </c>
      <c r="AJ22" s="1">
        <v>4788440000000</v>
      </c>
      <c r="AK22" s="1">
        <v>4944970000000</v>
      </c>
      <c r="AL22" s="1">
        <v>447109000000</v>
      </c>
      <c r="AN22" s="1">
        <f t="shared" si="5"/>
        <v>0.0199607</v>
      </c>
      <c r="AO22" s="1">
        <f t="shared" si="6"/>
        <v>20198466666666.7</v>
      </c>
      <c r="AP22" s="1"/>
      <c r="AQ22" s="1"/>
      <c r="AR22" s="1">
        <f t="shared" si="7"/>
        <v>353094333333.333</v>
      </c>
      <c r="AS22" s="1">
        <f t="shared" si="8"/>
        <v>279699000000</v>
      </c>
      <c r="AT22" s="1">
        <f t="shared" si="9"/>
        <v>447109000000</v>
      </c>
    </row>
    <row r="23" spans="1:46">
      <c r="A23" s="8">
        <v>0.0210218</v>
      </c>
      <c r="B23" s="1">
        <v>0.0217106</v>
      </c>
      <c r="C23" s="1">
        <v>20066500000000</v>
      </c>
      <c r="D23" s="1">
        <v>431389000</v>
      </c>
      <c r="E23" s="1">
        <v>0</v>
      </c>
      <c r="F23" s="1">
        <v>0</v>
      </c>
      <c r="G23" s="1">
        <v>2</v>
      </c>
      <c r="H23" s="1">
        <v>5560120000000</v>
      </c>
      <c r="I23" s="1">
        <v>4745040000000</v>
      </c>
      <c r="J23" s="1">
        <v>4727060000000</v>
      </c>
      <c r="K23" s="1">
        <v>4737500000000</v>
      </c>
      <c r="L23" s="1">
        <v>296756000000</v>
      </c>
      <c r="N23" s="8">
        <v>0.0209981</v>
      </c>
      <c r="O23" s="1">
        <v>0.0216861</v>
      </c>
      <c r="P23" s="1">
        <v>20509800000000</v>
      </c>
      <c r="Q23" s="1">
        <v>205683000</v>
      </c>
      <c r="R23" s="1">
        <v>0</v>
      </c>
      <c r="S23" s="1">
        <v>0</v>
      </c>
      <c r="T23" s="1">
        <v>2</v>
      </c>
      <c r="U23" s="1">
        <v>5538830000000</v>
      </c>
      <c r="V23" s="1">
        <v>5028230000000</v>
      </c>
      <c r="W23" s="1">
        <v>4786770000000</v>
      </c>
      <c r="X23" s="1">
        <v>4771920000000</v>
      </c>
      <c r="Y23" s="1">
        <v>384004000000</v>
      </c>
      <c r="AA23" s="8">
        <v>0.0209925</v>
      </c>
      <c r="AB23" s="1">
        <v>0.0216911</v>
      </c>
      <c r="AC23" s="1">
        <v>20387200000000</v>
      </c>
      <c r="AD23" s="1">
        <v>1058180000</v>
      </c>
      <c r="AE23" s="1">
        <v>0</v>
      </c>
      <c r="AF23" s="1">
        <v>0</v>
      </c>
      <c r="AG23" s="1">
        <v>2</v>
      </c>
      <c r="AH23" s="1">
        <v>4888580000000</v>
      </c>
      <c r="AI23" s="1">
        <v>5016090000000</v>
      </c>
      <c r="AJ23" s="1">
        <v>4885110000000</v>
      </c>
      <c r="AK23" s="1">
        <v>5068640000000</v>
      </c>
      <c r="AL23" s="1">
        <v>528741000000</v>
      </c>
      <c r="AN23" s="1">
        <f t="shared" si="5"/>
        <v>0.0210218</v>
      </c>
      <c r="AO23" s="1">
        <f t="shared" si="6"/>
        <v>20321166666666.7</v>
      </c>
      <c r="AP23" s="1"/>
      <c r="AQ23" s="1"/>
      <c r="AR23" s="1">
        <f t="shared" si="7"/>
        <v>403167000000</v>
      </c>
      <c r="AS23" s="1">
        <f t="shared" si="8"/>
        <v>296756000000</v>
      </c>
      <c r="AT23" s="1">
        <f t="shared" si="9"/>
        <v>528741000000</v>
      </c>
    </row>
    <row r="24" spans="1:46">
      <c r="A24" s="8">
        <v>0.0220402</v>
      </c>
      <c r="B24" s="1">
        <v>0.0227028</v>
      </c>
      <c r="C24" s="1">
        <v>20023200000000</v>
      </c>
      <c r="D24" s="1">
        <v>249314000</v>
      </c>
      <c r="E24" s="1">
        <v>0</v>
      </c>
      <c r="F24" s="1">
        <v>0</v>
      </c>
      <c r="G24" s="1">
        <v>2</v>
      </c>
      <c r="H24" s="1">
        <v>5550560000000</v>
      </c>
      <c r="I24" s="1">
        <v>4771190000000</v>
      </c>
      <c r="J24" s="1">
        <v>4732430000000</v>
      </c>
      <c r="K24" s="1">
        <v>4729280000000</v>
      </c>
      <c r="L24" s="1">
        <v>239715000000</v>
      </c>
      <c r="N24" s="8">
        <v>0.0219557</v>
      </c>
      <c r="O24" s="1">
        <v>0.0226392</v>
      </c>
      <c r="P24" s="1">
        <v>20227800000000</v>
      </c>
      <c r="Q24" s="1">
        <v>888545000</v>
      </c>
      <c r="R24" s="1">
        <v>0</v>
      </c>
      <c r="S24" s="1">
        <v>0</v>
      </c>
      <c r="T24" s="1">
        <v>2</v>
      </c>
      <c r="U24" s="1">
        <v>5498190000000</v>
      </c>
      <c r="V24" s="1">
        <v>4786020000000</v>
      </c>
      <c r="W24" s="1">
        <v>4835120000000</v>
      </c>
      <c r="X24" s="1">
        <v>4739880000000</v>
      </c>
      <c r="Y24" s="1">
        <v>368575000000</v>
      </c>
      <c r="AA24" s="8">
        <v>0.0220253</v>
      </c>
      <c r="AB24" s="1">
        <v>0.0227224</v>
      </c>
      <c r="AC24" s="1">
        <v>20282000000000</v>
      </c>
      <c r="AD24" s="1">
        <v>473379000</v>
      </c>
      <c r="AE24" s="1">
        <v>0</v>
      </c>
      <c r="AF24" s="1">
        <v>0</v>
      </c>
      <c r="AG24" s="1">
        <v>2</v>
      </c>
      <c r="AH24" s="1">
        <v>4866590000000</v>
      </c>
      <c r="AI24" s="1">
        <v>4882130000000</v>
      </c>
      <c r="AJ24" s="1">
        <v>4942490000000</v>
      </c>
      <c r="AK24" s="1">
        <v>5125060000000</v>
      </c>
      <c r="AL24" s="1">
        <v>465729000000</v>
      </c>
      <c r="AN24" s="1">
        <f t="shared" si="5"/>
        <v>0.0220402</v>
      </c>
      <c r="AO24" s="1">
        <f t="shared" si="6"/>
        <v>20177666666666.7</v>
      </c>
      <c r="AP24" s="1"/>
      <c r="AQ24" s="1"/>
      <c r="AR24" s="1">
        <f t="shared" si="7"/>
        <v>358006333333.333</v>
      </c>
      <c r="AS24" s="1">
        <f t="shared" si="8"/>
        <v>239715000000</v>
      </c>
      <c r="AT24" s="1">
        <f t="shared" si="9"/>
        <v>465729000000</v>
      </c>
    </row>
    <row r="25" spans="1:46">
      <c r="A25" s="8">
        <v>0.023007</v>
      </c>
      <c r="B25" s="1">
        <v>0.0236911</v>
      </c>
      <c r="C25" s="1">
        <v>20248400000000</v>
      </c>
      <c r="D25" s="1">
        <v>474647000</v>
      </c>
      <c r="E25" s="1">
        <v>0</v>
      </c>
      <c r="F25" s="1">
        <v>0</v>
      </c>
      <c r="G25" s="1">
        <v>2</v>
      </c>
      <c r="H25" s="1">
        <v>5557120000000</v>
      </c>
      <c r="I25" s="1">
        <v>4832300000000</v>
      </c>
      <c r="J25" s="1">
        <v>4755340000000</v>
      </c>
      <c r="K25" s="1">
        <v>4732380000000</v>
      </c>
      <c r="L25" s="1">
        <v>371286000000</v>
      </c>
      <c r="N25" s="8">
        <v>0.022992</v>
      </c>
      <c r="O25" s="1">
        <v>0.0236886</v>
      </c>
      <c r="P25" s="1">
        <v>20282400000000</v>
      </c>
      <c r="Q25" s="1">
        <v>732834000</v>
      </c>
      <c r="R25" s="1">
        <v>0</v>
      </c>
      <c r="S25" s="1">
        <v>0</v>
      </c>
      <c r="T25" s="1">
        <v>2</v>
      </c>
      <c r="U25" s="1">
        <v>5529770000000</v>
      </c>
      <c r="V25" s="1">
        <v>4809150000000</v>
      </c>
      <c r="W25" s="1">
        <v>4848460000000</v>
      </c>
      <c r="X25" s="1">
        <v>4749420000000</v>
      </c>
      <c r="Y25" s="1">
        <v>345619000000</v>
      </c>
      <c r="AA25" s="8">
        <v>0.0229945</v>
      </c>
      <c r="AB25" s="1">
        <v>0.0236808</v>
      </c>
      <c r="AC25" s="1">
        <v>20072100000000</v>
      </c>
      <c r="AD25" s="1">
        <v>564332000</v>
      </c>
      <c r="AE25" s="1">
        <v>0</v>
      </c>
      <c r="AF25" s="1">
        <v>0</v>
      </c>
      <c r="AG25" s="1">
        <v>2</v>
      </c>
      <c r="AH25" s="1">
        <v>4913990000000</v>
      </c>
      <c r="AI25" s="1">
        <v>4921050000000</v>
      </c>
      <c r="AJ25" s="1">
        <v>4941880000000</v>
      </c>
      <c r="AK25" s="1">
        <v>4950470000000</v>
      </c>
      <c r="AL25" s="1">
        <v>344702000000</v>
      </c>
      <c r="AN25" s="1">
        <f t="shared" si="5"/>
        <v>0.023007</v>
      </c>
      <c r="AO25" s="1">
        <f t="shared" si="6"/>
        <v>20200966666666.7</v>
      </c>
      <c r="AP25" s="1"/>
      <c r="AQ25" s="1"/>
      <c r="AR25" s="1">
        <f t="shared" si="7"/>
        <v>353869000000</v>
      </c>
      <c r="AS25" s="1">
        <f t="shared" si="8"/>
        <v>344702000000</v>
      </c>
      <c r="AT25" s="1">
        <f t="shared" si="9"/>
        <v>371286000000</v>
      </c>
    </row>
    <row r="26" spans="1:46">
      <c r="A26" s="8">
        <v>0.0240035</v>
      </c>
      <c r="B26" s="1">
        <v>0.0246897</v>
      </c>
      <c r="C26" s="1">
        <v>20199900000000</v>
      </c>
      <c r="D26" s="1">
        <v>801073000</v>
      </c>
      <c r="E26" s="1">
        <v>0</v>
      </c>
      <c r="F26" s="1">
        <v>0</v>
      </c>
      <c r="G26" s="1">
        <v>2</v>
      </c>
      <c r="H26" s="1">
        <v>5538640000000</v>
      </c>
      <c r="I26" s="1">
        <v>4817560000000</v>
      </c>
      <c r="J26" s="1">
        <v>4760340000000</v>
      </c>
      <c r="K26" s="1">
        <v>4789640000000</v>
      </c>
      <c r="L26" s="1">
        <v>293739000000</v>
      </c>
      <c r="N26" s="8">
        <v>0.0240103</v>
      </c>
      <c r="O26" s="1">
        <v>0.0246948</v>
      </c>
      <c r="P26" s="1">
        <v>20232400000000</v>
      </c>
      <c r="Q26" s="1">
        <v>634893000</v>
      </c>
      <c r="R26" s="1">
        <v>0</v>
      </c>
      <c r="S26" s="1">
        <v>0</v>
      </c>
      <c r="T26" s="1">
        <v>2</v>
      </c>
      <c r="U26" s="1">
        <v>5574390000000</v>
      </c>
      <c r="V26" s="1">
        <v>4734880000000</v>
      </c>
      <c r="W26" s="1">
        <v>4841420000000</v>
      </c>
      <c r="X26" s="1">
        <v>4742300000000</v>
      </c>
      <c r="Y26" s="1">
        <v>339408000000</v>
      </c>
      <c r="AA26" s="8">
        <v>0.024021</v>
      </c>
      <c r="AB26" s="1">
        <v>0.0247111</v>
      </c>
      <c r="AC26" s="1">
        <v>19950500000000</v>
      </c>
      <c r="AD26" s="1">
        <v>286230000</v>
      </c>
      <c r="AE26" s="1">
        <v>0</v>
      </c>
      <c r="AF26" s="1">
        <v>0</v>
      </c>
      <c r="AG26" s="1">
        <v>2</v>
      </c>
      <c r="AH26" s="1">
        <v>4911020000000</v>
      </c>
      <c r="AI26" s="1">
        <v>4912880000000</v>
      </c>
      <c r="AJ26" s="1">
        <v>4911360000000</v>
      </c>
      <c r="AK26" s="1">
        <v>4917790000000</v>
      </c>
      <c r="AL26" s="1">
        <v>297488000000</v>
      </c>
      <c r="AN26" s="1">
        <f t="shared" si="5"/>
        <v>0.0240035</v>
      </c>
      <c r="AO26" s="1">
        <f t="shared" si="6"/>
        <v>20127600000000</v>
      </c>
      <c r="AP26" s="1"/>
      <c r="AQ26" s="1"/>
      <c r="AR26" s="1">
        <f t="shared" si="7"/>
        <v>310211666666.667</v>
      </c>
      <c r="AS26" s="1">
        <f t="shared" si="8"/>
        <v>293739000000</v>
      </c>
      <c r="AT26" s="1">
        <f t="shared" si="9"/>
        <v>339408000000</v>
      </c>
    </row>
    <row r="27" spans="1:46">
      <c r="A27" s="8">
        <v>0.0249714</v>
      </c>
      <c r="B27" s="1">
        <v>0.0256625</v>
      </c>
      <c r="C27" s="1">
        <v>20086800000000</v>
      </c>
      <c r="D27" s="1">
        <v>574408000</v>
      </c>
      <c r="E27" s="1">
        <v>0</v>
      </c>
      <c r="F27" s="1">
        <v>0</v>
      </c>
      <c r="G27" s="1">
        <v>2</v>
      </c>
      <c r="H27" s="1">
        <v>5543570000000</v>
      </c>
      <c r="I27" s="1">
        <v>4736520000000</v>
      </c>
      <c r="J27" s="1">
        <v>4751760000000</v>
      </c>
      <c r="K27" s="1">
        <v>4788630000000</v>
      </c>
      <c r="L27" s="1">
        <v>266280000000</v>
      </c>
      <c r="N27" s="8">
        <v>0.0250298</v>
      </c>
      <c r="O27" s="1">
        <v>0.0257094</v>
      </c>
      <c r="P27" s="1">
        <v>20117800000000</v>
      </c>
      <c r="Q27" s="1">
        <v>372246000</v>
      </c>
      <c r="R27" s="1">
        <v>0</v>
      </c>
      <c r="S27" s="1">
        <v>0</v>
      </c>
      <c r="T27" s="1">
        <v>2</v>
      </c>
      <c r="U27" s="1">
        <v>5554030000000</v>
      </c>
      <c r="V27" s="1">
        <v>4760910000000</v>
      </c>
      <c r="W27" s="1">
        <v>4754600000000</v>
      </c>
      <c r="X27" s="1">
        <v>4752000000000</v>
      </c>
      <c r="Y27" s="1">
        <v>296227000000</v>
      </c>
      <c r="AA27" s="8">
        <v>0.0250064</v>
      </c>
      <c r="AB27" s="1">
        <v>0.0256913</v>
      </c>
      <c r="AC27" s="1">
        <v>19888300000000</v>
      </c>
      <c r="AD27" s="1">
        <v>551071000</v>
      </c>
      <c r="AE27" s="1">
        <v>0</v>
      </c>
      <c r="AF27" s="1">
        <v>0</v>
      </c>
      <c r="AG27" s="1">
        <v>2</v>
      </c>
      <c r="AH27" s="1">
        <v>4912510000000</v>
      </c>
      <c r="AI27" s="1">
        <v>4945050000000</v>
      </c>
      <c r="AJ27" s="1">
        <v>4925420000000</v>
      </c>
      <c r="AK27" s="1">
        <v>4901140000000</v>
      </c>
      <c r="AL27" s="1">
        <v>204221000000</v>
      </c>
      <c r="AN27" s="1">
        <f t="shared" si="5"/>
        <v>0.0249714</v>
      </c>
      <c r="AO27" s="1">
        <f t="shared" si="6"/>
        <v>20030966666666.7</v>
      </c>
      <c r="AP27" s="1"/>
      <c r="AQ27" s="1"/>
      <c r="AR27" s="1">
        <f t="shared" si="7"/>
        <v>255576000000</v>
      </c>
      <c r="AS27" s="1">
        <f t="shared" si="8"/>
        <v>204221000000</v>
      </c>
      <c r="AT27" s="1">
        <f t="shared" si="9"/>
        <v>296227000000</v>
      </c>
    </row>
    <row r="28" spans="1:46">
      <c r="A28" s="8">
        <v>0.0260152</v>
      </c>
      <c r="B28" s="1">
        <v>0.026699</v>
      </c>
      <c r="C28" s="1">
        <v>20041300000000</v>
      </c>
      <c r="D28" s="1">
        <v>589498000</v>
      </c>
      <c r="E28" s="1">
        <v>0</v>
      </c>
      <c r="F28" s="1">
        <v>0</v>
      </c>
      <c r="G28" s="1">
        <v>2</v>
      </c>
      <c r="H28" s="1">
        <v>5533990000000</v>
      </c>
      <c r="I28" s="1">
        <v>4738150000000</v>
      </c>
      <c r="J28" s="1">
        <v>4735350000000</v>
      </c>
      <c r="K28" s="1">
        <v>4778930000000</v>
      </c>
      <c r="L28" s="1">
        <v>254868000000</v>
      </c>
      <c r="N28" s="8">
        <v>0.0259997</v>
      </c>
      <c r="O28" s="1">
        <v>0.0266835</v>
      </c>
      <c r="P28" s="1">
        <v>20087400000000</v>
      </c>
      <c r="Q28" s="1">
        <v>234671000</v>
      </c>
      <c r="R28" s="1">
        <v>0</v>
      </c>
      <c r="S28" s="1">
        <v>0</v>
      </c>
      <c r="T28" s="1">
        <v>2</v>
      </c>
      <c r="U28" s="1">
        <v>5555740000000</v>
      </c>
      <c r="V28" s="1">
        <v>4783950000000</v>
      </c>
      <c r="W28" s="1">
        <v>4740970000000</v>
      </c>
      <c r="X28" s="1">
        <v>4727970000000</v>
      </c>
      <c r="Y28" s="1">
        <v>278757000000</v>
      </c>
      <c r="AA28" s="8">
        <v>0.0259825</v>
      </c>
      <c r="AB28" s="1">
        <v>0.0266748</v>
      </c>
      <c r="AC28" s="1">
        <v>19823400000000</v>
      </c>
      <c r="AD28" s="1">
        <v>172140000</v>
      </c>
      <c r="AE28" s="1">
        <v>0</v>
      </c>
      <c r="AF28" s="1">
        <v>0</v>
      </c>
      <c r="AG28" s="1">
        <v>2</v>
      </c>
      <c r="AH28" s="1">
        <v>4915610000000</v>
      </c>
      <c r="AI28" s="1">
        <v>4902560000000</v>
      </c>
      <c r="AJ28" s="1">
        <v>4909270000000</v>
      </c>
      <c r="AK28" s="1">
        <v>4911500000000</v>
      </c>
      <c r="AL28" s="1">
        <v>184443000000</v>
      </c>
      <c r="AN28" s="1">
        <f t="shared" si="5"/>
        <v>0.0260152</v>
      </c>
      <c r="AO28" s="1">
        <f t="shared" si="6"/>
        <v>19984033333333.3</v>
      </c>
      <c r="AP28" s="1"/>
      <c r="AQ28" s="1"/>
      <c r="AR28" s="1">
        <f t="shared" si="7"/>
        <v>239356000000</v>
      </c>
      <c r="AS28" s="1">
        <f t="shared" si="8"/>
        <v>184443000000</v>
      </c>
      <c r="AT28" s="1">
        <f t="shared" si="9"/>
        <v>278757000000</v>
      </c>
    </row>
    <row r="29" spans="1:46">
      <c r="A29" s="8">
        <v>0.0270016</v>
      </c>
      <c r="B29" s="1">
        <v>0.0276882</v>
      </c>
      <c r="C29" s="1">
        <v>20035800000000</v>
      </c>
      <c r="D29" s="1">
        <v>219871000</v>
      </c>
      <c r="E29" s="1">
        <v>0</v>
      </c>
      <c r="F29" s="1">
        <v>0</v>
      </c>
      <c r="G29" s="1">
        <v>2</v>
      </c>
      <c r="H29" s="1">
        <v>5537430000000</v>
      </c>
      <c r="I29" s="1">
        <v>4748870000000</v>
      </c>
      <c r="J29" s="1">
        <v>4758050000000</v>
      </c>
      <c r="K29" s="1">
        <v>4737540000000</v>
      </c>
      <c r="L29" s="1">
        <v>253896000000</v>
      </c>
      <c r="N29" s="8">
        <v>0.0270124</v>
      </c>
      <c r="O29" s="1">
        <v>0.0276895</v>
      </c>
      <c r="P29" s="1">
        <v>20168100000000</v>
      </c>
      <c r="Q29" s="1">
        <v>209611000</v>
      </c>
      <c r="R29" s="1">
        <v>0</v>
      </c>
      <c r="S29" s="1">
        <v>0</v>
      </c>
      <c r="T29" s="1">
        <v>2</v>
      </c>
      <c r="U29" s="1">
        <v>5567930000000</v>
      </c>
      <c r="V29" s="1">
        <v>4742030000000</v>
      </c>
      <c r="W29" s="1">
        <v>4827290000000</v>
      </c>
      <c r="X29" s="1">
        <v>4750160000000</v>
      </c>
      <c r="Y29" s="1">
        <v>280661000000</v>
      </c>
      <c r="AA29" s="8">
        <v>0.0270004</v>
      </c>
      <c r="AB29" s="1">
        <v>0.0276766</v>
      </c>
      <c r="AC29" s="1">
        <v>19852600000000</v>
      </c>
      <c r="AD29" s="1">
        <v>225087000</v>
      </c>
      <c r="AE29" s="1">
        <v>0</v>
      </c>
      <c r="AF29" s="1">
        <v>0</v>
      </c>
      <c r="AG29" s="1">
        <v>2</v>
      </c>
      <c r="AH29" s="1">
        <v>4898280000000</v>
      </c>
      <c r="AI29" s="1">
        <v>4916650000000</v>
      </c>
      <c r="AJ29" s="1">
        <v>4921800000000</v>
      </c>
      <c r="AK29" s="1">
        <v>4894420000000</v>
      </c>
      <c r="AL29" s="1">
        <v>221430000000</v>
      </c>
      <c r="AN29" s="1">
        <f t="shared" si="5"/>
        <v>0.0270016</v>
      </c>
      <c r="AO29" s="1">
        <f t="shared" si="6"/>
        <v>20018833333333.3</v>
      </c>
      <c r="AP29" s="1"/>
      <c r="AQ29" s="1"/>
      <c r="AR29" s="1">
        <f t="shared" si="7"/>
        <v>251995666666.667</v>
      </c>
      <c r="AS29" s="1">
        <f t="shared" si="8"/>
        <v>221430000000</v>
      </c>
      <c r="AT29" s="1">
        <f t="shared" si="9"/>
        <v>280661000000</v>
      </c>
    </row>
    <row r="30" spans="1:46">
      <c r="A30" s="8">
        <v>0.0279963</v>
      </c>
      <c r="B30" s="1">
        <v>0.028679</v>
      </c>
      <c r="C30" s="1">
        <v>20048300000000</v>
      </c>
      <c r="D30" s="1">
        <v>121986000</v>
      </c>
      <c r="E30" s="1">
        <v>0</v>
      </c>
      <c r="F30" s="1">
        <v>0</v>
      </c>
      <c r="G30" s="1">
        <v>2</v>
      </c>
      <c r="H30" s="1">
        <v>5545500000000</v>
      </c>
      <c r="I30" s="1">
        <v>4753990000000</v>
      </c>
      <c r="J30" s="1">
        <v>4771320000000</v>
      </c>
      <c r="K30" s="1">
        <v>4744640000000</v>
      </c>
      <c r="L30" s="1">
        <v>232843000000</v>
      </c>
      <c r="N30" s="8">
        <v>0.0279905</v>
      </c>
      <c r="O30" s="1">
        <v>0.0286733</v>
      </c>
      <c r="P30" s="1">
        <v>20112500000000</v>
      </c>
      <c r="Q30" s="1">
        <v>231231000</v>
      </c>
      <c r="R30" s="1">
        <v>0</v>
      </c>
      <c r="S30" s="1">
        <v>0</v>
      </c>
      <c r="T30" s="1">
        <v>2</v>
      </c>
      <c r="U30" s="1">
        <v>5565940000000</v>
      </c>
      <c r="V30" s="1">
        <v>4732490000000</v>
      </c>
      <c r="W30" s="1">
        <v>4773590000000</v>
      </c>
      <c r="X30" s="1">
        <v>4791080000000</v>
      </c>
      <c r="Y30" s="1">
        <v>249416000000</v>
      </c>
      <c r="AA30" s="8">
        <v>0.0280158</v>
      </c>
      <c r="AB30" s="1">
        <v>0.0286809</v>
      </c>
      <c r="AC30" s="1">
        <v>19853800000000</v>
      </c>
      <c r="AD30" s="1">
        <v>185165000</v>
      </c>
      <c r="AE30" s="1">
        <v>0</v>
      </c>
      <c r="AF30" s="1">
        <v>0</v>
      </c>
      <c r="AG30" s="1">
        <v>2</v>
      </c>
      <c r="AH30" s="1">
        <v>4915190000000</v>
      </c>
      <c r="AI30" s="1">
        <v>4908120000000</v>
      </c>
      <c r="AJ30" s="1">
        <v>4907360000000</v>
      </c>
      <c r="AK30" s="1">
        <v>4909710000000</v>
      </c>
      <c r="AL30" s="1">
        <v>213373000000</v>
      </c>
      <c r="AN30" s="1">
        <f t="shared" si="5"/>
        <v>0.0279963</v>
      </c>
      <c r="AO30" s="1">
        <f t="shared" si="6"/>
        <v>20004866666666.7</v>
      </c>
      <c r="AP30" s="1"/>
      <c r="AQ30" s="1"/>
      <c r="AR30" s="1">
        <f t="shared" si="7"/>
        <v>231877333333.333</v>
      </c>
      <c r="AS30" s="1">
        <f t="shared" si="8"/>
        <v>213373000000</v>
      </c>
      <c r="AT30" s="1">
        <f t="shared" si="9"/>
        <v>249416000000</v>
      </c>
    </row>
    <row r="31" spans="1:46">
      <c r="A31" s="8">
        <v>0.0290191</v>
      </c>
      <c r="B31" s="1">
        <v>0.0296883</v>
      </c>
      <c r="C31" s="1">
        <v>19973600000000</v>
      </c>
      <c r="D31" s="1">
        <v>299013000</v>
      </c>
      <c r="E31" s="1">
        <v>0</v>
      </c>
      <c r="F31" s="1">
        <v>0</v>
      </c>
      <c r="G31" s="1">
        <v>2</v>
      </c>
      <c r="H31" s="1">
        <v>5530080000000</v>
      </c>
      <c r="I31" s="1">
        <v>4759940000000</v>
      </c>
      <c r="J31" s="1">
        <v>4730900000000</v>
      </c>
      <c r="K31" s="1">
        <v>4741940000000</v>
      </c>
      <c r="L31" s="1">
        <v>210785000000</v>
      </c>
      <c r="N31" s="8">
        <v>0.0289987</v>
      </c>
      <c r="O31" s="1">
        <v>0.029694</v>
      </c>
      <c r="P31" s="1">
        <v>20176100000000</v>
      </c>
      <c r="Q31" s="1">
        <v>318875000</v>
      </c>
      <c r="R31" s="1">
        <v>0</v>
      </c>
      <c r="S31" s="1">
        <v>0</v>
      </c>
      <c r="T31" s="1">
        <v>2</v>
      </c>
      <c r="U31" s="1">
        <v>5561430000000</v>
      </c>
      <c r="V31" s="1">
        <v>4777330000000</v>
      </c>
      <c r="W31" s="1">
        <v>4774820000000</v>
      </c>
      <c r="X31" s="1">
        <v>4763360000000</v>
      </c>
      <c r="Y31" s="1">
        <v>299143000000</v>
      </c>
      <c r="AA31" s="8">
        <v>0.0289991</v>
      </c>
      <c r="AB31" s="1">
        <v>0.0296786</v>
      </c>
      <c r="AC31" s="1">
        <v>19902900000000</v>
      </c>
      <c r="AD31" s="1">
        <v>238640000</v>
      </c>
      <c r="AE31" s="1">
        <v>0</v>
      </c>
      <c r="AF31" s="1">
        <v>0</v>
      </c>
      <c r="AG31" s="1">
        <v>2</v>
      </c>
      <c r="AH31" s="1">
        <v>4891150000000</v>
      </c>
      <c r="AI31" s="1">
        <v>4926870000000</v>
      </c>
      <c r="AJ31" s="1">
        <v>4934890000000</v>
      </c>
      <c r="AK31" s="1">
        <v>4896140000000</v>
      </c>
      <c r="AL31" s="1">
        <v>253874000000</v>
      </c>
      <c r="AN31" s="1">
        <f t="shared" si="5"/>
        <v>0.0290191</v>
      </c>
      <c r="AO31" s="1">
        <f t="shared" si="6"/>
        <v>20017533333333.3</v>
      </c>
      <c r="AP31" s="1"/>
      <c r="AQ31" s="1"/>
      <c r="AR31" s="1">
        <f t="shared" si="7"/>
        <v>254600666666.667</v>
      </c>
      <c r="AS31" s="1">
        <f t="shared" si="8"/>
        <v>210785000000</v>
      </c>
      <c r="AT31" s="1">
        <f t="shared" si="9"/>
        <v>299143000000</v>
      </c>
    </row>
    <row r="32" spans="1:46">
      <c r="A32" s="8">
        <v>0.0300186</v>
      </c>
      <c r="B32" s="1">
        <v>0.030701</v>
      </c>
      <c r="C32" s="1">
        <v>20103000000000</v>
      </c>
      <c r="D32" s="1">
        <v>321451000</v>
      </c>
      <c r="E32" s="1">
        <v>0</v>
      </c>
      <c r="F32" s="1">
        <v>0</v>
      </c>
      <c r="G32" s="1">
        <v>2</v>
      </c>
      <c r="H32" s="1">
        <v>5564440000000</v>
      </c>
      <c r="I32" s="1">
        <v>4734610000000</v>
      </c>
      <c r="J32" s="1">
        <v>4789320000000</v>
      </c>
      <c r="K32" s="1">
        <v>4758290000000</v>
      </c>
      <c r="L32" s="1">
        <v>256344000000</v>
      </c>
      <c r="N32" s="8">
        <v>0.0300154</v>
      </c>
      <c r="O32" s="1">
        <v>0.0306858</v>
      </c>
      <c r="P32" s="1">
        <v>20046000000000</v>
      </c>
      <c r="Q32" s="1">
        <v>322778000</v>
      </c>
      <c r="R32" s="1">
        <v>0</v>
      </c>
      <c r="S32" s="1">
        <v>0</v>
      </c>
      <c r="T32" s="1">
        <v>2</v>
      </c>
      <c r="U32" s="1">
        <v>5524090000000</v>
      </c>
      <c r="V32" s="1">
        <v>4751700000000</v>
      </c>
      <c r="W32" s="1">
        <v>4747520000000</v>
      </c>
      <c r="X32" s="1">
        <v>4760550000000</v>
      </c>
      <c r="Y32" s="1">
        <v>262175000000</v>
      </c>
      <c r="AA32" s="8">
        <v>0.0300272</v>
      </c>
      <c r="AB32" s="1">
        <v>0.0307051</v>
      </c>
      <c r="AC32" s="1">
        <v>19816800000000</v>
      </c>
      <c r="AD32" s="1">
        <v>150954000</v>
      </c>
      <c r="AE32" s="1">
        <v>0</v>
      </c>
      <c r="AF32" s="1">
        <v>0</v>
      </c>
      <c r="AG32" s="1">
        <v>2</v>
      </c>
      <c r="AH32" s="1">
        <v>4894060000000</v>
      </c>
      <c r="AI32" s="1">
        <v>4902910000000</v>
      </c>
      <c r="AJ32" s="1">
        <v>4899370000000</v>
      </c>
      <c r="AK32" s="1">
        <v>4912980000000</v>
      </c>
      <c r="AL32" s="1">
        <v>207457000000</v>
      </c>
      <c r="AN32" s="1">
        <f t="shared" si="5"/>
        <v>0.0300186</v>
      </c>
      <c r="AO32" s="1">
        <f t="shared" si="6"/>
        <v>19988600000000</v>
      </c>
      <c r="AP32" s="1"/>
      <c r="AQ32" s="1"/>
      <c r="AR32" s="1">
        <f t="shared" si="7"/>
        <v>241992000000</v>
      </c>
      <c r="AS32" s="1">
        <f t="shared" si="8"/>
        <v>207457000000</v>
      </c>
      <c r="AT32" s="1">
        <f t="shared" si="9"/>
        <v>262175000000</v>
      </c>
    </row>
    <row r="33" spans="1:46">
      <c r="A33" s="8">
        <v>0.0309938</v>
      </c>
      <c r="B33" s="1">
        <v>0.0316748</v>
      </c>
      <c r="C33" s="1">
        <v>20117400000000</v>
      </c>
      <c r="D33" s="1">
        <v>146544000</v>
      </c>
      <c r="E33" s="1">
        <v>0</v>
      </c>
      <c r="F33" s="1">
        <v>0</v>
      </c>
      <c r="G33" s="1">
        <v>2</v>
      </c>
      <c r="H33" s="1">
        <v>5589630000000</v>
      </c>
      <c r="I33" s="1">
        <v>4730050000000</v>
      </c>
      <c r="J33" s="1">
        <v>4745570000000</v>
      </c>
      <c r="K33" s="1">
        <v>4755900000000</v>
      </c>
      <c r="L33" s="1">
        <v>296273000000</v>
      </c>
      <c r="N33" s="8">
        <v>0.0309869</v>
      </c>
      <c r="O33" s="1">
        <v>0.0316801</v>
      </c>
      <c r="P33" s="1">
        <v>20143700000000</v>
      </c>
      <c r="Q33" s="1">
        <v>390122000</v>
      </c>
      <c r="R33" s="1">
        <v>0</v>
      </c>
      <c r="S33" s="1">
        <v>0</v>
      </c>
      <c r="T33" s="1">
        <v>2</v>
      </c>
      <c r="U33" s="1">
        <v>5579050000000</v>
      </c>
      <c r="V33" s="1">
        <v>4769130000000</v>
      </c>
      <c r="W33" s="1">
        <v>4772490000000</v>
      </c>
      <c r="X33" s="1">
        <v>4745400000000</v>
      </c>
      <c r="Y33" s="1">
        <v>277586000000</v>
      </c>
      <c r="AA33" s="8">
        <v>0.0310693</v>
      </c>
      <c r="AB33" s="1">
        <v>0.0317628</v>
      </c>
      <c r="AC33" s="1">
        <v>19921500000000</v>
      </c>
      <c r="AD33" s="1">
        <v>290665000</v>
      </c>
      <c r="AE33" s="1">
        <v>0</v>
      </c>
      <c r="AF33" s="1">
        <v>0</v>
      </c>
      <c r="AG33" s="1">
        <v>2</v>
      </c>
      <c r="AH33" s="1">
        <v>4908450000000</v>
      </c>
      <c r="AI33" s="1">
        <v>4934880000000</v>
      </c>
      <c r="AJ33" s="1">
        <v>4921670000000</v>
      </c>
      <c r="AK33" s="1">
        <v>4907270000000</v>
      </c>
      <c r="AL33" s="1">
        <v>249191000000</v>
      </c>
      <c r="AN33" s="1">
        <f t="shared" si="5"/>
        <v>0.0309938</v>
      </c>
      <c r="AO33" s="1">
        <f t="shared" si="6"/>
        <v>20060866666666.7</v>
      </c>
      <c r="AP33" s="1"/>
      <c r="AQ33" s="1"/>
      <c r="AR33" s="1">
        <f t="shared" si="7"/>
        <v>274350000000</v>
      </c>
      <c r="AS33" s="1">
        <f t="shared" si="8"/>
        <v>249191000000</v>
      </c>
      <c r="AT33" s="1">
        <f t="shared" si="9"/>
        <v>296273000000</v>
      </c>
    </row>
    <row r="34" spans="1:46">
      <c r="A34" s="8">
        <v>0.031998</v>
      </c>
      <c r="B34" s="1">
        <v>0.0326981</v>
      </c>
      <c r="C34" s="1">
        <v>20196300000000</v>
      </c>
      <c r="D34" s="1">
        <v>319404000</v>
      </c>
      <c r="E34" s="1">
        <v>0</v>
      </c>
      <c r="F34" s="1">
        <v>0</v>
      </c>
      <c r="G34" s="1">
        <v>2</v>
      </c>
      <c r="H34" s="1">
        <v>5518880000000</v>
      </c>
      <c r="I34" s="1">
        <v>4762690000000</v>
      </c>
      <c r="J34" s="1">
        <v>4839400000000</v>
      </c>
      <c r="K34" s="1">
        <v>4750370000000</v>
      </c>
      <c r="L34" s="1">
        <v>325008000000</v>
      </c>
      <c r="N34" s="8">
        <v>0.0319943</v>
      </c>
      <c r="O34" s="1">
        <v>0.0326641</v>
      </c>
      <c r="P34" s="1">
        <v>20057700000000</v>
      </c>
      <c r="Q34" s="1">
        <v>195535000</v>
      </c>
      <c r="R34" s="1">
        <v>0</v>
      </c>
      <c r="S34" s="1">
        <v>0</v>
      </c>
      <c r="T34" s="1">
        <v>2</v>
      </c>
      <c r="U34" s="1">
        <v>5526130000000</v>
      </c>
      <c r="V34" s="1">
        <v>4770220000000</v>
      </c>
      <c r="W34" s="1">
        <v>4752130000000</v>
      </c>
      <c r="X34" s="1">
        <v>4745750000000</v>
      </c>
      <c r="Y34" s="1">
        <v>263439000000</v>
      </c>
      <c r="AA34" s="8">
        <v>0.0319982</v>
      </c>
      <c r="AB34" s="1">
        <v>0.0326824</v>
      </c>
      <c r="AC34" s="1">
        <v>19986900000000</v>
      </c>
      <c r="AD34" s="1">
        <v>141669000</v>
      </c>
      <c r="AE34" s="1">
        <v>0</v>
      </c>
      <c r="AF34" s="1">
        <v>0</v>
      </c>
      <c r="AG34" s="1">
        <v>2</v>
      </c>
      <c r="AH34" s="1">
        <v>4919950000000</v>
      </c>
      <c r="AI34" s="1">
        <v>4959660000000</v>
      </c>
      <c r="AJ34" s="1">
        <v>4897390000000</v>
      </c>
      <c r="AK34" s="1">
        <v>4932440000000</v>
      </c>
      <c r="AL34" s="1">
        <v>277436000000</v>
      </c>
      <c r="AN34" s="1">
        <f t="shared" si="5"/>
        <v>0.031998</v>
      </c>
      <c r="AO34" s="1">
        <f t="shared" si="6"/>
        <v>20080300000000</v>
      </c>
      <c r="AP34" s="1"/>
      <c r="AQ34" s="1"/>
      <c r="AR34" s="1">
        <f t="shared" si="7"/>
        <v>288627666666.667</v>
      </c>
      <c r="AS34" s="1">
        <f t="shared" si="8"/>
        <v>263439000000</v>
      </c>
      <c r="AT34" s="1">
        <f t="shared" si="9"/>
        <v>325008000000</v>
      </c>
    </row>
    <row r="35" spans="1:46">
      <c r="A35" s="8">
        <v>0.0329689</v>
      </c>
      <c r="B35" s="1">
        <v>0.0336856</v>
      </c>
      <c r="C35" s="1">
        <v>20423800000000</v>
      </c>
      <c r="D35" s="1">
        <v>759616000</v>
      </c>
      <c r="E35" s="1">
        <v>0</v>
      </c>
      <c r="F35" s="1">
        <v>0</v>
      </c>
      <c r="G35" s="1">
        <v>2</v>
      </c>
      <c r="H35" s="1">
        <v>5554350000000</v>
      </c>
      <c r="I35" s="1">
        <v>4803080000000</v>
      </c>
      <c r="J35" s="1">
        <v>4913180000000</v>
      </c>
      <c r="K35" s="1">
        <v>4731470000000</v>
      </c>
      <c r="L35" s="1">
        <v>421749000000</v>
      </c>
      <c r="N35" s="8">
        <v>0.0330069</v>
      </c>
      <c r="O35" s="1">
        <v>0.0336842</v>
      </c>
      <c r="P35" s="1">
        <v>20100400000000</v>
      </c>
      <c r="Q35" s="1">
        <v>101839000</v>
      </c>
      <c r="R35" s="1">
        <v>0</v>
      </c>
      <c r="S35" s="1">
        <v>0</v>
      </c>
      <c r="T35" s="1">
        <v>2</v>
      </c>
      <c r="U35" s="1">
        <v>5539700000000</v>
      </c>
      <c r="V35" s="1">
        <v>4749490000000</v>
      </c>
      <c r="W35" s="1">
        <v>4791560000000</v>
      </c>
      <c r="X35" s="1">
        <v>4758240000000</v>
      </c>
      <c r="Y35" s="1">
        <v>261383000000</v>
      </c>
      <c r="AA35" s="8">
        <v>0.0329772</v>
      </c>
      <c r="AB35" s="1">
        <v>0.0336747</v>
      </c>
      <c r="AC35" s="1">
        <v>19888900000000</v>
      </c>
      <c r="AD35" s="1">
        <v>382325000</v>
      </c>
      <c r="AE35" s="1">
        <v>0</v>
      </c>
      <c r="AF35" s="1">
        <v>0</v>
      </c>
      <c r="AG35" s="1">
        <v>2</v>
      </c>
      <c r="AH35" s="1">
        <v>4917220000000</v>
      </c>
      <c r="AI35" s="1">
        <v>4925140000000</v>
      </c>
      <c r="AJ35" s="1">
        <v>4906330000000</v>
      </c>
      <c r="AK35" s="1">
        <v>4902370000000</v>
      </c>
      <c r="AL35" s="1">
        <v>237786000000</v>
      </c>
      <c r="AN35" s="1">
        <f t="shared" si="5"/>
        <v>0.0329689</v>
      </c>
      <c r="AO35" s="1">
        <f t="shared" si="6"/>
        <v>20137700000000</v>
      </c>
      <c r="AP35" s="1"/>
      <c r="AQ35" s="1"/>
      <c r="AR35" s="1">
        <f t="shared" si="7"/>
        <v>306972666666.667</v>
      </c>
      <c r="AS35" s="1">
        <f t="shared" si="8"/>
        <v>237786000000</v>
      </c>
      <c r="AT35" s="1">
        <f t="shared" si="9"/>
        <v>421749000000</v>
      </c>
    </row>
    <row r="36" spans="1:46">
      <c r="A36" s="8">
        <v>0.0339732</v>
      </c>
      <c r="B36" s="1">
        <v>0.0346463</v>
      </c>
      <c r="C36" s="1">
        <v>20213800000000</v>
      </c>
      <c r="D36" s="1">
        <v>318551000</v>
      </c>
      <c r="E36" s="1">
        <v>0</v>
      </c>
      <c r="F36" s="1">
        <v>0</v>
      </c>
      <c r="G36" s="1">
        <v>2</v>
      </c>
      <c r="H36" s="1">
        <v>5532450000000</v>
      </c>
      <c r="I36" s="1">
        <v>4795790000000</v>
      </c>
      <c r="J36" s="1">
        <v>4810250000000</v>
      </c>
      <c r="K36" s="1">
        <v>4789990000000</v>
      </c>
      <c r="L36" s="1">
        <v>285340000000</v>
      </c>
      <c r="N36" s="8">
        <v>0.0339952</v>
      </c>
      <c r="O36" s="1">
        <v>0.0346851</v>
      </c>
      <c r="P36" s="1">
        <v>20056100000000</v>
      </c>
      <c r="Q36" s="1">
        <v>76634800</v>
      </c>
      <c r="R36" s="1">
        <v>0</v>
      </c>
      <c r="S36" s="1">
        <v>0</v>
      </c>
      <c r="T36" s="1">
        <v>2</v>
      </c>
      <c r="U36" s="1">
        <v>5526460000000</v>
      </c>
      <c r="V36" s="1">
        <v>4761290000000</v>
      </c>
      <c r="W36" s="1">
        <v>4748230000000</v>
      </c>
      <c r="X36" s="1">
        <v>4775380000000</v>
      </c>
      <c r="Y36" s="1">
        <v>244756000000</v>
      </c>
      <c r="AA36" s="8">
        <v>0.0340291</v>
      </c>
      <c r="AB36" s="1">
        <v>0.0347232</v>
      </c>
      <c r="AC36" s="1">
        <v>19994800000000</v>
      </c>
      <c r="AD36" s="1">
        <v>415305000</v>
      </c>
      <c r="AE36" s="1">
        <v>0</v>
      </c>
      <c r="AF36" s="1">
        <v>0</v>
      </c>
      <c r="AG36" s="1">
        <v>2</v>
      </c>
      <c r="AH36" s="1">
        <v>4908520000000</v>
      </c>
      <c r="AI36" s="1">
        <v>4897770000000</v>
      </c>
      <c r="AJ36" s="1">
        <v>4971950000000</v>
      </c>
      <c r="AK36" s="1">
        <v>4910990000000</v>
      </c>
      <c r="AL36" s="1">
        <v>305569000000</v>
      </c>
      <c r="AN36" s="1">
        <f t="shared" si="5"/>
        <v>0.0339732</v>
      </c>
      <c r="AO36" s="1">
        <f t="shared" si="6"/>
        <v>20088233333333.3</v>
      </c>
      <c r="AP36" s="1"/>
      <c r="AQ36" s="1"/>
      <c r="AR36" s="1">
        <f t="shared" si="7"/>
        <v>278555000000</v>
      </c>
      <c r="AS36" s="1">
        <f t="shared" si="8"/>
        <v>244756000000</v>
      </c>
      <c r="AT36" s="1">
        <f t="shared" si="9"/>
        <v>305569000000</v>
      </c>
    </row>
    <row r="37" spans="1:46">
      <c r="A37" s="8">
        <v>0.035011</v>
      </c>
      <c r="B37" s="1">
        <v>0.0356809</v>
      </c>
      <c r="C37" s="1">
        <v>20073600000000</v>
      </c>
      <c r="D37" s="1">
        <v>513506000</v>
      </c>
      <c r="E37" s="1">
        <v>0</v>
      </c>
      <c r="F37" s="1">
        <v>0</v>
      </c>
      <c r="G37" s="1">
        <v>2</v>
      </c>
      <c r="H37" s="1">
        <v>5525640000000</v>
      </c>
      <c r="I37" s="1">
        <v>4780650000000</v>
      </c>
      <c r="J37" s="1">
        <v>4739110000000</v>
      </c>
      <c r="K37" s="1">
        <v>4746560000000</v>
      </c>
      <c r="L37" s="1">
        <v>281583000000</v>
      </c>
      <c r="N37" s="8">
        <v>0.0350233</v>
      </c>
      <c r="O37" s="1">
        <v>0.0356841</v>
      </c>
      <c r="P37" s="1">
        <v>19964800000000</v>
      </c>
      <c r="Q37" s="1">
        <v>219091000</v>
      </c>
      <c r="R37" s="1">
        <v>0</v>
      </c>
      <c r="S37" s="1">
        <v>0</v>
      </c>
      <c r="T37" s="1">
        <v>2</v>
      </c>
      <c r="U37" s="1">
        <v>5543350000000</v>
      </c>
      <c r="V37" s="1">
        <v>4746680000000</v>
      </c>
      <c r="W37" s="1">
        <v>4744600000000</v>
      </c>
      <c r="X37" s="1">
        <v>4759770000000</v>
      </c>
      <c r="Y37" s="1">
        <v>170374000000</v>
      </c>
      <c r="AA37" s="8">
        <v>0.035</v>
      </c>
      <c r="AB37" s="1">
        <v>0.0356893</v>
      </c>
      <c r="AC37" s="1">
        <v>20070700000000</v>
      </c>
      <c r="AD37" s="1">
        <v>426294000</v>
      </c>
      <c r="AE37" s="1">
        <v>0</v>
      </c>
      <c r="AF37" s="1">
        <v>0</v>
      </c>
      <c r="AG37" s="1">
        <v>2</v>
      </c>
      <c r="AH37" s="1">
        <v>4909420000000</v>
      </c>
      <c r="AI37" s="1">
        <v>4947180000000</v>
      </c>
      <c r="AJ37" s="1">
        <v>4985830000000</v>
      </c>
      <c r="AK37" s="1">
        <v>4898590000000</v>
      </c>
      <c r="AL37" s="1">
        <v>329676000000</v>
      </c>
      <c r="AN37" s="1">
        <f t="shared" si="5"/>
        <v>0.035011</v>
      </c>
      <c r="AO37" s="1">
        <f t="shared" si="6"/>
        <v>20036366666666.7</v>
      </c>
      <c r="AP37" s="1"/>
      <c r="AQ37" s="1"/>
      <c r="AR37" s="1">
        <f t="shared" si="7"/>
        <v>260544333333.333</v>
      </c>
      <c r="AS37" s="1">
        <f t="shared" si="8"/>
        <v>170374000000</v>
      </c>
      <c r="AT37" s="1">
        <f t="shared" si="9"/>
        <v>329676000000</v>
      </c>
    </row>
    <row r="38" spans="1:46">
      <c r="A38" s="8">
        <v>0.0359973</v>
      </c>
      <c r="B38" s="1">
        <v>0.0366734</v>
      </c>
      <c r="C38" s="1">
        <v>20045300000000</v>
      </c>
      <c r="D38" s="1">
        <v>147988000</v>
      </c>
      <c r="E38" s="1">
        <v>0</v>
      </c>
      <c r="F38" s="1">
        <v>0</v>
      </c>
      <c r="G38" s="1">
        <v>2</v>
      </c>
      <c r="H38" s="1">
        <v>5546810000000</v>
      </c>
      <c r="I38" s="1">
        <v>4746220000000</v>
      </c>
      <c r="J38" s="1">
        <v>4749390000000</v>
      </c>
      <c r="K38" s="1">
        <v>4748460000000</v>
      </c>
      <c r="L38" s="1">
        <v>254413000000</v>
      </c>
      <c r="N38" s="8">
        <v>0.03602</v>
      </c>
      <c r="O38" s="1">
        <v>0.0367032</v>
      </c>
      <c r="P38" s="1">
        <v>20003000000000</v>
      </c>
      <c r="Q38" s="1">
        <v>290508000</v>
      </c>
      <c r="R38" s="1">
        <v>0</v>
      </c>
      <c r="S38" s="1">
        <v>0</v>
      </c>
      <c r="T38" s="1">
        <v>2</v>
      </c>
      <c r="U38" s="1">
        <v>5534290000000</v>
      </c>
      <c r="V38" s="1">
        <v>4742380000000</v>
      </c>
      <c r="W38" s="1">
        <v>4732180000000</v>
      </c>
      <c r="X38" s="1">
        <v>4746220000000</v>
      </c>
      <c r="Y38" s="1">
        <v>247902000000</v>
      </c>
      <c r="AA38" s="8">
        <v>0.0359894</v>
      </c>
      <c r="AB38" s="1">
        <v>0.0366755</v>
      </c>
      <c r="AC38" s="1">
        <v>20112000000000</v>
      </c>
      <c r="AD38" s="1">
        <v>323639000</v>
      </c>
      <c r="AE38" s="1">
        <v>0</v>
      </c>
      <c r="AF38" s="1">
        <v>0</v>
      </c>
      <c r="AG38" s="1">
        <v>2</v>
      </c>
      <c r="AH38" s="1">
        <v>4907930000000</v>
      </c>
      <c r="AI38" s="1">
        <v>4932450000000</v>
      </c>
      <c r="AJ38" s="1">
        <v>5016070000000</v>
      </c>
      <c r="AK38" s="1">
        <v>4919440000000</v>
      </c>
      <c r="AL38" s="1">
        <v>336131000000</v>
      </c>
      <c r="AN38" s="1">
        <f t="shared" si="5"/>
        <v>0.0359973</v>
      </c>
      <c r="AO38" s="1">
        <f t="shared" si="6"/>
        <v>20053433333333.3</v>
      </c>
      <c r="AP38" s="1"/>
      <c r="AQ38" s="1"/>
      <c r="AR38" s="1">
        <f t="shared" si="7"/>
        <v>279482000000</v>
      </c>
      <c r="AS38" s="1">
        <f t="shared" si="8"/>
        <v>247902000000</v>
      </c>
      <c r="AT38" s="1">
        <f t="shared" si="9"/>
        <v>336131000000</v>
      </c>
    </row>
    <row r="39" spans="1:46">
      <c r="A39" s="8">
        <v>0.0370147</v>
      </c>
      <c r="B39" s="1">
        <v>0.0377001</v>
      </c>
      <c r="C39" s="1">
        <v>20057700000000</v>
      </c>
      <c r="D39" s="1">
        <v>482049000</v>
      </c>
      <c r="E39" s="1">
        <v>0</v>
      </c>
      <c r="F39" s="1">
        <v>0</v>
      </c>
      <c r="G39" s="1">
        <v>2</v>
      </c>
      <c r="H39" s="1">
        <v>5559800000000</v>
      </c>
      <c r="I39" s="1">
        <v>4760100000000</v>
      </c>
      <c r="J39" s="1">
        <v>4742870000000</v>
      </c>
      <c r="K39" s="1">
        <v>4751180000000</v>
      </c>
      <c r="L39" s="1">
        <v>243756000000</v>
      </c>
      <c r="N39" s="8">
        <v>0.0370227</v>
      </c>
      <c r="O39" s="1">
        <v>0.0377204</v>
      </c>
      <c r="P39" s="1">
        <v>20148300000000</v>
      </c>
      <c r="Q39" s="1">
        <v>722533000</v>
      </c>
      <c r="R39" s="1">
        <v>0</v>
      </c>
      <c r="S39" s="1">
        <v>0</v>
      </c>
      <c r="T39" s="1">
        <v>2</v>
      </c>
      <c r="U39" s="1">
        <v>5612600000000</v>
      </c>
      <c r="V39" s="1">
        <v>4780450000000</v>
      </c>
      <c r="W39" s="1">
        <v>4752970000000</v>
      </c>
      <c r="X39" s="1">
        <v>4740740000000</v>
      </c>
      <c r="Y39" s="1">
        <v>261545000000</v>
      </c>
      <c r="AA39" s="8">
        <v>0.0370088</v>
      </c>
      <c r="AB39" s="1">
        <v>0.0377006</v>
      </c>
      <c r="AC39" s="1">
        <v>19935600000000</v>
      </c>
      <c r="AD39" s="1">
        <v>119073000</v>
      </c>
      <c r="AE39" s="1">
        <v>0</v>
      </c>
      <c r="AF39" s="1">
        <v>0</v>
      </c>
      <c r="AG39" s="1">
        <v>2</v>
      </c>
      <c r="AH39" s="1">
        <v>4921660000000</v>
      </c>
      <c r="AI39" s="1">
        <v>4906560000000</v>
      </c>
      <c r="AJ39" s="1">
        <v>4916110000000</v>
      </c>
      <c r="AK39" s="1">
        <v>4898350000000</v>
      </c>
      <c r="AL39" s="1">
        <v>292947000000</v>
      </c>
      <c r="AN39" s="1">
        <f t="shared" si="5"/>
        <v>0.0370147</v>
      </c>
      <c r="AO39" s="1">
        <f t="shared" si="6"/>
        <v>20047200000000</v>
      </c>
      <c r="AP39" s="1"/>
      <c r="AQ39" s="1"/>
      <c r="AR39" s="1">
        <f t="shared" si="7"/>
        <v>266082666666.667</v>
      </c>
      <c r="AS39" s="1">
        <f t="shared" si="8"/>
        <v>243756000000</v>
      </c>
      <c r="AT39" s="1">
        <f t="shared" si="9"/>
        <v>292947000000</v>
      </c>
    </row>
    <row r="40" spans="1:46">
      <c r="A40" s="8">
        <v>0.0379976</v>
      </c>
      <c r="B40" s="1">
        <v>0.0386724</v>
      </c>
      <c r="C40" s="1">
        <v>20065200000000</v>
      </c>
      <c r="D40" s="1">
        <v>285444000</v>
      </c>
      <c r="E40" s="1">
        <v>0</v>
      </c>
      <c r="F40" s="1">
        <v>0</v>
      </c>
      <c r="G40" s="1">
        <v>2</v>
      </c>
      <c r="H40" s="1">
        <v>5532140000000</v>
      </c>
      <c r="I40" s="1">
        <v>4751450000000</v>
      </c>
      <c r="J40" s="1">
        <v>4783860000000</v>
      </c>
      <c r="K40" s="1">
        <v>4754150000000</v>
      </c>
      <c r="L40" s="1">
        <v>243588000000</v>
      </c>
      <c r="N40" s="8">
        <v>0.037966</v>
      </c>
      <c r="O40" s="1">
        <v>0.0386696</v>
      </c>
      <c r="P40" s="1">
        <v>20073900000000</v>
      </c>
      <c r="Q40" s="1">
        <v>259200000</v>
      </c>
      <c r="R40" s="1">
        <v>0</v>
      </c>
      <c r="S40" s="1">
        <v>0</v>
      </c>
      <c r="T40" s="1">
        <v>2</v>
      </c>
      <c r="U40" s="1">
        <v>5571790000000</v>
      </c>
      <c r="V40" s="1">
        <v>4748280000000</v>
      </c>
      <c r="W40" s="1">
        <v>4737600000000</v>
      </c>
      <c r="X40" s="1">
        <v>4737500000000</v>
      </c>
      <c r="Y40" s="1">
        <v>278743000000</v>
      </c>
      <c r="AA40" s="8">
        <v>0.0379902</v>
      </c>
      <c r="AB40" s="1">
        <v>0.0386771</v>
      </c>
      <c r="AC40" s="1">
        <v>19885200000000</v>
      </c>
      <c r="AD40" s="1">
        <v>154693000</v>
      </c>
      <c r="AE40" s="1">
        <v>0</v>
      </c>
      <c r="AF40" s="1">
        <v>0</v>
      </c>
      <c r="AG40" s="1">
        <v>2</v>
      </c>
      <c r="AH40" s="1">
        <v>4913910000000</v>
      </c>
      <c r="AI40" s="1">
        <v>4882650000000</v>
      </c>
      <c r="AJ40" s="1">
        <v>4928470000000</v>
      </c>
      <c r="AK40" s="1">
        <v>4907790000000</v>
      </c>
      <c r="AL40" s="1">
        <v>252357000000</v>
      </c>
      <c r="AN40" s="1">
        <f t="shared" si="5"/>
        <v>0.0379976</v>
      </c>
      <c r="AO40" s="1">
        <f t="shared" si="6"/>
        <v>20008100000000</v>
      </c>
      <c r="AP40" s="1"/>
      <c r="AQ40" s="1"/>
      <c r="AR40" s="1">
        <f t="shared" si="7"/>
        <v>258229333333.333</v>
      </c>
      <c r="AS40" s="1">
        <f t="shared" si="8"/>
        <v>243588000000</v>
      </c>
      <c r="AT40" s="1">
        <f t="shared" si="9"/>
        <v>278743000000</v>
      </c>
    </row>
    <row r="41" spans="1:46">
      <c r="A41" s="8">
        <v>0.0390228</v>
      </c>
      <c r="B41" s="1">
        <v>0.039708</v>
      </c>
      <c r="C41" s="1">
        <v>20100700000000</v>
      </c>
      <c r="D41" s="1">
        <v>546046000</v>
      </c>
      <c r="E41" s="1">
        <v>0</v>
      </c>
      <c r="F41" s="1">
        <v>0</v>
      </c>
      <c r="G41" s="1">
        <v>2</v>
      </c>
      <c r="H41" s="1">
        <v>5562990000000</v>
      </c>
      <c r="I41" s="1">
        <v>4739990000000</v>
      </c>
      <c r="J41" s="1">
        <v>4722430000000</v>
      </c>
      <c r="K41" s="1">
        <v>4753060000000</v>
      </c>
      <c r="L41" s="1">
        <v>322193000000</v>
      </c>
      <c r="N41" s="8">
        <v>0.0390078</v>
      </c>
      <c r="O41" s="1">
        <v>0.0396935</v>
      </c>
      <c r="P41" s="1">
        <v>20090600000000</v>
      </c>
      <c r="Q41" s="1">
        <v>235504000</v>
      </c>
      <c r="R41" s="1">
        <v>0</v>
      </c>
      <c r="S41" s="1">
        <v>0</v>
      </c>
      <c r="T41" s="1">
        <v>2</v>
      </c>
      <c r="U41" s="1">
        <v>5561530000000</v>
      </c>
      <c r="V41" s="1">
        <v>4782040000000</v>
      </c>
      <c r="W41" s="1">
        <v>4763630000000</v>
      </c>
      <c r="X41" s="1">
        <v>4718110000000</v>
      </c>
      <c r="Y41" s="1">
        <v>265346000000</v>
      </c>
      <c r="AA41" s="8">
        <v>0.0389842</v>
      </c>
      <c r="AB41" s="1">
        <v>0.0396823</v>
      </c>
      <c r="AC41" s="1">
        <v>19974400000000</v>
      </c>
      <c r="AD41" s="1">
        <v>403555000</v>
      </c>
      <c r="AE41" s="1">
        <v>0</v>
      </c>
      <c r="AF41" s="1">
        <v>0</v>
      </c>
      <c r="AG41" s="1">
        <v>2</v>
      </c>
      <c r="AH41" s="1">
        <v>4923670000000</v>
      </c>
      <c r="AI41" s="1">
        <v>4909800000000</v>
      </c>
      <c r="AJ41" s="1">
        <v>4915680000000</v>
      </c>
      <c r="AK41" s="1">
        <v>4930590000000</v>
      </c>
      <c r="AL41" s="1">
        <v>294693000000</v>
      </c>
      <c r="AN41" s="1">
        <f t="shared" si="5"/>
        <v>0.0390228</v>
      </c>
      <c r="AO41" s="1">
        <f t="shared" si="6"/>
        <v>20055233333333.3</v>
      </c>
      <c r="AP41" s="1"/>
      <c r="AQ41" s="1"/>
      <c r="AR41" s="1">
        <f t="shared" si="7"/>
        <v>294077333333.333</v>
      </c>
      <c r="AS41" s="1">
        <f t="shared" si="8"/>
        <v>265346000000</v>
      </c>
      <c r="AT41" s="1">
        <f t="shared" si="9"/>
        <v>322193000000</v>
      </c>
    </row>
    <row r="42" spans="1:46">
      <c r="A42" s="8">
        <v>0.040004</v>
      </c>
      <c r="B42" s="1">
        <v>0.0406706</v>
      </c>
      <c r="C42" s="1">
        <v>20064400000000</v>
      </c>
      <c r="D42" s="1">
        <v>315771000</v>
      </c>
      <c r="E42" s="1">
        <v>0</v>
      </c>
      <c r="F42" s="1">
        <v>0</v>
      </c>
      <c r="G42" s="1">
        <v>2</v>
      </c>
      <c r="H42" s="1">
        <v>5554390000000</v>
      </c>
      <c r="I42" s="1">
        <v>4744410000000</v>
      </c>
      <c r="J42" s="1">
        <v>4767000000000</v>
      </c>
      <c r="K42" s="1">
        <v>4781180000000</v>
      </c>
      <c r="L42" s="1">
        <v>217425000000</v>
      </c>
      <c r="N42" s="8">
        <v>0.0400277</v>
      </c>
      <c r="O42" s="1">
        <v>0.0407066</v>
      </c>
      <c r="P42" s="1">
        <v>20113300000000</v>
      </c>
      <c r="Q42" s="1">
        <v>270817000</v>
      </c>
      <c r="R42" s="1">
        <v>0</v>
      </c>
      <c r="S42" s="1">
        <v>0</v>
      </c>
      <c r="T42" s="1">
        <v>2</v>
      </c>
      <c r="U42" s="1">
        <v>5523570000000</v>
      </c>
      <c r="V42" s="1">
        <v>4844500000000</v>
      </c>
      <c r="W42" s="1">
        <v>4755590000000</v>
      </c>
      <c r="X42" s="1">
        <v>4736710000000</v>
      </c>
      <c r="Y42" s="1">
        <v>252902000000</v>
      </c>
      <c r="AA42" s="8">
        <v>0.0400083</v>
      </c>
      <c r="AB42" s="1">
        <v>0.0406873</v>
      </c>
      <c r="AC42" s="1">
        <v>19879200000000</v>
      </c>
      <c r="AD42" s="1">
        <v>281741000</v>
      </c>
      <c r="AE42" s="1">
        <v>0</v>
      </c>
      <c r="AF42" s="1">
        <v>0</v>
      </c>
      <c r="AG42" s="1">
        <v>2</v>
      </c>
      <c r="AH42" s="1">
        <v>4907970000000</v>
      </c>
      <c r="AI42" s="1">
        <v>4917670000000</v>
      </c>
      <c r="AJ42" s="1">
        <v>4924090000000</v>
      </c>
      <c r="AK42" s="1">
        <v>4905570000000</v>
      </c>
      <c r="AL42" s="1">
        <v>223869000000</v>
      </c>
      <c r="AN42" s="1">
        <f t="shared" si="5"/>
        <v>0.040004</v>
      </c>
      <c r="AO42" s="1">
        <f t="shared" si="6"/>
        <v>20018966666666.7</v>
      </c>
      <c r="AP42" s="1"/>
      <c r="AQ42" s="1"/>
      <c r="AR42" s="1">
        <f t="shared" si="7"/>
        <v>231398666666.667</v>
      </c>
      <c r="AS42" s="1">
        <f t="shared" si="8"/>
        <v>217425000000</v>
      </c>
      <c r="AT42" s="1">
        <f t="shared" si="9"/>
        <v>252902000000</v>
      </c>
    </row>
    <row r="43" spans="1:46">
      <c r="A43" s="8">
        <v>0.0409965</v>
      </c>
      <c r="B43" s="1">
        <v>0.0416697</v>
      </c>
      <c r="C43" s="1">
        <v>20049200000000</v>
      </c>
      <c r="D43" s="1">
        <v>51040100</v>
      </c>
      <c r="E43" s="1">
        <v>0</v>
      </c>
      <c r="F43" s="1">
        <v>0</v>
      </c>
      <c r="G43" s="1">
        <v>2</v>
      </c>
      <c r="H43" s="1">
        <v>5548040000000</v>
      </c>
      <c r="I43" s="1">
        <v>4736060000000</v>
      </c>
      <c r="J43" s="1">
        <v>4768960000000</v>
      </c>
      <c r="K43" s="1">
        <v>4770530000000</v>
      </c>
      <c r="L43" s="1">
        <v>225646000000</v>
      </c>
      <c r="N43" s="8">
        <v>0.0410055</v>
      </c>
      <c r="O43" s="1">
        <v>0.0416793</v>
      </c>
      <c r="P43" s="1">
        <v>19994100000000</v>
      </c>
      <c r="Q43" s="1">
        <v>188423000</v>
      </c>
      <c r="R43" s="1">
        <v>0</v>
      </c>
      <c r="S43" s="1">
        <v>0</v>
      </c>
      <c r="T43" s="1">
        <v>2</v>
      </c>
      <c r="U43" s="1">
        <v>5531440000000</v>
      </c>
      <c r="V43" s="1">
        <v>4759370000000</v>
      </c>
      <c r="W43" s="1">
        <v>4737590000000</v>
      </c>
      <c r="X43" s="1">
        <v>4756670000000</v>
      </c>
      <c r="Y43" s="1">
        <v>209049000000</v>
      </c>
      <c r="AA43" s="8">
        <v>0.041012</v>
      </c>
      <c r="AB43" s="1">
        <v>0.0416997</v>
      </c>
      <c r="AC43" s="1">
        <v>19972900000000</v>
      </c>
      <c r="AD43" s="1">
        <v>249372000</v>
      </c>
      <c r="AE43" s="1">
        <v>0</v>
      </c>
      <c r="AF43" s="1">
        <v>0</v>
      </c>
      <c r="AG43" s="1">
        <v>2</v>
      </c>
      <c r="AH43" s="1">
        <v>4903240000000</v>
      </c>
      <c r="AI43" s="1">
        <v>4914390000000</v>
      </c>
      <c r="AJ43" s="1">
        <v>4922920000000</v>
      </c>
      <c r="AK43" s="1">
        <v>4954550000000</v>
      </c>
      <c r="AL43" s="1">
        <v>277824000000</v>
      </c>
      <c r="AN43" s="1">
        <f t="shared" si="5"/>
        <v>0.0409965</v>
      </c>
      <c r="AO43" s="1">
        <f t="shared" si="6"/>
        <v>20005400000000</v>
      </c>
      <c r="AP43" s="1"/>
      <c r="AQ43" s="1"/>
      <c r="AR43" s="1">
        <f t="shared" si="7"/>
        <v>237506333333.333</v>
      </c>
      <c r="AS43" s="1">
        <f t="shared" si="8"/>
        <v>209049000000</v>
      </c>
      <c r="AT43" s="1">
        <f t="shared" si="9"/>
        <v>277824000000</v>
      </c>
    </row>
    <row r="44" spans="1:46">
      <c r="A44" s="8">
        <v>0.0420297</v>
      </c>
      <c r="B44" s="1">
        <v>0.0427276</v>
      </c>
      <c r="C44" s="1">
        <v>20093900000000</v>
      </c>
      <c r="D44" s="1">
        <v>116627000</v>
      </c>
      <c r="E44" s="1">
        <v>0</v>
      </c>
      <c r="F44" s="1">
        <v>0</v>
      </c>
      <c r="G44" s="1">
        <v>2</v>
      </c>
      <c r="H44" s="1">
        <v>5559340000000</v>
      </c>
      <c r="I44" s="1">
        <v>4748170000000</v>
      </c>
      <c r="J44" s="1">
        <v>4765270000000</v>
      </c>
      <c r="K44" s="1">
        <v>4773610000000</v>
      </c>
      <c r="L44" s="1">
        <v>247551000000</v>
      </c>
      <c r="N44" s="8">
        <v>0.0419779</v>
      </c>
      <c r="O44" s="1">
        <v>0.0426663</v>
      </c>
      <c r="P44" s="1">
        <v>20080000000000</v>
      </c>
      <c r="Q44" s="1">
        <v>83209800</v>
      </c>
      <c r="R44" s="1">
        <v>0</v>
      </c>
      <c r="S44" s="1">
        <v>0</v>
      </c>
      <c r="T44" s="1">
        <v>2</v>
      </c>
      <c r="U44" s="1">
        <v>5554600000000</v>
      </c>
      <c r="V44" s="1">
        <v>4743890000000</v>
      </c>
      <c r="W44" s="1">
        <v>4748100000000</v>
      </c>
      <c r="X44" s="1">
        <v>4781810000000</v>
      </c>
      <c r="Y44" s="1">
        <v>251582000000</v>
      </c>
      <c r="AA44" s="8">
        <v>0.0420119</v>
      </c>
      <c r="AB44" s="1">
        <v>0.0426971</v>
      </c>
      <c r="AC44" s="1">
        <v>19891000000000</v>
      </c>
      <c r="AD44" s="1">
        <v>145790000</v>
      </c>
      <c r="AE44" s="1">
        <v>0</v>
      </c>
      <c r="AF44" s="1">
        <v>0</v>
      </c>
      <c r="AG44" s="1">
        <v>2</v>
      </c>
      <c r="AH44" s="1">
        <v>4908720000000</v>
      </c>
      <c r="AI44" s="1">
        <v>4921600000000</v>
      </c>
      <c r="AJ44" s="1">
        <v>4919390000000</v>
      </c>
      <c r="AK44" s="1">
        <v>4935010000000</v>
      </c>
      <c r="AL44" s="1">
        <v>206268000000</v>
      </c>
      <c r="AN44" s="1">
        <f t="shared" si="5"/>
        <v>0.0420297</v>
      </c>
      <c r="AO44" s="1">
        <f t="shared" si="6"/>
        <v>20021633333333.3</v>
      </c>
      <c r="AP44" s="1"/>
      <c r="AQ44" s="1"/>
      <c r="AR44" s="1">
        <f t="shared" si="7"/>
        <v>235133666666.667</v>
      </c>
      <c r="AS44" s="1">
        <f t="shared" si="8"/>
        <v>206268000000</v>
      </c>
      <c r="AT44" s="1">
        <f t="shared" si="9"/>
        <v>251582000000</v>
      </c>
    </row>
    <row r="45" spans="1:46">
      <c r="A45" s="8">
        <v>0.0429955</v>
      </c>
      <c r="B45" s="1">
        <v>0.043697</v>
      </c>
      <c r="C45" s="1">
        <v>20104300000000</v>
      </c>
      <c r="D45" s="1">
        <v>348960000</v>
      </c>
      <c r="E45" s="1">
        <v>0</v>
      </c>
      <c r="F45" s="1">
        <v>0</v>
      </c>
      <c r="G45" s="1">
        <v>2</v>
      </c>
      <c r="H45" s="1">
        <v>5578190000000</v>
      </c>
      <c r="I45" s="1">
        <v>4762120000000</v>
      </c>
      <c r="J45" s="1">
        <v>4746920000000</v>
      </c>
      <c r="K45" s="1">
        <v>4763390000000</v>
      </c>
      <c r="L45" s="1">
        <v>253683000000</v>
      </c>
      <c r="N45" s="8">
        <v>0.0430051</v>
      </c>
      <c r="O45" s="1">
        <v>0.0436799</v>
      </c>
      <c r="P45" s="1">
        <v>20032100000000</v>
      </c>
      <c r="Q45" s="1">
        <v>979416000</v>
      </c>
      <c r="R45" s="1">
        <v>0</v>
      </c>
      <c r="S45" s="1">
        <v>0</v>
      </c>
      <c r="T45" s="1">
        <v>2</v>
      </c>
      <c r="U45" s="1">
        <v>5543850000000</v>
      </c>
      <c r="V45" s="1">
        <v>4735300000000</v>
      </c>
      <c r="W45" s="1">
        <v>4756980000000</v>
      </c>
      <c r="X45" s="1">
        <v>4750070000000</v>
      </c>
      <c r="Y45" s="1">
        <v>245928000000</v>
      </c>
      <c r="AA45" s="8">
        <v>0.042994</v>
      </c>
      <c r="AB45" s="1">
        <v>0.0436888</v>
      </c>
      <c r="AC45" s="1">
        <v>19995900000000</v>
      </c>
      <c r="AD45" s="1">
        <v>316959000</v>
      </c>
      <c r="AE45" s="1">
        <v>0</v>
      </c>
      <c r="AF45" s="1">
        <v>0</v>
      </c>
      <c r="AG45" s="1">
        <v>2</v>
      </c>
      <c r="AH45" s="1">
        <v>4927100000000</v>
      </c>
      <c r="AI45" s="1">
        <v>4939210000000</v>
      </c>
      <c r="AJ45" s="1">
        <v>4928580000000</v>
      </c>
      <c r="AK45" s="1">
        <v>4928680000000</v>
      </c>
      <c r="AL45" s="1">
        <v>272298000000</v>
      </c>
      <c r="AN45" s="1">
        <f t="shared" si="5"/>
        <v>0.0429955</v>
      </c>
      <c r="AO45" s="1">
        <f t="shared" si="6"/>
        <v>20044100000000</v>
      </c>
      <c r="AP45" s="1"/>
      <c r="AQ45" s="1"/>
      <c r="AR45" s="1">
        <f t="shared" si="7"/>
        <v>257303000000</v>
      </c>
      <c r="AS45" s="1">
        <f t="shared" si="8"/>
        <v>245928000000</v>
      </c>
      <c r="AT45" s="1">
        <f t="shared" si="9"/>
        <v>272298000000</v>
      </c>
    </row>
    <row r="46" spans="1:46">
      <c r="A46" s="8">
        <v>0.043986</v>
      </c>
      <c r="B46" s="1">
        <v>0.04467</v>
      </c>
      <c r="C46" s="1">
        <v>20008800000000</v>
      </c>
      <c r="D46" s="1">
        <v>480403000</v>
      </c>
      <c r="E46" s="1">
        <v>0</v>
      </c>
      <c r="F46" s="1">
        <v>0</v>
      </c>
      <c r="G46" s="1">
        <v>2</v>
      </c>
      <c r="H46" s="1">
        <v>5539420000000</v>
      </c>
      <c r="I46" s="1">
        <v>4766720000000</v>
      </c>
      <c r="J46" s="1">
        <v>4740040000000</v>
      </c>
      <c r="K46" s="1">
        <v>4762490000000</v>
      </c>
      <c r="L46" s="1">
        <v>200153000000</v>
      </c>
      <c r="N46" s="8">
        <v>0.0439899</v>
      </c>
      <c r="O46" s="1">
        <v>0.0446874</v>
      </c>
      <c r="P46" s="1">
        <v>20212500000000</v>
      </c>
      <c r="Q46" s="1">
        <v>737702000</v>
      </c>
      <c r="R46" s="1">
        <v>0</v>
      </c>
      <c r="S46" s="1">
        <v>0</v>
      </c>
      <c r="T46" s="1">
        <v>2</v>
      </c>
      <c r="U46" s="1">
        <v>5573400000000</v>
      </c>
      <c r="V46" s="1">
        <v>4737280000000</v>
      </c>
      <c r="W46" s="1">
        <v>4767010000000</v>
      </c>
      <c r="X46" s="1">
        <v>4781020000000</v>
      </c>
      <c r="Y46" s="1">
        <v>353780000000</v>
      </c>
      <c r="AA46" s="8">
        <v>0.0439723</v>
      </c>
      <c r="AB46" s="1">
        <v>0.0446483</v>
      </c>
      <c r="AC46" s="1">
        <v>19841400000000</v>
      </c>
      <c r="AD46" s="1">
        <v>244743000</v>
      </c>
      <c r="AE46" s="1">
        <v>0</v>
      </c>
      <c r="AF46" s="1">
        <v>0</v>
      </c>
      <c r="AG46" s="1">
        <v>2</v>
      </c>
      <c r="AH46" s="1">
        <v>4882300000000</v>
      </c>
      <c r="AI46" s="1">
        <v>4910590000000</v>
      </c>
      <c r="AJ46" s="1">
        <v>4903450000000</v>
      </c>
      <c r="AK46" s="1">
        <v>4900540000000</v>
      </c>
      <c r="AL46" s="1">
        <v>244466000000</v>
      </c>
      <c r="AN46" s="1">
        <f t="shared" si="5"/>
        <v>0.043986</v>
      </c>
      <c r="AO46" s="1">
        <f t="shared" si="6"/>
        <v>20020900000000</v>
      </c>
      <c r="AP46" s="1"/>
      <c r="AQ46" s="1"/>
      <c r="AR46" s="1">
        <f t="shared" si="7"/>
        <v>266133000000</v>
      </c>
      <c r="AS46" s="1">
        <f t="shared" si="8"/>
        <v>200153000000</v>
      </c>
      <c r="AT46" s="1">
        <f t="shared" si="9"/>
        <v>353780000000</v>
      </c>
    </row>
    <row r="47" spans="1:46">
      <c r="A47" s="8">
        <v>0.0450076</v>
      </c>
      <c r="B47" s="1">
        <v>0.0456838</v>
      </c>
      <c r="C47" s="1">
        <v>19980000000000</v>
      </c>
      <c r="D47" s="1">
        <v>211687000</v>
      </c>
      <c r="E47" s="1">
        <v>0</v>
      </c>
      <c r="F47" s="1">
        <v>0</v>
      </c>
      <c r="G47" s="1">
        <v>2</v>
      </c>
      <c r="H47" s="1">
        <v>5551160000000</v>
      </c>
      <c r="I47" s="1">
        <v>4748090000000</v>
      </c>
      <c r="J47" s="1">
        <v>4741170000000</v>
      </c>
      <c r="K47" s="1">
        <v>4735470000000</v>
      </c>
      <c r="L47" s="1">
        <v>204123000000</v>
      </c>
      <c r="N47" s="8">
        <v>0.0450142</v>
      </c>
      <c r="O47" s="1">
        <v>0.0456912</v>
      </c>
      <c r="P47" s="1">
        <v>20100800000000</v>
      </c>
      <c r="Q47" s="1">
        <v>268318000</v>
      </c>
      <c r="R47" s="1">
        <v>0</v>
      </c>
      <c r="S47" s="1">
        <v>0</v>
      </c>
      <c r="T47" s="1">
        <v>2</v>
      </c>
      <c r="U47" s="1">
        <v>5556580000000</v>
      </c>
      <c r="V47" s="1">
        <v>4791090000000</v>
      </c>
      <c r="W47" s="1">
        <v>4749180000000</v>
      </c>
      <c r="X47" s="1">
        <v>4771480000000</v>
      </c>
      <c r="Y47" s="1">
        <v>232212000000</v>
      </c>
      <c r="AA47" s="8">
        <v>0.0450035</v>
      </c>
      <c r="AB47" s="1">
        <v>0.0456913</v>
      </c>
      <c r="AC47" s="1">
        <v>19922100000000</v>
      </c>
      <c r="AD47" s="1">
        <v>196680000</v>
      </c>
      <c r="AE47" s="1">
        <v>0</v>
      </c>
      <c r="AF47" s="1">
        <v>0</v>
      </c>
      <c r="AG47" s="1">
        <v>2</v>
      </c>
      <c r="AH47" s="1">
        <v>4900210000000</v>
      </c>
      <c r="AI47" s="1">
        <v>4913610000000</v>
      </c>
      <c r="AJ47" s="1">
        <v>4909670000000</v>
      </c>
      <c r="AK47" s="1">
        <v>4932320000000</v>
      </c>
      <c r="AL47" s="1">
        <v>266322000000</v>
      </c>
      <c r="AN47" s="1">
        <f t="shared" si="5"/>
        <v>0.0450076</v>
      </c>
      <c r="AO47" s="1">
        <f t="shared" si="6"/>
        <v>20000966666666.7</v>
      </c>
      <c r="AP47" s="1"/>
      <c r="AQ47" s="1"/>
      <c r="AR47" s="1">
        <f t="shared" si="7"/>
        <v>234219000000</v>
      </c>
      <c r="AS47" s="1">
        <f t="shared" si="8"/>
        <v>204123000000</v>
      </c>
      <c r="AT47" s="1">
        <f t="shared" si="9"/>
        <v>266322000000</v>
      </c>
    </row>
    <row r="48" spans="1:46">
      <c r="A48" s="8">
        <v>0.0459917</v>
      </c>
      <c r="B48" s="1">
        <v>0.0466754</v>
      </c>
      <c r="C48" s="1">
        <v>20073200000000</v>
      </c>
      <c r="D48" s="1">
        <v>320760000</v>
      </c>
      <c r="E48" s="1">
        <v>0</v>
      </c>
      <c r="F48" s="1">
        <v>0</v>
      </c>
      <c r="G48" s="1">
        <v>2</v>
      </c>
      <c r="H48" s="1">
        <v>5561450000000</v>
      </c>
      <c r="I48" s="1">
        <v>4773240000000</v>
      </c>
      <c r="J48" s="1">
        <v>4747740000000</v>
      </c>
      <c r="K48" s="1">
        <v>4751680000000</v>
      </c>
      <c r="L48" s="1">
        <v>239110000000</v>
      </c>
      <c r="N48" s="8">
        <v>0.046071</v>
      </c>
      <c r="O48" s="1">
        <v>0.0467447</v>
      </c>
      <c r="P48" s="1">
        <v>20005500000000</v>
      </c>
      <c r="Q48" s="1">
        <v>62331200</v>
      </c>
      <c r="R48" s="1">
        <v>0</v>
      </c>
      <c r="S48" s="1">
        <v>0</v>
      </c>
      <c r="T48" s="1">
        <v>2</v>
      </c>
      <c r="U48" s="1">
        <v>5498990000000</v>
      </c>
      <c r="V48" s="1">
        <v>4751220000000</v>
      </c>
      <c r="W48" s="1">
        <v>4769360000000</v>
      </c>
      <c r="X48" s="1">
        <v>4768670000000</v>
      </c>
      <c r="Y48" s="1">
        <v>217255000000</v>
      </c>
      <c r="AA48" s="8">
        <v>0.0460051</v>
      </c>
      <c r="AB48" s="1">
        <v>0.0467033</v>
      </c>
      <c r="AC48" s="1">
        <v>20116700000000</v>
      </c>
      <c r="AD48" s="1">
        <v>441242000</v>
      </c>
      <c r="AE48" s="1">
        <v>0</v>
      </c>
      <c r="AF48" s="1">
        <v>0</v>
      </c>
      <c r="AG48" s="1">
        <v>2</v>
      </c>
      <c r="AH48" s="1">
        <v>4901260000000</v>
      </c>
      <c r="AI48" s="1">
        <v>4900390000000</v>
      </c>
      <c r="AJ48" s="1">
        <v>4944560000000</v>
      </c>
      <c r="AK48" s="1">
        <v>4917410000000</v>
      </c>
      <c r="AL48" s="1">
        <v>453031000000</v>
      </c>
      <c r="AN48" s="1">
        <f t="shared" si="5"/>
        <v>0.0459917</v>
      </c>
      <c r="AO48" s="1">
        <f t="shared" si="6"/>
        <v>20065133333333.3</v>
      </c>
      <c r="AP48" s="1"/>
      <c r="AQ48" s="1"/>
      <c r="AR48" s="1">
        <f t="shared" si="7"/>
        <v>303132000000</v>
      </c>
      <c r="AS48" s="1">
        <f t="shared" si="8"/>
        <v>217255000000</v>
      </c>
      <c r="AT48" s="1">
        <f t="shared" si="9"/>
        <v>453031000000</v>
      </c>
    </row>
    <row r="49" spans="1:46">
      <c r="A49" s="8">
        <v>0.0469672</v>
      </c>
      <c r="B49" s="1">
        <v>0.0476485</v>
      </c>
      <c r="C49" s="1">
        <v>20064400000000</v>
      </c>
      <c r="D49" s="1">
        <v>345115000</v>
      </c>
      <c r="E49" s="1">
        <v>0</v>
      </c>
      <c r="F49" s="1">
        <v>0</v>
      </c>
      <c r="G49" s="1">
        <v>2</v>
      </c>
      <c r="H49" s="1">
        <v>5555490000000</v>
      </c>
      <c r="I49" s="1">
        <v>4751760000000</v>
      </c>
      <c r="J49" s="1">
        <v>4742790000000</v>
      </c>
      <c r="K49" s="1">
        <v>4738860000000</v>
      </c>
      <c r="L49" s="1">
        <v>275461000000</v>
      </c>
      <c r="N49" s="8">
        <v>0.0470068</v>
      </c>
      <c r="O49" s="1">
        <v>0.0476816</v>
      </c>
      <c r="P49" s="1">
        <v>20031400000000</v>
      </c>
      <c r="Q49" s="1">
        <v>239922000</v>
      </c>
      <c r="R49" s="1">
        <v>0</v>
      </c>
      <c r="S49" s="1">
        <v>0</v>
      </c>
      <c r="T49" s="1">
        <v>2</v>
      </c>
      <c r="U49" s="1">
        <v>5535120000000</v>
      </c>
      <c r="V49" s="1">
        <v>4755200000000</v>
      </c>
      <c r="W49" s="1">
        <v>4734360000000</v>
      </c>
      <c r="X49" s="1">
        <v>4759820000000</v>
      </c>
      <c r="Y49" s="1">
        <v>246871000000</v>
      </c>
      <c r="AA49" s="8">
        <v>0.0470141</v>
      </c>
      <c r="AB49" s="1">
        <v>0.0477069</v>
      </c>
      <c r="AC49" s="1">
        <v>20079900000000</v>
      </c>
      <c r="AD49" s="1">
        <v>495250000</v>
      </c>
      <c r="AE49" s="1">
        <v>0</v>
      </c>
      <c r="AF49" s="1">
        <v>0</v>
      </c>
      <c r="AG49" s="1">
        <v>2</v>
      </c>
      <c r="AH49" s="1">
        <v>4928030000000</v>
      </c>
      <c r="AI49" s="1">
        <v>4910170000000</v>
      </c>
      <c r="AJ49" s="1">
        <v>5010570000000</v>
      </c>
      <c r="AK49" s="1">
        <v>4945970000000</v>
      </c>
      <c r="AL49" s="1">
        <v>285182000000</v>
      </c>
      <c r="AN49" s="1">
        <f t="shared" si="5"/>
        <v>0.0469672</v>
      </c>
      <c r="AO49" s="1">
        <f t="shared" si="6"/>
        <v>20058566666666.7</v>
      </c>
      <c r="AP49" s="1"/>
      <c r="AQ49" s="1"/>
      <c r="AR49" s="1">
        <f t="shared" si="7"/>
        <v>269171333333.333</v>
      </c>
      <c r="AS49" s="1">
        <f t="shared" si="8"/>
        <v>246871000000</v>
      </c>
      <c r="AT49" s="1">
        <f t="shared" si="9"/>
        <v>285182000000</v>
      </c>
    </row>
    <row r="50" spans="1:46">
      <c r="A50" s="8">
        <v>0.0479836</v>
      </c>
      <c r="B50" s="1">
        <v>0.0486665</v>
      </c>
      <c r="C50" s="1">
        <v>20091300000000</v>
      </c>
      <c r="D50" s="1">
        <v>470131000</v>
      </c>
      <c r="E50" s="1">
        <v>0</v>
      </c>
      <c r="F50" s="1">
        <v>0</v>
      </c>
      <c r="G50" s="1">
        <v>2</v>
      </c>
      <c r="H50" s="1">
        <v>5592240000000</v>
      </c>
      <c r="I50" s="1">
        <v>4736570000000</v>
      </c>
      <c r="J50" s="1">
        <v>4724950000000</v>
      </c>
      <c r="K50" s="1">
        <v>4751080000000</v>
      </c>
      <c r="L50" s="1">
        <v>286426000000</v>
      </c>
      <c r="N50" s="8">
        <v>0.0479754</v>
      </c>
      <c r="O50" s="1">
        <v>0.0486657</v>
      </c>
      <c r="P50" s="1">
        <v>20172600000000</v>
      </c>
      <c r="Q50" s="1">
        <v>280725000</v>
      </c>
      <c r="R50" s="1">
        <v>0</v>
      </c>
      <c r="S50" s="1">
        <v>0</v>
      </c>
      <c r="T50" s="1">
        <v>2</v>
      </c>
      <c r="U50" s="1">
        <v>5548820000000</v>
      </c>
      <c r="V50" s="1">
        <v>4772490000000</v>
      </c>
      <c r="W50" s="1">
        <v>4766840000000</v>
      </c>
      <c r="X50" s="1">
        <v>4766260000000</v>
      </c>
      <c r="Y50" s="1">
        <v>318195000000</v>
      </c>
      <c r="AA50" s="8">
        <v>0.048013</v>
      </c>
      <c r="AB50" s="1">
        <v>0.0487038</v>
      </c>
      <c r="AC50" s="1">
        <v>19981600000000</v>
      </c>
      <c r="AD50" s="1">
        <v>176649000</v>
      </c>
      <c r="AE50" s="1">
        <v>0</v>
      </c>
      <c r="AF50" s="1">
        <v>0</v>
      </c>
      <c r="AG50" s="1">
        <v>2</v>
      </c>
      <c r="AH50" s="1">
        <v>4924390000000</v>
      </c>
      <c r="AI50" s="1">
        <v>4925190000000</v>
      </c>
      <c r="AJ50" s="1">
        <v>4953590000000</v>
      </c>
      <c r="AK50" s="1">
        <v>4924040000000</v>
      </c>
      <c r="AL50" s="1">
        <v>254360000000</v>
      </c>
      <c r="AN50" s="1">
        <f t="shared" ref="AN50:AN51" si="10">A50</f>
        <v>0.0479836</v>
      </c>
      <c r="AO50" s="1">
        <f t="shared" ref="AO50:AO51" si="11">AVERAGE(C50,P50,AC50)</f>
        <v>20081833333333.3</v>
      </c>
      <c r="AP50" s="1"/>
      <c r="AQ50" s="1"/>
      <c r="AR50" s="1">
        <f t="shared" ref="AR50:AR51" si="12">AVERAGE(L50,Y50,AL50)</f>
        <v>286327000000</v>
      </c>
      <c r="AS50" s="1">
        <f t="shared" ref="AS50:AS51" si="13">MIN(L50,Y50,AL50)</f>
        <v>254360000000</v>
      </c>
      <c r="AT50" s="1">
        <f t="shared" ref="AT50:AT51" si="14">MAX(L50,Y50,AL50)</f>
        <v>318195000000</v>
      </c>
    </row>
    <row r="51" spans="1:46">
      <c r="A51" s="8">
        <v>0.0490047</v>
      </c>
      <c r="B51" s="1">
        <v>0.0496825</v>
      </c>
      <c r="C51" s="1">
        <v>20193800000000</v>
      </c>
      <c r="D51" s="1">
        <v>228668000</v>
      </c>
      <c r="E51" s="1">
        <v>0</v>
      </c>
      <c r="F51" s="1">
        <v>0</v>
      </c>
      <c r="G51" s="1">
        <v>2</v>
      </c>
      <c r="H51" s="1">
        <v>5625750000000</v>
      </c>
      <c r="I51" s="1">
        <v>4770820000000</v>
      </c>
      <c r="J51" s="1">
        <v>4750730000000</v>
      </c>
      <c r="K51" s="1">
        <v>4751550000000</v>
      </c>
      <c r="L51" s="1">
        <v>294961000000</v>
      </c>
      <c r="N51" s="8">
        <v>0.0489907</v>
      </c>
      <c r="O51" s="1">
        <v>0.0496824</v>
      </c>
      <c r="P51" s="1">
        <v>20188800000000</v>
      </c>
      <c r="Q51" s="1">
        <v>557753000</v>
      </c>
      <c r="R51" s="1">
        <v>0</v>
      </c>
      <c r="S51" s="1">
        <v>0</v>
      </c>
      <c r="T51" s="1">
        <v>2</v>
      </c>
      <c r="U51" s="1">
        <v>5571880000000</v>
      </c>
      <c r="V51" s="1">
        <v>4781090000000</v>
      </c>
      <c r="W51" s="1">
        <v>4722080000000</v>
      </c>
      <c r="X51" s="1">
        <v>4772940000000</v>
      </c>
      <c r="Y51" s="1">
        <v>340788000000</v>
      </c>
      <c r="AA51" s="8">
        <v>0.0490232</v>
      </c>
      <c r="AB51" s="1">
        <v>0.0497015</v>
      </c>
      <c r="AC51" s="1">
        <v>20043100000000</v>
      </c>
      <c r="AD51" s="1">
        <v>570721000</v>
      </c>
      <c r="AE51" s="1">
        <v>0</v>
      </c>
      <c r="AF51" s="1">
        <v>0</v>
      </c>
      <c r="AG51" s="1">
        <v>2</v>
      </c>
      <c r="AH51" s="1">
        <v>4912520000000</v>
      </c>
      <c r="AI51" s="1">
        <v>4927560000000</v>
      </c>
      <c r="AJ51" s="1">
        <v>5058530000000</v>
      </c>
      <c r="AK51" s="1">
        <v>4903520000000</v>
      </c>
      <c r="AL51" s="1">
        <v>241031000000</v>
      </c>
      <c r="AN51" s="1">
        <f t="shared" si="10"/>
        <v>0.0490047</v>
      </c>
      <c r="AO51" s="1">
        <f t="shared" si="11"/>
        <v>20141900000000</v>
      </c>
      <c r="AP51" s="1"/>
      <c r="AQ51" s="1"/>
      <c r="AR51" s="1">
        <f t="shared" si="12"/>
        <v>292260000000</v>
      </c>
      <c r="AS51" s="1">
        <f t="shared" si="13"/>
        <v>241031000000</v>
      </c>
      <c r="AT51" s="1">
        <f t="shared" si="14"/>
        <v>340788000000</v>
      </c>
    </row>
    <row r="52" spans="1:46">
      <c r="A52" s="8">
        <v>0.0499874</v>
      </c>
      <c r="B52" s="1">
        <v>0.0506832</v>
      </c>
      <c r="C52" s="1">
        <v>20170000000000</v>
      </c>
      <c r="D52" s="1">
        <v>348508000</v>
      </c>
      <c r="E52" s="1">
        <v>0</v>
      </c>
      <c r="F52" s="1">
        <v>0</v>
      </c>
      <c r="G52" s="1">
        <v>2</v>
      </c>
      <c r="H52" s="1">
        <v>5542770000000</v>
      </c>
      <c r="I52" s="1">
        <v>4753250000000</v>
      </c>
      <c r="J52" s="1">
        <v>4754230000000</v>
      </c>
      <c r="K52" s="1">
        <v>4796400000000</v>
      </c>
      <c r="L52" s="1">
        <v>323345000000</v>
      </c>
      <c r="N52" s="8">
        <v>0.0499603</v>
      </c>
      <c r="O52" s="1">
        <v>0.0506587</v>
      </c>
      <c r="P52" s="1">
        <v>20321800000000</v>
      </c>
      <c r="Q52" s="1">
        <v>448687000</v>
      </c>
      <c r="R52" s="1">
        <v>0</v>
      </c>
      <c r="S52" s="1">
        <v>0</v>
      </c>
      <c r="T52" s="1">
        <v>2</v>
      </c>
      <c r="U52" s="1">
        <v>5533150000000</v>
      </c>
      <c r="V52" s="1">
        <v>4845640000000</v>
      </c>
      <c r="W52" s="1">
        <v>4793620000000</v>
      </c>
      <c r="X52" s="1">
        <v>4770560000000</v>
      </c>
      <c r="Y52" s="1">
        <v>378839000000</v>
      </c>
      <c r="AA52" s="8">
        <v>0.0500142</v>
      </c>
      <c r="AB52" s="1">
        <v>0.0507071</v>
      </c>
      <c r="AC52" s="1">
        <v>20020500000000</v>
      </c>
      <c r="AD52" s="1">
        <v>463265000</v>
      </c>
      <c r="AE52" s="1">
        <v>0</v>
      </c>
      <c r="AF52" s="1">
        <v>0</v>
      </c>
      <c r="AG52" s="1">
        <v>2</v>
      </c>
      <c r="AH52" s="1">
        <v>4877580000000</v>
      </c>
      <c r="AI52" s="1">
        <v>4893100000000</v>
      </c>
      <c r="AJ52" s="1">
        <v>4938530000000</v>
      </c>
      <c r="AK52" s="1">
        <v>4958130000000</v>
      </c>
      <c r="AL52" s="1">
        <v>353139000000</v>
      </c>
      <c r="AN52" s="1">
        <f t="shared" ref="AN52" si="15">A52</f>
        <v>0.0499874</v>
      </c>
      <c r="AO52" s="1">
        <f t="shared" ref="AO52" si="16">AVERAGE(C52,P52,AC52)</f>
        <v>20170766666666.7</v>
      </c>
      <c r="AP52" s="1"/>
      <c r="AQ52" s="1"/>
      <c r="AR52" s="1">
        <f t="shared" ref="AR52" si="17">AVERAGE(L52,Y52,AL52)</f>
        <v>351774333333.333</v>
      </c>
      <c r="AS52" s="1">
        <f t="shared" ref="AS52" si="18">MIN(L52,Y52,AL52)</f>
        <v>323345000000</v>
      </c>
      <c r="AT52" s="1">
        <f t="shared" ref="AT52" si="19">MAX(L52,Y52,AL52)</f>
        <v>378839000000</v>
      </c>
    </row>
    <row r="53" spans="1:38">
      <c r="A53" s="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N53" s="8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AA53" s="8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>
      <c r="A54" s="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N54" s="8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AA54" s="8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>
      <c r="A55" s="8"/>
      <c r="B55" s="1"/>
      <c r="C55" s="1">
        <f>AVERAGE(C24:C28)</f>
        <v>20119920000000</v>
      </c>
      <c r="L55" s="1">
        <f>AVERAGE(L24:L28)</f>
        <v>285177600000</v>
      </c>
      <c r="P55" s="1">
        <f>AVERAGE(P24:P28)</f>
        <v>20189560000000</v>
      </c>
      <c r="Y55" s="1">
        <f>AVERAGE(Y24:Y28)</f>
        <v>325717200000</v>
      </c>
      <c r="AC55" s="1">
        <f>AVERAGE(AC24:AC28)</f>
        <v>20003260000000</v>
      </c>
      <c r="AL55" s="1">
        <f>AVERAGE(AL24:AL28)</f>
        <v>299316600000</v>
      </c>
    </row>
    <row r="56" spans="1:38">
      <c r="A56" s="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N56" s="8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AA56" s="8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>
      <c r="A57" s="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N57" s="8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AA57" s="8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>
      <c r="A58" s="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N58" s="8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AA58" s="8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>
      <c r="A59" s="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N59" s="8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AA59" s="8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N60" s="8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AA60" s="8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>
      <c r="A61" s="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N61" s="8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AA61" s="8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>
      <c r="A62" s="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N62" s="8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AA62" s="8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>
      <c r="A63" s="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N63" s="8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AA63" s="8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>
      <c r="A64" s="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N64" s="8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AA64" s="8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>
      <c r="A65" s="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AA65" s="8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>
      <c r="A66" s="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N66" s="8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AA66" s="8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>
      <c r="A67" s="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N67" s="8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AA67" s="8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>
      <c r="A68" s="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N68" s="8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AA68" s="8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>
      <c r="A69" s="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N69" s="8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AA69" s="8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25">
      <c r="A70" s="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N70" s="8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12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</sheetData>
  <mergeCells count="3">
    <mergeCell ref="A1:L1"/>
    <mergeCell ref="N1:Y1"/>
    <mergeCell ref="AA1:AL1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workbookViewId="0">
      <selection activeCell="K5" sqref="K5:S5"/>
    </sheetView>
  </sheetViews>
  <sheetFormatPr defaultColWidth="9" defaultRowHeight="15"/>
  <cols>
    <col min="19" max="19" width="14.4222222222222" customWidth="1"/>
  </cols>
  <sheetData>
    <row r="1" spans="1:19">
      <c r="A1" s="9" t="s">
        <v>0</v>
      </c>
      <c r="B1" s="9"/>
      <c r="D1" s="9" t="s">
        <v>1</v>
      </c>
      <c r="E1" s="9"/>
      <c r="G1" s="9" t="s">
        <v>2</v>
      </c>
      <c r="H1" s="9"/>
      <c r="J1" s="9" t="s">
        <v>3</v>
      </c>
      <c r="K1" s="9"/>
      <c r="N1" s="2"/>
      <c r="O1" s="2"/>
      <c r="S1" s="2"/>
    </row>
    <row r="2" spans="1:19">
      <c r="A2" s="8">
        <v>0.000211826</v>
      </c>
      <c r="B2" s="1">
        <v>376174000</v>
      </c>
      <c r="D2" s="6"/>
      <c r="E2" s="1"/>
      <c r="G2" s="6"/>
      <c r="H2" s="1"/>
      <c r="K2" t="s">
        <v>4</v>
      </c>
      <c r="L2" t="s">
        <v>5</v>
      </c>
      <c r="M2" t="s">
        <v>6</v>
      </c>
      <c r="N2" s="2" t="s">
        <v>7</v>
      </c>
      <c r="O2" s="2" t="s">
        <v>8</v>
      </c>
      <c r="P2" t="s">
        <v>9</v>
      </c>
      <c r="Q2" t="s">
        <v>10</v>
      </c>
      <c r="R2" t="s">
        <v>11</v>
      </c>
      <c r="S2" s="2" t="s">
        <v>12</v>
      </c>
    </row>
    <row r="3" spans="1:19">
      <c r="A3" s="8">
        <v>0.000970022</v>
      </c>
      <c r="B3" s="1">
        <v>527861000</v>
      </c>
      <c r="D3" s="6"/>
      <c r="E3" s="1"/>
      <c r="G3" s="6"/>
      <c r="H3" s="1"/>
      <c r="J3" t="s">
        <v>0</v>
      </c>
      <c r="L3" s="1"/>
      <c r="M3" s="1"/>
      <c r="N3" s="2"/>
      <c r="O3" s="2"/>
      <c r="S3" s="2"/>
    </row>
    <row r="4" spans="1:19">
      <c r="A4" s="8">
        <v>0.00194907</v>
      </c>
      <c r="B4" s="1">
        <v>491036000</v>
      </c>
      <c r="D4" s="6"/>
      <c r="E4" s="1"/>
      <c r="G4" s="6"/>
      <c r="H4" s="1"/>
      <c r="J4" t="s">
        <v>1</v>
      </c>
      <c r="K4">
        <v>295</v>
      </c>
      <c r="L4" s="1">
        <v>3880000000000</v>
      </c>
      <c r="M4" s="1">
        <v>84500000000000</v>
      </c>
      <c r="N4" s="2">
        <f t="shared" ref="N4" si="0">0.5*80.9*0.248*SQRT(L4)/1000000</f>
        <v>19.7599603848996</v>
      </c>
      <c r="O4" s="2">
        <f t="shared" ref="O4" si="1">0.05*80.9*0.248*SQRT(M4)/1000000</f>
        <v>9.22143610199626</v>
      </c>
      <c r="P4">
        <f t="shared" ref="P4" si="2">SQRT(N4^2+O4^2)</f>
        <v>21.8057542450611</v>
      </c>
      <c r="Q4">
        <f t="shared" ref="Q4" si="3">K4*0.4395</f>
        <v>129.6525</v>
      </c>
      <c r="R4">
        <f t="shared" ref="R4" si="4">Q4/P4</f>
        <v>5.94579295643331</v>
      </c>
      <c r="S4" s="4">
        <f t="shared" ref="S4" si="5">L4/M4</f>
        <v>0.0459171597633136</v>
      </c>
    </row>
    <row r="5" spans="1:19">
      <c r="A5" s="8">
        <v>0.00296565</v>
      </c>
      <c r="B5" s="1">
        <v>415538000</v>
      </c>
      <c r="D5" s="6"/>
      <c r="E5" s="1"/>
      <c r="G5" s="6"/>
      <c r="H5" s="1"/>
      <c r="J5" t="s">
        <v>13</v>
      </c>
      <c r="L5" s="1"/>
      <c r="M5" s="1"/>
      <c r="N5" s="2"/>
      <c r="O5" s="2"/>
      <c r="S5" s="2"/>
    </row>
    <row r="6" spans="1:8">
      <c r="A6" s="8">
        <v>0.00405558</v>
      </c>
      <c r="B6" s="1">
        <v>370221000</v>
      </c>
      <c r="D6" s="6"/>
      <c r="E6" s="1"/>
      <c r="G6" s="6"/>
      <c r="H6" s="1"/>
    </row>
    <row r="7" spans="1:8">
      <c r="A7" s="8">
        <v>0.00500736</v>
      </c>
      <c r="B7" s="1">
        <v>348030000</v>
      </c>
      <c r="D7" s="6"/>
      <c r="E7" s="1"/>
      <c r="G7" s="6"/>
      <c r="H7" s="1"/>
    </row>
    <row r="8" spans="1:8">
      <c r="A8" s="8">
        <v>0.00605242</v>
      </c>
      <c r="B8" s="1">
        <v>336269000</v>
      </c>
      <c r="D8" s="6"/>
      <c r="E8" s="1"/>
      <c r="G8" s="6"/>
      <c r="H8" s="1"/>
    </row>
    <row r="9" spans="1:8">
      <c r="A9" s="8">
        <v>0.00707176</v>
      </c>
      <c r="B9" s="1">
        <v>326749000</v>
      </c>
      <c r="D9" s="6"/>
      <c r="E9" s="1"/>
      <c r="G9" s="6"/>
      <c r="H9" s="1"/>
    </row>
    <row r="10" spans="1:8">
      <c r="A10" s="8">
        <v>0.0080071</v>
      </c>
      <c r="B10" s="1">
        <v>319738000</v>
      </c>
      <c r="D10" s="6"/>
      <c r="E10" s="1"/>
      <c r="G10" s="6"/>
      <c r="H10" s="1"/>
    </row>
    <row r="11" spans="1:8">
      <c r="A11" s="8">
        <v>0.00894306</v>
      </c>
      <c r="B11" s="1">
        <v>319051000</v>
      </c>
      <c r="D11" s="6"/>
      <c r="E11" s="1"/>
      <c r="G11" s="6"/>
      <c r="H11" s="1"/>
    </row>
    <row r="12" spans="1:8">
      <c r="A12" s="8">
        <v>0.00996431</v>
      </c>
      <c r="B12" s="1">
        <v>326411000</v>
      </c>
      <c r="D12" s="6"/>
      <c r="E12" s="1"/>
      <c r="G12" s="6"/>
      <c r="H12" s="1"/>
    </row>
    <row r="13" spans="1:8">
      <c r="A13" s="8">
        <v>0.0109914</v>
      </c>
      <c r="B13" s="1">
        <v>317824000</v>
      </c>
      <c r="D13" s="6"/>
      <c r="E13" s="1"/>
      <c r="G13" s="6"/>
      <c r="H13" s="1"/>
    </row>
    <row r="14" spans="1:8">
      <c r="A14" s="8">
        <v>0.0119824</v>
      </c>
      <c r="B14" s="1">
        <v>304167000</v>
      </c>
      <c r="D14" s="6"/>
      <c r="E14" s="1"/>
      <c r="G14" s="6"/>
      <c r="H14" s="1"/>
    </row>
    <row r="15" spans="1:8">
      <c r="A15" s="8">
        <v>0.0130658</v>
      </c>
      <c r="B15" s="1">
        <v>299639000</v>
      </c>
      <c r="D15" s="6"/>
      <c r="E15" s="1"/>
      <c r="G15" s="6"/>
      <c r="H15" s="1"/>
    </row>
    <row r="16" spans="1:8">
      <c r="A16" s="8">
        <v>0.0139003</v>
      </c>
      <c r="B16" s="1">
        <v>306127000</v>
      </c>
      <c r="D16" s="6"/>
      <c r="E16" s="1"/>
      <c r="G16" s="6"/>
      <c r="H16" s="1"/>
    </row>
    <row r="17" spans="1:8">
      <c r="A17" s="8">
        <v>0.0150533</v>
      </c>
      <c r="B17" s="1">
        <v>299804000</v>
      </c>
      <c r="D17" s="6"/>
      <c r="E17" s="1"/>
      <c r="G17" s="6"/>
      <c r="H17" s="1"/>
    </row>
    <row r="18" spans="1:8">
      <c r="A18" s="8">
        <v>0.0160165</v>
      </c>
      <c r="B18" s="1">
        <v>307158000</v>
      </c>
      <c r="D18" s="6"/>
      <c r="E18" s="1"/>
      <c r="G18" s="6"/>
      <c r="H18" s="1"/>
    </row>
    <row r="19" spans="1:8">
      <c r="A19" s="8">
        <v>0.0169813</v>
      </c>
      <c r="B19" s="1">
        <v>316263000</v>
      </c>
      <c r="D19" s="6"/>
      <c r="E19" s="1"/>
      <c r="G19" s="6"/>
      <c r="H19" s="1"/>
    </row>
    <row r="20" spans="1:8">
      <c r="A20" s="8">
        <v>0.0179841</v>
      </c>
      <c r="B20" s="1">
        <v>305957000</v>
      </c>
      <c r="D20" s="6"/>
      <c r="E20" s="1"/>
      <c r="G20" s="6"/>
      <c r="H20" s="1"/>
    </row>
    <row r="21" spans="1:8">
      <c r="A21" s="8">
        <v>0.01898</v>
      </c>
      <c r="B21" s="1">
        <v>308617000</v>
      </c>
      <c r="D21" s="6"/>
      <c r="E21" s="1"/>
      <c r="G21" s="6"/>
      <c r="H21" s="1"/>
    </row>
    <row r="22" spans="1:8">
      <c r="A22" s="8">
        <v>0.0199807</v>
      </c>
      <c r="B22" s="1">
        <v>305915000</v>
      </c>
      <c r="D22" s="6"/>
      <c r="E22" s="1"/>
      <c r="G22" s="6"/>
      <c r="H22" s="1"/>
    </row>
    <row r="23" spans="1:8">
      <c r="A23" s="8">
        <v>0.0209491</v>
      </c>
      <c r="B23" s="1">
        <v>292645000</v>
      </c>
      <c r="D23" s="6"/>
      <c r="E23" s="1"/>
      <c r="G23" s="6"/>
      <c r="H23" s="1"/>
    </row>
    <row r="24" spans="1:8">
      <c r="A24" s="8">
        <v>0.0220094</v>
      </c>
      <c r="B24" s="1">
        <v>280226000</v>
      </c>
      <c r="D24" s="6"/>
      <c r="E24" s="1"/>
      <c r="G24" s="6"/>
      <c r="H24" s="1"/>
    </row>
    <row r="25" spans="1:8">
      <c r="A25" s="8">
        <v>0.0229631</v>
      </c>
      <c r="B25" s="1">
        <v>293865000</v>
      </c>
      <c r="D25" s="6"/>
      <c r="E25" s="1"/>
      <c r="G25" s="6"/>
      <c r="H25" s="1"/>
    </row>
    <row r="26" spans="1:8">
      <c r="A26" s="8">
        <v>0.0240488</v>
      </c>
      <c r="B26" s="1">
        <v>290564000</v>
      </c>
      <c r="D26" s="6"/>
      <c r="E26" s="1"/>
      <c r="G26" s="6"/>
      <c r="H26" s="1"/>
    </row>
    <row r="27" spans="1:8">
      <c r="A27" s="8">
        <v>0.0249784</v>
      </c>
      <c r="B27" s="1">
        <v>300898000</v>
      </c>
      <c r="D27" s="6"/>
      <c r="E27" s="1"/>
      <c r="G27" s="6"/>
      <c r="H27" s="1"/>
    </row>
    <row r="28" spans="1:8">
      <c r="A28" s="8">
        <v>0.0259688</v>
      </c>
      <c r="B28" s="1">
        <v>289654000</v>
      </c>
      <c r="D28" s="6"/>
      <c r="E28" s="1"/>
      <c r="G28" s="6"/>
      <c r="H28" s="1"/>
    </row>
    <row r="29" spans="1:8">
      <c r="A29" s="8">
        <v>0.0270457</v>
      </c>
      <c r="B29" s="1">
        <v>290029000</v>
      </c>
      <c r="D29" s="6"/>
      <c r="E29" s="1"/>
      <c r="G29" s="6"/>
      <c r="H29" s="1"/>
    </row>
    <row r="30" spans="1:8">
      <c r="A30" s="8">
        <v>0.0279511</v>
      </c>
      <c r="B30" s="1">
        <v>297561000</v>
      </c>
      <c r="D30" s="6"/>
      <c r="E30" s="1"/>
      <c r="G30" s="6"/>
      <c r="H30" s="1"/>
    </row>
    <row r="31" spans="1:8">
      <c r="A31" s="8">
        <v>0.028981</v>
      </c>
      <c r="B31" s="1">
        <v>289621000</v>
      </c>
      <c r="D31" s="6"/>
      <c r="E31" s="1"/>
      <c r="G31" s="6"/>
      <c r="H31" s="1"/>
    </row>
    <row r="32" spans="1:8">
      <c r="A32" s="8">
        <v>0.0300081</v>
      </c>
      <c r="B32" s="1">
        <v>285397000</v>
      </c>
      <c r="D32" s="6"/>
      <c r="E32" s="1"/>
      <c r="G32" s="6"/>
      <c r="H32" s="1"/>
    </row>
    <row r="33" spans="1:8">
      <c r="A33" s="8">
        <v>0.0309753</v>
      </c>
      <c r="B33" s="1">
        <v>283642000</v>
      </c>
      <c r="D33" s="6"/>
      <c r="E33" s="1"/>
      <c r="G33" s="6"/>
      <c r="H33" s="1"/>
    </row>
    <row r="34" spans="1:8">
      <c r="A34" s="8">
        <v>0.0319973</v>
      </c>
      <c r="B34" s="1">
        <v>286973000</v>
      </c>
      <c r="D34" s="6"/>
      <c r="E34" s="1"/>
      <c r="G34" s="6"/>
      <c r="H34" s="1"/>
    </row>
    <row r="35" spans="1:8">
      <c r="A35" s="8">
        <v>0.0329908</v>
      </c>
      <c r="B35" s="1">
        <v>297198000</v>
      </c>
      <c r="D35" s="6"/>
      <c r="E35" s="1"/>
      <c r="G35" s="6"/>
      <c r="H35" s="1"/>
    </row>
    <row r="36" spans="1:8">
      <c r="A36" s="8">
        <v>0.0340168</v>
      </c>
      <c r="B36" s="1">
        <v>305864000</v>
      </c>
      <c r="D36" s="6"/>
      <c r="E36" s="1"/>
      <c r="G36" s="6"/>
      <c r="H36" s="1"/>
    </row>
    <row r="37" spans="1:8">
      <c r="A37" s="8">
        <v>0.0350303</v>
      </c>
      <c r="B37" s="1">
        <v>284167000</v>
      </c>
      <c r="D37" s="6"/>
      <c r="E37" s="1"/>
      <c r="G37" s="6"/>
      <c r="H37" s="1"/>
    </row>
    <row r="38" spans="1:8">
      <c r="A38" s="8">
        <v>0.0359955</v>
      </c>
      <c r="B38" s="1">
        <v>290075000</v>
      </c>
      <c r="D38" s="6"/>
      <c r="E38" s="1"/>
      <c r="G38" s="6"/>
      <c r="H38" s="1"/>
    </row>
    <row r="39" spans="1:8">
      <c r="A39" s="8">
        <v>0.0369732</v>
      </c>
      <c r="B39" s="1">
        <v>301817000</v>
      </c>
      <c r="D39" s="6"/>
      <c r="E39" s="1"/>
      <c r="G39" s="6"/>
      <c r="H39" s="1"/>
    </row>
    <row r="40" spans="1:8">
      <c r="A40" s="8">
        <v>0.0380186</v>
      </c>
      <c r="B40" s="1">
        <v>297817000</v>
      </c>
      <c r="D40" s="6"/>
      <c r="E40" s="1"/>
      <c r="G40" s="6"/>
      <c r="H40" s="1"/>
    </row>
    <row r="41" spans="1:8">
      <c r="A41" s="8">
        <v>0.0389443</v>
      </c>
      <c r="B41" s="1">
        <v>293065000</v>
      </c>
      <c r="D41" s="6"/>
      <c r="E41" s="1"/>
      <c r="G41" s="6"/>
      <c r="H41" s="1"/>
    </row>
    <row r="42" spans="1:8">
      <c r="A42" s="8">
        <v>0.0400003</v>
      </c>
      <c r="B42" s="1">
        <v>295657000</v>
      </c>
      <c r="D42" s="6"/>
      <c r="E42" s="1"/>
      <c r="G42" s="6"/>
      <c r="H42" s="1"/>
    </row>
    <row r="43" spans="1:8">
      <c r="A43" s="8">
        <v>0.0410249</v>
      </c>
      <c r="B43" s="1">
        <v>291152000</v>
      </c>
      <c r="D43" s="6"/>
      <c r="E43" s="1"/>
      <c r="G43" s="6"/>
      <c r="H43" s="1"/>
    </row>
    <row r="44" spans="1:8">
      <c r="A44" s="8">
        <v>0.0419591</v>
      </c>
      <c r="B44" s="1">
        <v>292338000</v>
      </c>
      <c r="D44" s="6"/>
      <c r="E44" s="1"/>
      <c r="G44" s="6"/>
      <c r="H44" s="1"/>
    </row>
    <row r="45" spans="1:8">
      <c r="A45" s="8">
        <v>0.0430026</v>
      </c>
      <c r="B45" s="1">
        <v>283757000</v>
      </c>
      <c r="D45" s="6"/>
      <c r="E45" s="1"/>
      <c r="G45" s="6"/>
      <c r="H45" s="1"/>
    </row>
    <row r="46" spans="1:8">
      <c r="A46" s="8">
        <v>0.0439909</v>
      </c>
      <c r="B46" s="1">
        <v>302356000</v>
      </c>
      <c r="D46" s="6"/>
      <c r="E46" s="1"/>
      <c r="G46" s="6"/>
      <c r="H46" s="1"/>
    </row>
    <row r="47" spans="1:8">
      <c r="A47" s="8">
        <v>0.0450472</v>
      </c>
      <c r="B47" s="1">
        <v>306469000</v>
      </c>
      <c r="D47" s="6"/>
      <c r="E47" s="1"/>
      <c r="G47" s="6"/>
      <c r="H47" s="1"/>
    </row>
    <row r="48" spans="1:8">
      <c r="A48" s="8"/>
      <c r="B48" s="1"/>
      <c r="D48" s="6"/>
      <c r="E48" s="1"/>
      <c r="G48" s="6"/>
      <c r="H48" s="1"/>
    </row>
    <row r="49" spans="1:8">
      <c r="A49" s="8"/>
      <c r="B49" s="1"/>
      <c r="D49" s="6"/>
      <c r="E49" s="1"/>
      <c r="G49" s="6"/>
      <c r="H49" s="1"/>
    </row>
    <row r="50" spans="1:8">
      <c r="A50" s="8"/>
      <c r="B50" s="1"/>
      <c r="D50" s="6"/>
      <c r="E50" s="1"/>
      <c r="G50" s="6"/>
      <c r="H50" s="1"/>
    </row>
    <row r="51" spans="1:8">
      <c r="A51" s="8"/>
      <c r="B51" s="1"/>
      <c r="D51" s="6"/>
      <c r="E51" s="1"/>
      <c r="G51" s="6"/>
      <c r="H51" s="1"/>
    </row>
    <row r="52" spans="1:8">
      <c r="A52" s="8"/>
      <c r="B52" s="1"/>
      <c r="D52" s="6"/>
      <c r="E52" s="1"/>
      <c r="G52" s="6"/>
      <c r="H52" s="1"/>
    </row>
    <row r="53" spans="1:8">
      <c r="A53" s="8"/>
      <c r="B53" s="1"/>
      <c r="D53" s="6"/>
      <c r="E53" s="1"/>
      <c r="G53" s="6"/>
      <c r="H53" s="1"/>
    </row>
    <row r="54" spans="1:8">
      <c r="A54" s="8"/>
      <c r="B54" s="1"/>
      <c r="D54" s="6"/>
      <c r="E54" s="1"/>
      <c r="G54" s="6"/>
      <c r="H54" s="1"/>
    </row>
    <row r="55" spans="1:8">
      <c r="A55" s="8"/>
      <c r="B55" s="1"/>
      <c r="D55" s="6"/>
      <c r="E55" s="1"/>
      <c r="G55" s="6"/>
      <c r="H55" s="1"/>
    </row>
    <row r="56" spans="1:8">
      <c r="A56" s="8"/>
      <c r="B56" s="1"/>
      <c r="D56" s="6"/>
      <c r="E56" s="1"/>
      <c r="G56" s="6"/>
      <c r="H56" s="1"/>
    </row>
    <row r="57" spans="1:8">
      <c r="A57" s="8"/>
      <c r="B57" s="1"/>
      <c r="D57" s="6"/>
      <c r="E57" s="1"/>
      <c r="G57" s="6"/>
      <c r="H57" s="1"/>
    </row>
    <row r="58" spans="1:8">
      <c r="A58" s="8"/>
      <c r="B58" s="1"/>
      <c r="D58" s="6"/>
      <c r="E58" s="1"/>
      <c r="G58" s="6"/>
      <c r="H58" s="1"/>
    </row>
    <row r="59" spans="1:8">
      <c r="A59" s="8"/>
      <c r="B59" s="1"/>
      <c r="D59" s="6"/>
      <c r="E59" s="1"/>
      <c r="G59" s="6"/>
      <c r="H59" s="1"/>
    </row>
    <row r="60" spans="1:8">
      <c r="A60" s="8"/>
      <c r="B60" s="1"/>
      <c r="D60" s="6"/>
      <c r="E60" s="1"/>
      <c r="G60" s="6"/>
      <c r="H60" s="1"/>
    </row>
    <row r="61" spans="1:8">
      <c r="A61" s="8"/>
      <c r="B61" s="1"/>
      <c r="D61" s="6"/>
      <c r="E61" s="1"/>
      <c r="G61" s="6"/>
      <c r="H61" s="1"/>
    </row>
    <row r="62" spans="1:8">
      <c r="A62" s="8"/>
      <c r="B62" s="1"/>
      <c r="D62" s="6"/>
      <c r="E62" s="1"/>
      <c r="G62" s="6"/>
      <c r="H62" s="1"/>
    </row>
    <row r="63" spans="1:8">
      <c r="A63" s="8"/>
      <c r="B63" s="1"/>
      <c r="D63" s="6"/>
      <c r="E63" s="1"/>
      <c r="G63" s="6"/>
      <c r="H63" s="1"/>
    </row>
    <row r="64" spans="1:8">
      <c r="A64" s="8"/>
      <c r="B64" s="1"/>
      <c r="D64" s="6"/>
      <c r="E64" s="1"/>
      <c r="G64" s="6"/>
      <c r="H64" s="1"/>
    </row>
    <row r="65" spans="1:8">
      <c r="A65" s="8"/>
      <c r="B65" s="1"/>
      <c r="D65" s="6"/>
      <c r="E65" s="1"/>
      <c r="G65" s="6"/>
      <c r="H65" s="1"/>
    </row>
    <row r="66" spans="1:8">
      <c r="A66" s="8"/>
      <c r="B66" s="1"/>
      <c r="D66" s="6"/>
      <c r="E66" s="1"/>
      <c r="G66" s="6"/>
      <c r="H66" s="1"/>
    </row>
    <row r="67" spans="1:8">
      <c r="A67" s="8"/>
      <c r="B67" s="1"/>
      <c r="D67" s="6"/>
      <c r="E67" s="1"/>
      <c r="G67" s="6"/>
      <c r="H67" s="1"/>
    </row>
    <row r="68" spans="1:8">
      <c r="A68" s="8"/>
      <c r="B68" s="1"/>
      <c r="D68" s="6"/>
      <c r="E68" s="1"/>
      <c r="G68" s="6"/>
      <c r="H68" s="1"/>
    </row>
    <row r="69" spans="1:8">
      <c r="A69" s="8"/>
      <c r="B69" s="1"/>
      <c r="D69" s="6"/>
      <c r="E69" s="1"/>
      <c r="G69" s="6"/>
      <c r="H69" s="1"/>
    </row>
    <row r="70" spans="1:5">
      <c r="A70" s="8"/>
      <c r="B70" s="1"/>
      <c r="D70" s="6"/>
      <c r="E70" s="1"/>
    </row>
    <row r="71" spans="1:2">
      <c r="A71" s="8"/>
      <c r="B71" s="1"/>
    </row>
    <row r="72" spans="1:2">
      <c r="A72" s="8"/>
      <c r="B72" s="1"/>
    </row>
    <row r="73" spans="1:2">
      <c r="A73" s="8"/>
      <c r="B73" s="1"/>
    </row>
    <row r="74" spans="1:2">
      <c r="A74" s="8"/>
      <c r="B74" s="1"/>
    </row>
    <row r="75" spans="1:2">
      <c r="A75" s="8"/>
      <c r="B75" s="1"/>
    </row>
    <row r="76" spans="1:2">
      <c r="A76" s="8"/>
      <c r="B76" s="1"/>
    </row>
    <row r="77" spans="1:2">
      <c r="A77" s="8"/>
      <c r="B77" s="1"/>
    </row>
    <row r="78" spans="1:2">
      <c r="A78" s="8"/>
      <c r="B78" s="1"/>
    </row>
    <row r="79" spans="1:2">
      <c r="A79" s="8"/>
      <c r="B79" s="1"/>
    </row>
    <row r="80" spans="1:2">
      <c r="A80" s="8"/>
      <c r="B80" s="1"/>
    </row>
    <row r="81" spans="1:2">
      <c r="A81" s="8"/>
      <c r="B81" s="1"/>
    </row>
    <row r="82" spans="1:2">
      <c r="A82" s="8"/>
      <c r="B82" s="1"/>
    </row>
    <row r="83" spans="1:2">
      <c r="A83" s="8"/>
      <c r="B83" s="1"/>
    </row>
    <row r="84" spans="1:2">
      <c r="A84" s="8"/>
      <c r="B84" s="1"/>
    </row>
    <row r="85" spans="1:2">
      <c r="A85" s="8"/>
      <c r="B85" s="1"/>
    </row>
    <row r="86" spans="1:2">
      <c r="A86" s="8"/>
      <c r="B86" s="1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2"/>
  <sheetViews>
    <sheetView workbookViewId="0">
      <selection activeCell="C47" sqref="C43:C47"/>
    </sheetView>
  </sheetViews>
  <sheetFormatPr defaultColWidth="9" defaultRowHeight="15"/>
  <sheetData>
    <row r="1" spans="1:46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16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0.000211826</v>
      </c>
      <c r="B2" s="1">
        <v>0.00196803</v>
      </c>
      <c r="C2" s="1">
        <v>20056500000000</v>
      </c>
      <c r="D2" s="1">
        <v>3978650000</v>
      </c>
      <c r="E2" s="1">
        <v>0</v>
      </c>
      <c r="F2" s="1">
        <v>0</v>
      </c>
      <c r="G2" s="1">
        <v>2</v>
      </c>
      <c r="H2" s="1">
        <v>5619250000000</v>
      </c>
      <c r="I2" s="1">
        <v>4794820000000</v>
      </c>
      <c r="J2" s="1">
        <v>4775840000000</v>
      </c>
      <c r="K2" s="1">
        <v>4830300000000</v>
      </c>
      <c r="L2" s="1">
        <v>36247800000</v>
      </c>
      <c r="AN2" s="1">
        <f>A2</f>
        <v>0.000211826</v>
      </c>
      <c r="AO2" s="1">
        <f>AVERAGE(C2,P2,AC2)</f>
        <v>20056500000000</v>
      </c>
      <c r="AP2" s="1"/>
      <c r="AQ2" s="1"/>
      <c r="AR2" s="1">
        <f>AVERAGE(L2,Y2,AL2)</f>
        <v>36247800000</v>
      </c>
      <c r="AS2" s="1">
        <f>MIN(L2,Y2,AL2)</f>
        <v>36247800000</v>
      </c>
      <c r="AT2" s="1">
        <f>MAX(L2,Y2,AL2)</f>
        <v>36247800000</v>
      </c>
    </row>
    <row r="3" spans="1:46">
      <c r="A3" s="8">
        <v>0.000970022</v>
      </c>
      <c r="B3" s="1">
        <v>0.00343402</v>
      </c>
      <c r="C3" s="1">
        <v>24449900000000</v>
      </c>
      <c r="D3" s="1">
        <v>11757500000</v>
      </c>
      <c r="E3" s="1">
        <v>0</v>
      </c>
      <c r="F3" s="1">
        <v>0</v>
      </c>
      <c r="G3" s="1">
        <v>2</v>
      </c>
      <c r="H3" s="1">
        <v>5653650000000</v>
      </c>
      <c r="I3" s="1">
        <v>5701800000000</v>
      </c>
      <c r="J3" s="1">
        <v>6569370000000</v>
      </c>
      <c r="K3" s="1">
        <v>6498950000000</v>
      </c>
      <c r="L3" s="1">
        <v>26109000000</v>
      </c>
      <c r="AN3" s="1">
        <f t="shared" ref="AN3:AN47" si="0">A3</f>
        <v>0.000970022</v>
      </c>
      <c r="AO3" s="1">
        <f t="shared" ref="AO3:AO47" si="1">AVERAGE(C3,P3,AC3)</f>
        <v>24449900000000</v>
      </c>
      <c r="AP3" s="1"/>
      <c r="AQ3" s="1"/>
      <c r="AR3" s="1">
        <f t="shared" ref="AR3:AR47" si="2">AVERAGE(L3,Y3,AL3)</f>
        <v>26109000000</v>
      </c>
      <c r="AS3" s="1">
        <f t="shared" ref="AS3:AS47" si="3">MIN(L3,Y3,AL3)</f>
        <v>26109000000</v>
      </c>
      <c r="AT3" s="1">
        <f t="shared" ref="AT3:AT47" si="4">MAX(L3,Y3,AL3)</f>
        <v>26109000000</v>
      </c>
    </row>
    <row r="4" spans="1:46">
      <c r="A4" s="8">
        <v>0.00194907</v>
      </c>
      <c r="B4" s="1">
        <v>0.00424118</v>
      </c>
      <c r="C4" s="1">
        <v>38240700000000</v>
      </c>
      <c r="D4" s="1">
        <v>21408000000</v>
      </c>
      <c r="E4" s="1">
        <v>0</v>
      </c>
      <c r="F4" s="1">
        <v>0</v>
      </c>
      <c r="G4" s="1">
        <v>2</v>
      </c>
      <c r="H4" s="1">
        <v>7373620000000</v>
      </c>
      <c r="I4" s="1">
        <v>8603830000000</v>
      </c>
      <c r="J4" s="1">
        <v>9538970000000</v>
      </c>
      <c r="K4" s="1">
        <v>12611400000000</v>
      </c>
      <c r="L4" s="1">
        <v>112918000000</v>
      </c>
      <c r="AN4" s="1">
        <f t="shared" si="0"/>
        <v>0.00194907</v>
      </c>
      <c r="AO4" s="1">
        <f t="shared" si="1"/>
        <v>38240700000000</v>
      </c>
      <c r="AP4" s="1"/>
      <c r="AQ4" s="1"/>
      <c r="AR4" s="1">
        <f t="shared" si="2"/>
        <v>112918000000</v>
      </c>
      <c r="AS4" s="1">
        <f t="shared" si="3"/>
        <v>112918000000</v>
      </c>
      <c r="AT4" s="1">
        <f t="shared" si="4"/>
        <v>112918000000</v>
      </c>
    </row>
    <row r="5" spans="1:46">
      <c r="A5" s="8">
        <v>0.00296565</v>
      </c>
      <c r="B5" s="1">
        <v>0.00490533</v>
      </c>
      <c r="C5" s="1">
        <v>44578100000000</v>
      </c>
      <c r="D5" s="1">
        <v>25388100000</v>
      </c>
      <c r="E5" s="1">
        <v>0</v>
      </c>
      <c r="F5" s="1">
        <v>0</v>
      </c>
      <c r="G5" s="1">
        <v>2</v>
      </c>
      <c r="H5" s="1">
        <v>9526410000000</v>
      </c>
      <c r="I5" s="1">
        <v>11663300000000</v>
      </c>
      <c r="J5" s="1">
        <v>8302670000000</v>
      </c>
      <c r="K5" s="1">
        <v>14917400000000</v>
      </c>
      <c r="L5" s="1">
        <v>168358000000</v>
      </c>
      <c r="AN5" s="1">
        <f t="shared" si="0"/>
        <v>0.00296565</v>
      </c>
      <c r="AO5" s="1">
        <f t="shared" si="1"/>
        <v>44578100000000</v>
      </c>
      <c r="AP5" s="1"/>
      <c r="AQ5" s="1"/>
      <c r="AR5" s="1">
        <f t="shared" si="2"/>
        <v>168358000000</v>
      </c>
      <c r="AS5" s="1">
        <f t="shared" si="3"/>
        <v>168358000000</v>
      </c>
      <c r="AT5" s="1">
        <f t="shared" si="4"/>
        <v>168358000000</v>
      </c>
    </row>
    <row r="6" spans="1:46">
      <c r="A6" s="8">
        <v>0.00405558</v>
      </c>
      <c r="B6" s="1">
        <v>0.00578374</v>
      </c>
      <c r="C6" s="1">
        <v>51416300000000</v>
      </c>
      <c r="D6" s="1">
        <v>15566900000</v>
      </c>
      <c r="E6" s="1">
        <v>0</v>
      </c>
      <c r="F6" s="1">
        <v>0</v>
      </c>
      <c r="G6" s="1">
        <v>2</v>
      </c>
      <c r="H6" s="1">
        <v>11820600000000</v>
      </c>
      <c r="I6" s="1">
        <v>11896400000000</v>
      </c>
      <c r="J6" s="1">
        <v>8759460000000</v>
      </c>
      <c r="K6" s="1">
        <v>18600700000000</v>
      </c>
      <c r="L6" s="1">
        <v>339004000000</v>
      </c>
      <c r="AN6" s="1">
        <f t="shared" si="0"/>
        <v>0.00405558</v>
      </c>
      <c r="AO6" s="1">
        <f t="shared" si="1"/>
        <v>51416300000000</v>
      </c>
      <c r="AP6" s="1"/>
      <c r="AQ6" s="1"/>
      <c r="AR6" s="1">
        <f t="shared" si="2"/>
        <v>339004000000</v>
      </c>
      <c r="AS6" s="1">
        <f t="shared" si="3"/>
        <v>339004000000</v>
      </c>
      <c r="AT6" s="1">
        <f t="shared" si="4"/>
        <v>339004000000</v>
      </c>
    </row>
    <row r="7" spans="1:46">
      <c r="A7" s="8">
        <v>0.00500736</v>
      </c>
      <c r="B7" s="1">
        <v>0.00663193</v>
      </c>
      <c r="C7" s="1">
        <v>53031000000000</v>
      </c>
      <c r="D7" s="1">
        <v>22714200000</v>
      </c>
      <c r="E7" s="1">
        <v>0</v>
      </c>
      <c r="F7" s="1">
        <v>0</v>
      </c>
      <c r="G7" s="1">
        <v>2</v>
      </c>
      <c r="H7" s="1">
        <v>11954000000000</v>
      </c>
      <c r="I7" s="1">
        <v>10964800000000</v>
      </c>
      <c r="J7" s="1">
        <v>11085900000000</v>
      </c>
      <c r="K7" s="1">
        <v>18430800000000</v>
      </c>
      <c r="L7" s="1">
        <v>595431000000</v>
      </c>
      <c r="AN7" s="1">
        <f t="shared" si="0"/>
        <v>0.00500736</v>
      </c>
      <c r="AO7" s="1">
        <f t="shared" si="1"/>
        <v>53031000000000</v>
      </c>
      <c r="AP7" s="1"/>
      <c r="AQ7" s="1"/>
      <c r="AR7" s="1">
        <f t="shared" si="2"/>
        <v>595431000000</v>
      </c>
      <c r="AS7" s="1">
        <f t="shared" si="3"/>
        <v>595431000000</v>
      </c>
      <c r="AT7" s="1">
        <f t="shared" si="4"/>
        <v>595431000000</v>
      </c>
    </row>
    <row r="8" spans="1:46">
      <c r="A8" s="8">
        <v>0.00605242</v>
      </c>
      <c r="B8" s="1">
        <v>0.0076221</v>
      </c>
      <c r="C8" s="1">
        <v>54282900000000</v>
      </c>
      <c r="D8" s="1">
        <v>19924900000</v>
      </c>
      <c r="E8" s="1">
        <v>0</v>
      </c>
      <c r="F8" s="1">
        <v>0</v>
      </c>
      <c r="G8" s="1">
        <v>2</v>
      </c>
      <c r="H8" s="1">
        <v>13205300000000</v>
      </c>
      <c r="I8" s="1">
        <v>9297710000000</v>
      </c>
      <c r="J8" s="1">
        <v>11872500000000</v>
      </c>
      <c r="K8" s="1">
        <v>19271500000000</v>
      </c>
      <c r="L8" s="1">
        <v>635403000000</v>
      </c>
      <c r="AN8" s="1">
        <f t="shared" si="0"/>
        <v>0.00605242</v>
      </c>
      <c r="AO8" s="1">
        <f t="shared" si="1"/>
        <v>54282900000000</v>
      </c>
      <c r="AP8" s="1"/>
      <c r="AQ8" s="1"/>
      <c r="AR8" s="1">
        <f t="shared" si="2"/>
        <v>635403000000</v>
      </c>
      <c r="AS8" s="1">
        <f t="shared" si="3"/>
        <v>635403000000</v>
      </c>
      <c r="AT8" s="1">
        <f t="shared" si="4"/>
        <v>635403000000</v>
      </c>
    </row>
    <row r="9" spans="1:46">
      <c r="A9" s="8">
        <v>0.00707176</v>
      </c>
      <c r="B9" s="1">
        <v>0.00859698</v>
      </c>
      <c r="C9" s="1">
        <v>59250000000000</v>
      </c>
      <c r="D9" s="1">
        <v>32837200000</v>
      </c>
      <c r="E9" s="1">
        <v>0</v>
      </c>
      <c r="F9" s="1">
        <v>0</v>
      </c>
      <c r="G9" s="1">
        <v>2</v>
      </c>
      <c r="H9" s="1">
        <v>14200300000000</v>
      </c>
      <c r="I9" s="1">
        <v>9902340000000</v>
      </c>
      <c r="J9" s="1">
        <v>13811200000000</v>
      </c>
      <c r="K9" s="1">
        <v>20420300000000</v>
      </c>
      <c r="L9" s="1">
        <v>915860000000</v>
      </c>
      <c r="AN9" s="1">
        <f t="shared" si="0"/>
        <v>0.00707176</v>
      </c>
      <c r="AO9" s="1">
        <f t="shared" si="1"/>
        <v>59250000000000</v>
      </c>
      <c r="AP9" s="1"/>
      <c r="AQ9" s="1"/>
      <c r="AR9" s="1">
        <f t="shared" si="2"/>
        <v>915860000000</v>
      </c>
      <c r="AS9" s="1">
        <f t="shared" si="3"/>
        <v>915860000000</v>
      </c>
      <c r="AT9" s="1">
        <f t="shared" si="4"/>
        <v>915860000000</v>
      </c>
    </row>
    <row r="10" spans="1:46">
      <c r="A10" s="8">
        <v>0.0080071</v>
      </c>
      <c r="B10" s="1">
        <v>0.0094996</v>
      </c>
      <c r="C10" s="1">
        <v>60201500000000</v>
      </c>
      <c r="D10" s="1">
        <v>25912900000</v>
      </c>
      <c r="E10" s="1">
        <v>0</v>
      </c>
      <c r="F10" s="1">
        <v>0</v>
      </c>
      <c r="G10" s="1">
        <v>2</v>
      </c>
      <c r="H10" s="1">
        <v>16530200000000</v>
      </c>
      <c r="I10" s="1">
        <v>8025670000000</v>
      </c>
      <c r="J10" s="1">
        <v>16983100000000</v>
      </c>
      <c r="K10" s="1">
        <v>17763900000000</v>
      </c>
      <c r="L10" s="1">
        <v>898639000000</v>
      </c>
      <c r="AN10" s="1">
        <f t="shared" si="0"/>
        <v>0.0080071</v>
      </c>
      <c r="AO10" s="1">
        <f t="shared" si="1"/>
        <v>60201500000000</v>
      </c>
      <c r="AP10" s="1"/>
      <c r="AQ10" s="1"/>
      <c r="AR10" s="1">
        <f t="shared" si="2"/>
        <v>898639000000</v>
      </c>
      <c r="AS10" s="1">
        <f t="shared" si="3"/>
        <v>898639000000</v>
      </c>
      <c r="AT10" s="1">
        <f t="shared" si="4"/>
        <v>898639000000</v>
      </c>
    </row>
    <row r="11" spans="1:46">
      <c r="A11" s="8">
        <v>0.00894306</v>
      </c>
      <c r="B11" s="1">
        <v>0.0104324</v>
      </c>
      <c r="C11" s="1">
        <v>62882500000000</v>
      </c>
      <c r="D11" s="1">
        <v>13684400000</v>
      </c>
      <c r="E11" s="1">
        <v>0</v>
      </c>
      <c r="F11" s="1">
        <v>0</v>
      </c>
      <c r="G11" s="1">
        <v>2</v>
      </c>
      <c r="H11" s="1">
        <v>17999500000000</v>
      </c>
      <c r="I11" s="1">
        <v>9277480000000</v>
      </c>
      <c r="J11" s="1">
        <v>15781000000000</v>
      </c>
      <c r="K11" s="1">
        <v>18916500000000</v>
      </c>
      <c r="L11" s="1">
        <v>907968000000</v>
      </c>
      <c r="AN11" s="1">
        <f t="shared" si="0"/>
        <v>0.00894306</v>
      </c>
      <c r="AO11" s="1">
        <f t="shared" si="1"/>
        <v>62882500000000</v>
      </c>
      <c r="AP11" s="1"/>
      <c r="AQ11" s="1"/>
      <c r="AR11" s="1">
        <f t="shared" si="2"/>
        <v>907968000000</v>
      </c>
      <c r="AS11" s="1">
        <f t="shared" si="3"/>
        <v>907968000000</v>
      </c>
      <c r="AT11" s="1">
        <f t="shared" si="4"/>
        <v>907968000000</v>
      </c>
    </row>
    <row r="12" spans="1:46">
      <c r="A12" s="8">
        <v>0.00996431</v>
      </c>
      <c r="B12" s="1">
        <v>0.011488</v>
      </c>
      <c r="C12" s="1">
        <v>66203000000000</v>
      </c>
      <c r="D12" s="1">
        <v>24542300000</v>
      </c>
      <c r="E12" s="1">
        <v>0</v>
      </c>
      <c r="F12" s="1">
        <v>0</v>
      </c>
      <c r="G12" s="1">
        <v>2</v>
      </c>
      <c r="H12" s="1">
        <v>18625000000000</v>
      </c>
      <c r="I12" s="1">
        <v>11156900000000</v>
      </c>
      <c r="J12" s="1">
        <v>17554500000000</v>
      </c>
      <c r="K12" s="1">
        <v>17853400000000</v>
      </c>
      <c r="L12" s="1">
        <v>1013230000000</v>
      </c>
      <c r="AN12" s="1">
        <f t="shared" si="0"/>
        <v>0.00996431</v>
      </c>
      <c r="AO12" s="1">
        <f t="shared" si="1"/>
        <v>66203000000000</v>
      </c>
      <c r="AP12" s="1"/>
      <c r="AQ12" s="1"/>
      <c r="AR12" s="1">
        <f t="shared" si="2"/>
        <v>1013230000000</v>
      </c>
      <c r="AS12" s="1">
        <f t="shared" si="3"/>
        <v>1013230000000</v>
      </c>
      <c r="AT12" s="1">
        <f t="shared" si="4"/>
        <v>1013230000000</v>
      </c>
    </row>
    <row r="13" spans="1:46">
      <c r="A13" s="8">
        <v>0.0109914</v>
      </c>
      <c r="B13" s="1">
        <v>0.012475</v>
      </c>
      <c r="C13" s="1">
        <v>71259600000000</v>
      </c>
      <c r="D13" s="1">
        <v>24112500000</v>
      </c>
      <c r="E13" s="1">
        <v>0</v>
      </c>
      <c r="F13" s="1">
        <v>0</v>
      </c>
      <c r="G13" s="1">
        <v>2</v>
      </c>
      <c r="H13" s="1">
        <v>20501100000000</v>
      </c>
      <c r="I13" s="1">
        <v>13343200000000</v>
      </c>
      <c r="J13" s="1">
        <v>19390200000000</v>
      </c>
      <c r="K13" s="1">
        <v>16673400000000</v>
      </c>
      <c r="L13" s="1">
        <v>1351720000000</v>
      </c>
      <c r="AN13" s="1">
        <f t="shared" si="0"/>
        <v>0.0109914</v>
      </c>
      <c r="AO13" s="1">
        <f t="shared" si="1"/>
        <v>71259600000000</v>
      </c>
      <c r="AP13" s="1"/>
      <c r="AQ13" s="1"/>
      <c r="AR13" s="1">
        <f t="shared" si="2"/>
        <v>1351720000000</v>
      </c>
      <c r="AS13" s="1">
        <f t="shared" si="3"/>
        <v>1351720000000</v>
      </c>
      <c r="AT13" s="1">
        <f t="shared" si="4"/>
        <v>1351720000000</v>
      </c>
    </row>
    <row r="14" spans="1:46">
      <c r="A14" s="8">
        <v>0.0119824</v>
      </c>
      <c r="B14" s="1">
        <v>0.0134022</v>
      </c>
      <c r="C14" s="1">
        <v>75773700000000</v>
      </c>
      <c r="D14" s="1">
        <v>41951000000</v>
      </c>
      <c r="E14" s="1">
        <v>0</v>
      </c>
      <c r="F14" s="1">
        <v>0</v>
      </c>
      <c r="G14" s="1">
        <v>2</v>
      </c>
      <c r="H14" s="1">
        <v>21659200000000</v>
      </c>
      <c r="I14" s="1">
        <v>13680700000000</v>
      </c>
      <c r="J14" s="1">
        <v>21514000000000</v>
      </c>
      <c r="K14" s="1">
        <v>17425200000000</v>
      </c>
      <c r="L14" s="1">
        <v>1494520000000</v>
      </c>
      <c r="AN14" s="1">
        <f t="shared" si="0"/>
        <v>0.0119824</v>
      </c>
      <c r="AO14" s="1">
        <f t="shared" si="1"/>
        <v>75773700000000</v>
      </c>
      <c r="AP14" s="1"/>
      <c r="AQ14" s="1"/>
      <c r="AR14" s="1">
        <f t="shared" si="2"/>
        <v>1494520000000</v>
      </c>
      <c r="AS14" s="1">
        <f t="shared" si="3"/>
        <v>1494520000000</v>
      </c>
      <c r="AT14" s="1">
        <f t="shared" si="4"/>
        <v>1494520000000</v>
      </c>
    </row>
    <row r="15" spans="1:46">
      <c r="A15" s="8">
        <v>0.0130658</v>
      </c>
      <c r="B15" s="1">
        <v>0.0144645</v>
      </c>
      <c r="C15" s="1">
        <v>74306200000000</v>
      </c>
      <c r="D15" s="1">
        <v>33950200000</v>
      </c>
      <c r="E15" s="1">
        <v>0</v>
      </c>
      <c r="F15" s="1">
        <v>0</v>
      </c>
      <c r="G15" s="1">
        <v>2</v>
      </c>
      <c r="H15" s="1">
        <v>22540300000000</v>
      </c>
      <c r="I15" s="1">
        <v>12994000000000</v>
      </c>
      <c r="J15" s="1">
        <v>20011000000000</v>
      </c>
      <c r="K15" s="1">
        <v>17288200000000</v>
      </c>
      <c r="L15" s="1">
        <v>1472740000000</v>
      </c>
      <c r="AN15" s="1">
        <f t="shared" si="0"/>
        <v>0.0130658</v>
      </c>
      <c r="AO15" s="1">
        <f t="shared" si="1"/>
        <v>74306200000000</v>
      </c>
      <c r="AP15" s="1"/>
      <c r="AQ15" s="1"/>
      <c r="AR15" s="1">
        <f t="shared" si="2"/>
        <v>1472740000000</v>
      </c>
      <c r="AS15" s="1">
        <f t="shared" si="3"/>
        <v>1472740000000</v>
      </c>
      <c r="AT15" s="1">
        <f t="shared" si="4"/>
        <v>1472740000000</v>
      </c>
    </row>
    <row r="16" spans="1:46">
      <c r="A16" s="8">
        <v>0.0139003</v>
      </c>
      <c r="B16" s="1">
        <v>0.0153292</v>
      </c>
      <c r="C16" s="1">
        <v>75793600000000</v>
      </c>
      <c r="D16" s="1">
        <v>21790700000</v>
      </c>
      <c r="E16" s="1">
        <v>0</v>
      </c>
      <c r="F16" s="1">
        <v>0</v>
      </c>
      <c r="G16" s="1">
        <v>2</v>
      </c>
      <c r="H16" s="1">
        <v>23785000000000</v>
      </c>
      <c r="I16" s="1">
        <v>12050200000000</v>
      </c>
      <c r="J16" s="1">
        <v>21587000000000</v>
      </c>
      <c r="K16" s="1">
        <v>16864900000000</v>
      </c>
      <c r="L16" s="1">
        <v>1506410000000</v>
      </c>
      <c r="AN16" s="1">
        <f t="shared" si="0"/>
        <v>0.0139003</v>
      </c>
      <c r="AO16" s="1">
        <f t="shared" si="1"/>
        <v>75793600000000</v>
      </c>
      <c r="AP16" s="1"/>
      <c r="AQ16" s="1"/>
      <c r="AR16" s="1">
        <f t="shared" si="2"/>
        <v>1506410000000</v>
      </c>
      <c r="AS16" s="1">
        <f t="shared" si="3"/>
        <v>1506410000000</v>
      </c>
      <c r="AT16" s="1">
        <f t="shared" si="4"/>
        <v>1506410000000</v>
      </c>
    </row>
    <row r="17" spans="1:46">
      <c r="A17" s="8">
        <v>0.0150533</v>
      </c>
      <c r="B17" s="1">
        <v>0.0164527</v>
      </c>
      <c r="C17" s="1">
        <v>75281300000000</v>
      </c>
      <c r="D17" s="1">
        <v>29301100000</v>
      </c>
      <c r="E17" s="1">
        <v>0</v>
      </c>
      <c r="F17" s="1">
        <v>0</v>
      </c>
      <c r="G17" s="1">
        <v>2</v>
      </c>
      <c r="H17" s="1">
        <v>24276400000000</v>
      </c>
      <c r="I17" s="1">
        <v>12051800000000</v>
      </c>
      <c r="J17" s="1">
        <v>23104600000000</v>
      </c>
      <c r="K17" s="1">
        <v>14242100000000</v>
      </c>
      <c r="L17" s="1">
        <v>1606390000000</v>
      </c>
      <c r="AN17" s="1">
        <f t="shared" si="0"/>
        <v>0.0150533</v>
      </c>
      <c r="AO17" s="1">
        <f t="shared" si="1"/>
        <v>75281300000000</v>
      </c>
      <c r="AP17" s="1"/>
      <c r="AQ17" s="1"/>
      <c r="AR17" s="1">
        <f t="shared" si="2"/>
        <v>1606390000000</v>
      </c>
      <c r="AS17" s="1">
        <f t="shared" si="3"/>
        <v>1606390000000</v>
      </c>
      <c r="AT17" s="1">
        <f t="shared" si="4"/>
        <v>1606390000000</v>
      </c>
    </row>
    <row r="18" spans="1:46">
      <c r="A18" s="8">
        <v>0.0160165</v>
      </c>
      <c r="B18" s="1">
        <v>0.0174503</v>
      </c>
      <c r="C18" s="1">
        <v>72594700000000</v>
      </c>
      <c r="D18" s="1">
        <v>24092200000</v>
      </c>
      <c r="E18" s="1">
        <v>0</v>
      </c>
      <c r="F18" s="1">
        <v>0</v>
      </c>
      <c r="G18" s="1">
        <v>2</v>
      </c>
      <c r="H18" s="1">
        <v>22954700000000</v>
      </c>
      <c r="I18" s="1">
        <v>13622300000000</v>
      </c>
      <c r="J18" s="1">
        <v>21717800000000</v>
      </c>
      <c r="K18" s="1">
        <v>12344200000000</v>
      </c>
      <c r="L18" s="1">
        <v>1955640000000</v>
      </c>
      <c r="AN18" s="1">
        <f t="shared" si="0"/>
        <v>0.0160165</v>
      </c>
      <c r="AO18" s="1">
        <f t="shared" si="1"/>
        <v>72594700000000</v>
      </c>
      <c r="AP18" s="1"/>
      <c r="AQ18" s="1"/>
      <c r="AR18" s="1">
        <f t="shared" si="2"/>
        <v>1955640000000</v>
      </c>
      <c r="AS18" s="1">
        <f t="shared" si="3"/>
        <v>1955640000000</v>
      </c>
      <c r="AT18" s="1">
        <f t="shared" si="4"/>
        <v>1955640000000</v>
      </c>
    </row>
    <row r="19" spans="1:46">
      <c r="A19" s="8">
        <v>0.0169813</v>
      </c>
      <c r="B19" s="1">
        <v>0.0184576</v>
      </c>
      <c r="C19" s="1">
        <v>75748500000000</v>
      </c>
      <c r="D19" s="1">
        <v>31064200000</v>
      </c>
      <c r="E19" s="1">
        <v>0</v>
      </c>
      <c r="F19" s="1">
        <v>0</v>
      </c>
      <c r="G19" s="1">
        <v>2</v>
      </c>
      <c r="H19" s="1">
        <v>23431000000000</v>
      </c>
      <c r="I19" s="1">
        <v>13415100000000</v>
      </c>
      <c r="J19" s="1">
        <v>21929700000000</v>
      </c>
      <c r="K19" s="1">
        <v>14882500000000</v>
      </c>
      <c r="L19" s="1">
        <v>2089960000000</v>
      </c>
      <c r="AN19" s="1">
        <f t="shared" si="0"/>
        <v>0.0169813</v>
      </c>
      <c r="AO19" s="1">
        <f t="shared" si="1"/>
        <v>75748500000000</v>
      </c>
      <c r="AP19" s="1"/>
      <c r="AQ19" s="1"/>
      <c r="AR19" s="1">
        <f t="shared" si="2"/>
        <v>2089960000000</v>
      </c>
      <c r="AS19" s="1">
        <f t="shared" si="3"/>
        <v>2089960000000</v>
      </c>
      <c r="AT19" s="1">
        <f t="shared" si="4"/>
        <v>2089960000000</v>
      </c>
    </row>
    <row r="20" spans="1:46">
      <c r="A20" s="8">
        <v>0.0179841</v>
      </c>
      <c r="B20" s="1">
        <v>0.0194123</v>
      </c>
      <c r="C20" s="1">
        <v>78839500000000</v>
      </c>
      <c r="D20" s="1">
        <v>38042000000</v>
      </c>
      <c r="E20" s="1">
        <v>0</v>
      </c>
      <c r="F20" s="1">
        <v>0</v>
      </c>
      <c r="G20" s="1">
        <v>2</v>
      </c>
      <c r="H20" s="1">
        <v>25656700000000</v>
      </c>
      <c r="I20" s="1">
        <v>14949300000000</v>
      </c>
      <c r="J20" s="1">
        <v>18989400000000</v>
      </c>
      <c r="K20" s="1">
        <v>16984700000000</v>
      </c>
      <c r="L20" s="1">
        <v>2259440000000</v>
      </c>
      <c r="AN20" s="1">
        <f t="shared" si="0"/>
        <v>0.0179841</v>
      </c>
      <c r="AO20" s="1">
        <f t="shared" si="1"/>
        <v>78839500000000</v>
      </c>
      <c r="AP20" s="1"/>
      <c r="AQ20" s="1"/>
      <c r="AR20" s="1">
        <f t="shared" si="2"/>
        <v>2259440000000</v>
      </c>
      <c r="AS20" s="1">
        <f t="shared" si="3"/>
        <v>2259440000000</v>
      </c>
      <c r="AT20" s="1">
        <f t="shared" si="4"/>
        <v>2259440000000</v>
      </c>
    </row>
    <row r="21" spans="1:46">
      <c r="A21" s="8">
        <v>0.01898</v>
      </c>
      <c r="B21" s="1">
        <v>0.0204206</v>
      </c>
      <c r="C21" s="1">
        <v>78118100000000</v>
      </c>
      <c r="D21" s="1">
        <v>24764300000</v>
      </c>
      <c r="E21" s="1">
        <v>0</v>
      </c>
      <c r="F21" s="1">
        <v>0</v>
      </c>
      <c r="G21" s="1">
        <v>2</v>
      </c>
      <c r="H21" s="1">
        <v>24564500000000</v>
      </c>
      <c r="I21" s="1">
        <v>16188400000000</v>
      </c>
      <c r="J21" s="1">
        <v>18584700000000</v>
      </c>
      <c r="K21" s="1">
        <v>16571200000000</v>
      </c>
      <c r="L21" s="1">
        <v>2209300000000</v>
      </c>
      <c r="AN21" s="1">
        <f t="shared" si="0"/>
        <v>0.01898</v>
      </c>
      <c r="AO21" s="1">
        <f t="shared" si="1"/>
        <v>78118100000000</v>
      </c>
      <c r="AP21" s="1"/>
      <c r="AQ21" s="1"/>
      <c r="AR21" s="1">
        <f t="shared" si="2"/>
        <v>2209300000000</v>
      </c>
      <c r="AS21" s="1">
        <f t="shared" si="3"/>
        <v>2209300000000</v>
      </c>
      <c r="AT21" s="1">
        <f t="shared" si="4"/>
        <v>2209300000000</v>
      </c>
    </row>
    <row r="22" spans="1:46">
      <c r="A22" s="8">
        <v>0.0199807</v>
      </c>
      <c r="B22" s="1">
        <v>0.0214086</v>
      </c>
      <c r="C22" s="1">
        <v>80523200000000</v>
      </c>
      <c r="D22" s="1">
        <v>25805700000</v>
      </c>
      <c r="E22" s="1">
        <v>0</v>
      </c>
      <c r="F22" s="1">
        <v>0</v>
      </c>
      <c r="G22" s="1">
        <v>2</v>
      </c>
      <c r="H22" s="1">
        <v>25754800000000</v>
      </c>
      <c r="I22" s="1">
        <v>15797900000000</v>
      </c>
      <c r="J22" s="1">
        <v>20548900000000</v>
      </c>
      <c r="K22" s="1">
        <v>16320600000000</v>
      </c>
      <c r="L22" s="1">
        <v>2101020000000</v>
      </c>
      <c r="AN22" s="1">
        <f t="shared" si="0"/>
        <v>0.0199807</v>
      </c>
      <c r="AO22" s="1">
        <f t="shared" si="1"/>
        <v>80523200000000</v>
      </c>
      <c r="AP22" s="1"/>
      <c r="AQ22" s="1"/>
      <c r="AR22" s="1">
        <f t="shared" si="2"/>
        <v>2101020000000</v>
      </c>
      <c r="AS22" s="1">
        <f t="shared" si="3"/>
        <v>2101020000000</v>
      </c>
      <c r="AT22" s="1">
        <f t="shared" si="4"/>
        <v>2101020000000</v>
      </c>
    </row>
    <row r="23" spans="1:46">
      <c r="A23" s="8">
        <v>0.0209491</v>
      </c>
      <c r="B23" s="1">
        <v>0.0223151</v>
      </c>
      <c r="C23" s="1">
        <v>82020000000000</v>
      </c>
      <c r="D23" s="1">
        <v>38049600000</v>
      </c>
      <c r="E23" s="1">
        <v>0</v>
      </c>
      <c r="F23" s="1">
        <v>0</v>
      </c>
      <c r="G23" s="1">
        <v>2</v>
      </c>
      <c r="H23" s="1">
        <v>26245500000000</v>
      </c>
      <c r="I23" s="1">
        <v>16383100000000</v>
      </c>
      <c r="J23" s="1">
        <v>20833100000000</v>
      </c>
      <c r="K23" s="1">
        <v>15735500000000</v>
      </c>
      <c r="L23" s="1">
        <v>2822790000000</v>
      </c>
      <c r="AN23" s="1">
        <f t="shared" si="0"/>
        <v>0.0209491</v>
      </c>
      <c r="AO23" s="1">
        <f t="shared" si="1"/>
        <v>82020000000000</v>
      </c>
      <c r="AP23" s="1"/>
      <c r="AQ23" s="1"/>
      <c r="AR23" s="1">
        <f t="shared" si="2"/>
        <v>2822790000000</v>
      </c>
      <c r="AS23" s="1">
        <f t="shared" si="3"/>
        <v>2822790000000</v>
      </c>
      <c r="AT23" s="1">
        <f t="shared" si="4"/>
        <v>2822790000000</v>
      </c>
    </row>
    <row r="24" spans="1:46">
      <c r="A24" s="8">
        <v>0.0220094</v>
      </c>
      <c r="B24" s="1">
        <v>0.0233175</v>
      </c>
      <c r="C24" s="1">
        <v>77553400000000</v>
      </c>
      <c r="D24" s="1">
        <v>28172800000</v>
      </c>
      <c r="E24" s="1">
        <v>0</v>
      </c>
      <c r="F24" s="1">
        <v>0</v>
      </c>
      <c r="G24" s="1">
        <v>2</v>
      </c>
      <c r="H24" s="1">
        <v>24246500000000</v>
      </c>
      <c r="I24" s="1">
        <v>14886700000000</v>
      </c>
      <c r="J24" s="1">
        <v>19492000000000</v>
      </c>
      <c r="K24" s="1">
        <v>16347500000000</v>
      </c>
      <c r="L24" s="1">
        <v>2580330000000</v>
      </c>
      <c r="AN24" s="1">
        <f t="shared" si="0"/>
        <v>0.0220094</v>
      </c>
      <c r="AO24" s="1">
        <f t="shared" si="1"/>
        <v>77553400000000</v>
      </c>
      <c r="AP24" s="1"/>
      <c r="AQ24" s="1"/>
      <c r="AR24" s="1">
        <f t="shared" si="2"/>
        <v>2580330000000</v>
      </c>
      <c r="AS24" s="1">
        <f t="shared" si="3"/>
        <v>2580330000000</v>
      </c>
      <c r="AT24" s="1">
        <f t="shared" si="4"/>
        <v>2580330000000</v>
      </c>
    </row>
    <row r="25" spans="1:46">
      <c r="A25" s="8">
        <v>0.0229631</v>
      </c>
      <c r="B25" s="1">
        <v>0.0243348</v>
      </c>
      <c r="C25" s="1">
        <v>77611700000000</v>
      </c>
      <c r="D25" s="1">
        <v>36315500000</v>
      </c>
      <c r="E25" s="1">
        <v>0</v>
      </c>
      <c r="F25" s="1">
        <v>0</v>
      </c>
      <c r="G25" s="1">
        <v>2</v>
      </c>
      <c r="H25" s="1">
        <v>22254800000000</v>
      </c>
      <c r="I25" s="1">
        <v>17712600000000</v>
      </c>
      <c r="J25" s="1">
        <v>17184100000000</v>
      </c>
      <c r="K25" s="1">
        <v>17793900000000</v>
      </c>
      <c r="L25" s="1">
        <v>2665330000000</v>
      </c>
      <c r="AN25" s="1">
        <f t="shared" si="0"/>
        <v>0.0229631</v>
      </c>
      <c r="AO25" s="1">
        <f t="shared" si="1"/>
        <v>77611700000000</v>
      </c>
      <c r="AP25" s="1"/>
      <c r="AQ25" s="1"/>
      <c r="AR25" s="1">
        <f t="shared" si="2"/>
        <v>2665330000000</v>
      </c>
      <c r="AS25" s="1">
        <f t="shared" si="3"/>
        <v>2665330000000</v>
      </c>
      <c r="AT25" s="1">
        <f t="shared" si="4"/>
        <v>2665330000000</v>
      </c>
    </row>
    <row r="26" spans="1:46">
      <c r="A26" s="8">
        <v>0.0240488</v>
      </c>
      <c r="B26" s="1">
        <v>0.0254051</v>
      </c>
      <c r="C26" s="1">
        <v>82168000000000</v>
      </c>
      <c r="D26" s="1">
        <v>36140000000</v>
      </c>
      <c r="E26" s="1">
        <v>0</v>
      </c>
      <c r="F26" s="1">
        <v>0</v>
      </c>
      <c r="G26" s="1">
        <v>2</v>
      </c>
      <c r="H26" s="1">
        <v>22353500000000</v>
      </c>
      <c r="I26" s="1">
        <v>21128600000000</v>
      </c>
      <c r="J26" s="1">
        <v>18318700000000</v>
      </c>
      <c r="K26" s="1">
        <v>17398900000000</v>
      </c>
      <c r="L26" s="1">
        <v>2968250000000</v>
      </c>
      <c r="AN26" s="1">
        <f t="shared" si="0"/>
        <v>0.0240488</v>
      </c>
      <c r="AO26" s="1">
        <f t="shared" si="1"/>
        <v>82168000000000</v>
      </c>
      <c r="AP26" s="1"/>
      <c r="AQ26" s="1"/>
      <c r="AR26" s="1">
        <f t="shared" si="2"/>
        <v>2968250000000</v>
      </c>
      <c r="AS26" s="1">
        <f t="shared" si="3"/>
        <v>2968250000000</v>
      </c>
      <c r="AT26" s="1">
        <f t="shared" si="4"/>
        <v>2968250000000</v>
      </c>
    </row>
    <row r="27" spans="1:46">
      <c r="A27" s="8">
        <v>0.0249784</v>
      </c>
      <c r="B27" s="1">
        <v>0.026383</v>
      </c>
      <c r="C27" s="1">
        <v>86466600000000</v>
      </c>
      <c r="D27" s="1">
        <v>37025200000</v>
      </c>
      <c r="E27" s="1">
        <v>0</v>
      </c>
      <c r="F27" s="1">
        <v>0</v>
      </c>
      <c r="G27" s="1">
        <v>2</v>
      </c>
      <c r="H27" s="1">
        <v>23569100000000</v>
      </c>
      <c r="I27" s="1">
        <v>23190400000000</v>
      </c>
      <c r="J27" s="1">
        <v>20384400000000</v>
      </c>
      <c r="K27" s="1">
        <v>16085200000000</v>
      </c>
      <c r="L27" s="1">
        <v>3237490000000</v>
      </c>
      <c r="AN27" s="1">
        <f t="shared" si="0"/>
        <v>0.0249784</v>
      </c>
      <c r="AO27" s="1">
        <f t="shared" si="1"/>
        <v>86466600000000</v>
      </c>
      <c r="AP27" s="1"/>
      <c r="AQ27" s="1"/>
      <c r="AR27" s="1">
        <f t="shared" si="2"/>
        <v>3237490000000</v>
      </c>
      <c r="AS27" s="1">
        <f t="shared" si="3"/>
        <v>3237490000000</v>
      </c>
      <c r="AT27" s="1">
        <f t="shared" si="4"/>
        <v>3237490000000</v>
      </c>
    </row>
    <row r="28" spans="1:46">
      <c r="A28" s="8">
        <v>0.0259688</v>
      </c>
      <c r="B28" s="1">
        <v>0.0273208</v>
      </c>
      <c r="C28" s="1">
        <v>80949300000000</v>
      </c>
      <c r="D28" s="1">
        <v>29853500000</v>
      </c>
      <c r="E28" s="1">
        <v>0</v>
      </c>
      <c r="F28" s="1">
        <v>0</v>
      </c>
      <c r="G28" s="1">
        <v>2</v>
      </c>
      <c r="H28" s="1">
        <v>21772000000000</v>
      </c>
      <c r="I28" s="1">
        <v>21243600000000</v>
      </c>
      <c r="J28" s="1">
        <v>18123500000000</v>
      </c>
      <c r="K28" s="1">
        <v>16466900000000</v>
      </c>
      <c r="L28" s="1">
        <v>3343210000000</v>
      </c>
      <c r="AN28" s="1">
        <f t="shared" si="0"/>
        <v>0.0259688</v>
      </c>
      <c r="AO28" s="1">
        <f t="shared" si="1"/>
        <v>80949300000000</v>
      </c>
      <c r="AP28" s="1"/>
      <c r="AQ28" s="1"/>
      <c r="AR28" s="1">
        <f t="shared" si="2"/>
        <v>3343210000000</v>
      </c>
      <c r="AS28" s="1">
        <f t="shared" si="3"/>
        <v>3343210000000</v>
      </c>
      <c r="AT28" s="1">
        <f t="shared" si="4"/>
        <v>3343210000000</v>
      </c>
    </row>
    <row r="29" spans="1:46">
      <c r="A29" s="8">
        <v>0.0270457</v>
      </c>
      <c r="B29" s="1">
        <v>0.0283995</v>
      </c>
      <c r="C29" s="1">
        <v>76697900000000</v>
      </c>
      <c r="D29" s="1">
        <v>35169600000</v>
      </c>
      <c r="E29" s="1">
        <v>0</v>
      </c>
      <c r="F29" s="1">
        <v>0</v>
      </c>
      <c r="G29" s="1">
        <v>2</v>
      </c>
      <c r="H29" s="1">
        <v>18949800000000</v>
      </c>
      <c r="I29" s="1">
        <v>20431400000000</v>
      </c>
      <c r="J29" s="1">
        <v>18221900000000</v>
      </c>
      <c r="K29" s="1">
        <v>16000800000000</v>
      </c>
      <c r="L29" s="1">
        <v>3093980000000</v>
      </c>
      <c r="AN29" s="1">
        <f t="shared" si="0"/>
        <v>0.0270457</v>
      </c>
      <c r="AO29" s="1">
        <f t="shared" si="1"/>
        <v>76697900000000</v>
      </c>
      <c r="AP29" s="1"/>
      <c r="AQ29" s="1"/>
      <c r="AR29" s="1">
        <f t="shared" si="2"/>
        <v>3093980000000</v>
      </c>
      <c r="AS29" s="1">
        <f t="shared" si="3"/>
        <v>3093980000000</v>
      </c>
      <c r="AT29" s="1">
        <f t="shared" si="4"/>
        <v>3093980000000</v>
      </c>
    </row>
    <row r="30" spans="1:46">
      <c r="A30" s="8">
        <v>0.0279511</v>
      </c>
      <c r="B30" s="1">
        <v>0.02934</v>
      </c>
      <c r="C30" s="1">
        <v>75737900000000</v>
      </c>
      <c r="D30" s="1">
        <v>26274800000</v>
      </c>
      <c r="E30" s="1">
        <v>0</v>
      </c>
      <c r="F30" s="1">
        <v>0</v>
      </c>
      <c r="G30" s="1">
        <v>2</v>
      </c>
      <c r="H30" s="1">
        <v>17594900000000</v>
      </c>
      <c r="I30" s="1">
        <v>20901700000000</v>
      </c>
      <c r="J30" s="1">
        <v>17437500000000</v>
      </c>
      <c r="K30" s="1">
        <v>16989000000000</v>
      </c>
      <c r="L30" s="1">
        <v>2814800000000</v>
      </c>
      <c r="AN30" s="1">
        <f t="shared" si="0"/>
        <v>0.0279511</v>
      </c>
      <c r="AO30" s="1">
        <f t="shared" si="1"/>
        <v>75737900000000</v>
      </c>
      <c r="AP30" s="1"/>
      <c r="AQ30" s="1"/>
      <c r="AR30" s="1">
        <f t="shared" si="2"/>
        <v>2814800000000</v>
      </c>
      <c r="AS30" s="1">
        <f t="shared" si="3"/>
        <v>2814800000000</v>
      </c>
      <c r="AT30" s="1">
        <f t="shared" si="4"/>
        <v>2814800000000</v>
      </c>
    </row>
    <row r="31" spans="1:46">
      <c r="A31" s="8">
        <v>0.028981</v>
      </c>
      <c r="B31" s="1">
        <v>0.0303329</v>
      </c>
      <c r="C31" s="1">
        <v>84781400000000</v>
      </c>
      <c r="D31" s="1">
        <v>28616400000</v>
      </c>
      <c r="E31" s="1">
        <v>0</v>
      </c>
      <c r="F31" s="1">
        <v>0</v>
      </c>
      <c r="G31" s="1">
        <v>2</v>
      </c>
      <c r="H31" s="1">
        <v>22405100000000</v>
      </c>
      <c r="I31" s="1">
        <v>21779200000000</v>
      </c>
      <c r="J31" s="1">
        <v>18972400000000</v>
      </c>
      <c r="K31" s="1">
        <v>18617100000000</v>
      </c>
      <c r="L31" s="1">
        <v>3007530000000</v>
      </c>
      <c r="AN31" s="1">
        <f t="shared" si="0"/>
        <v>0.028981</v>
      </c>
      <c r="AO31" s="1">
        <f t="shared" si="1"/>
        <v>84781400000000</v>
      </c>
      <c r="AP31" s="1"/>
      <c r="AQ31" s="1"/>
      <c r="AR31" s="1">
        <f t="shared" si="2"/>
        <v>3007530000000</v>
      </c>
      <c r="AS31" s="1">
        <f t="shared" si="3"/>
        <v>3007530000000</v>
      </c>
      <c r="AT31" s="1">
        <f t="shared" si="4"/>
        <v>3007530000000</v>
      </c>
    </row>
    <row r="32" spans="1:46">
      <c r="A32" s="8">
        <v>0.0300081</v>
      </c>
      <c r="B32" s="1">
        <v>0.0313403</v>
      </c>
      <c r="C32" s="1">
        <v>82862800000000</v>
      </c>
      <c r="D32" s="1">
        <v>41599800000</v>
      </c>
      <c r="E32" s="1">
        <v>0</v>
      </c>
      <c r="F32" s="1">
        <v>0</v>
      </c>
      <c r="G32" s="1">
        <v>2</v>
      </c>
      <c r="H32" s="1">
        <v>22263400000000</v>
      </c>
      <c r="I32" s="1">
        <v>21751500000000</v>
      </c>
      <c r="J32" s="1">
        <v>18615200000000</v>
      </c>
      <c r="K32" s="1">
        <v>17191400000000</v>
      </c>
      <c r="L32" s="1">
        <v>3041290000000</v>
      </c>
      <c r="AN32" s="1">
        <f t="shared" si="0"/>
        <v>0.0300081</v>
      </c>
      <c r="AO32" s="1">
        <f t="shared" si="1"/>
        <v>82862800000000</v>
      </c>
      <c r="AP32" s="1"/>
      <c r="AQ32" s="1"/>
      <c r="AR32" s="1">
        <f t="shared" si="2"/>
        <v>3041290000000</v>
      </c>
      <c r="AS32" s="1">
        <f t="shared" si="3"/>
        <v>3041290000000</v>
      </c>
      <c r="AT32" s="1">
        <f t="shared" si="4"/>
        <v>3041290000000</v>
      </c>
    </row>
    <row r="33" spans="1:46">
      <c r="A33" s="8">
        <v>0.0309753</v>
      </c>
      <c r="B33" s="1">
        <v>0.0322993</v>
      </c>
      <c r="C33" s="1">
        <v>82236300000000</v>
      </c>
      <c r="D33" s="1">
        <v>41069100000</v>
      </c>
      <c r="E33" s="1">
        <v>0</v>
      </c>
      <c r="F33" s="1">
        <v>0</v>
      </c>
      <c r="G33" s="1">
        <v>2</v>
      </c>
      <c r="H33" s="1">
        <v>21624600000000</v>
      </c>
      <c r="I33" s="1">
        <v>20429800000000</v>
      </c>
      <c r="J33" s="1">
        <v>19492600000000</v>
      </c>
      <c r="K33" s="1">
        <v>17619600000000</v>
      </c>
      <c r="L33" s="1">
        <v>3069750000000</v>
      </c>
      <c r="AN33" s="1">
        <f t="shared" si="0"/>
        <v>0.0309753</v>
      </c>
      <c r="AO33" s="1">
        <f t="shared" si="1"/>
        <v>82236300000000</v>
      </c>
      <c r="AP33" s="1"/>
      <c r="AQ33" s="1"/>
      <c r="AR33" s="1">
        <f t="shared" si="2"/>
        <v>3069750000000</v>
      </c>
      <c r="AS33" s="1">
        <f t="shared" si="3"/>
        <v>3069750000000</v>
      </c>
      <c r="AT33" s="1">
        <f t="shared" si="4"/>
        <v>3069750000000</v>
      </c>
    </row>
    <row r="34" spans="1:46">
      <c r="A34" s="8">
        <v>0.0319973</v>
      </c>
      <c r="B34" s="1">
        <v>0.0333368</v>
      </c>
      <c r="C34" s="1">
        <v>78638500000000</v>
      </c>
      <c r="D34" s="1">
        <v>35233900000</v>
      </c>
      <c r="E34" s="1">
        <v>0</v>
      </c>
      <c r="F34" s="1">
        <v>0</v>
      </c>
      <c r="G34" s="1">
        <v>2</v>
      </c>
      <c r="H34" s="1">
        <v>19979500000000</v>
      </c>
      <c r="I34" s="1">
        <v>17011200000000</v>
      </c>
      <c r="J34" s="1">
        <v>20308300000000</v>
      </c>
      <c r="K34" s="1">
        <v>18264900000000</v>
      </c>
      <c r="L34" s="1">
        <v>3074530000000</v>
      </c>
      <c r="AN34" s="1">
        <f t="shared" si="0"/>
        <v>0.0319973</v>
      </c>
      <c r="AO34" s="1">
        <f t="shared" si="1"/>
        <v>78638500000000</v>
      </c>
      <c r="AP34" s="1"/>
      <c r="AQ34" s="1"/>
      <c r="AR34" s="1">
        <f t="shared" si="2"/>
        <v>3074530000000</v>
      </c>
      <c r="AS34" s="1">
        <f t="shared" si="3"/>
        <v>3074530000000</v>
      </c>
      <c r="AT34" s="1">
        <f t="shared" si="4"/>
        <v>3074530000000</v>
      </c>
    </row>
    <row r="35" spans="1:46">
      <c r="A35" s="8">
        <v>0.0329908</v>
      </c>
      <c r="B35" s="1">
        <v>0.0343781</v>
      </c>
      <c r="C35" s="1">
        <v>75436000000000</v>
      </c>
      <c r="D35" s="1">
        <v>35250300000</v>
      </c>
      <c r="E35" s="1">
        <v>0</v>
      </c>
      <c r="F35" s="1">
        <v>0</v>
      </c>
      <c r="G35" s="1">
        <v>2</v>
      </c>
      <c r="H35" s="1">
        <v>18997200000000</v>
      </c>
      <c r="I35" s="1">
        <v>18709600000000</v>
      </c>
      <c r="J35" s="1">
        <v>16704100000000</v>
      </c>
      <c r="K35" s="1">
        <v>17872900000000</v>
      </c>
      <c r="L35" s="1">
        <v>3152090000000</v>
      </c>
      <c r="AN35" s="1">
        <f t="shared" si="0"/>
        <v>0.0329908</v>
      </c>
      <c r="AO35" s="1">
        <f t="shared" si="1"/>
        <v>75436000000000</v>
      </c>
      <c r="AP35" s="1"/>
      <c r="AQ35" s="1"/>
      <c r="AR35" s="1">
        <f t="shared" si="2"/>
        <v>3152090000000</v>
      </c>
      <c r="AS35" s="1">
        <f t="shared" si="3"/>
        <v>3152090000000</v>
      </c>
      <c r="AT35" s="1">
        <f t="shared" si="4"/>
        <v>3152090000000</v>
      </c>
    </row>
    <row r="36" spans="1:46">
      <c r="A36" s="8">
        <v>0.0340168</v>
      </c>
      <c r="B36" s="1">
        <v>0.0354446</v>
      </c>
      <c r="C36" s="1">
        <v>80095200000000</v>
      </c>
      <c r="D36" s="1">
        <v>30262300000</v>
      </c>
      <c r="E36" s="1">
        <v>0</v>
      </c>
      <c r="F36" s="1">
        <v>0</v>
      </c>
      <c r="G36" s="1">
        <v>2</v>
      </c>
      <c r="H36" s="1">
        <v>23140400000000</v>
      </c>
      <c r="I36" s="1">
        <v>21700000000000</v>
      </c>
      <c r="J36" s="1">
        <v>16475400000000</v>
      </c>
      <c r="K36" s="1">
        <v>15535300000000</v>
      </c>
      <c r="L36" s="1">
        <v>3243990000000</v>
      </c>
      <c r="AN36" s="1">
        <f t="shared" si="0"/>
        <v>0.0340168</v>
      </c>
      <c r="AO36" s="1">
        <f t="shared" si="1"/>
        <v>80095200000000</v>
      </c>
      <c r="AP36" s="1"/>
      <c r="AQ36" s="1"/>
      <c r="AR36" s="1">
        <f t="shared" si="2"/>
        <v>3243990000000</v>
      </c>
      <c r="AS36" s="1">
        <f t="shared" si="3"/>
        <v>3243990000000</v>
      </c>
      <c r="AT36" s="1">
        <f t="shared" si="4"/>
        <v>3243990000000</v>
      </c>
    </row>
    <row r="37" spans="1:46">
      <c r="A37" s="8">
        <v>0.0350303</v>
      </c>
      <c r="B37" s="1">
        <v>0.0363568</v>
      </c>
      <c r="C37" s="1">
        <v>83671600000000</v>
      </c>
      <c r="D37" s="1">
        <v>45977000000</v>
      </c>
      <c r="E37" s="1">
        <v>0</v>
      </c>
      <c r="F37" s="1">
        <v>0</v>
      </c>
      <c r="G37" s="1">
        <v>2</v>
      </c>
      <c r="H37" s="1">
        <v>25516600000000</v>
      </c>
      <c r="I37" s="1">
        <v>21473000000000</v>
      </c>
      <c r="J37" s="1">
        <v>18168900000000</v>
      </c>
      <c r="K37" s="1">
        <v>15370100000000</v>
      </c>
      <c r="L37" s="1">
        <v>3143140000000</v>
      </c>
      <c r="AN37" s="1">
        <f t="shared" si="0"/>
        <v>0.0350303</v>
      </c>
      <c r="AO37" s="1">
        <f t="shared" si="1"/>
        <v>83671600000000</v>
      </c>
      <c r="AP37" s="1"/>
      <c r="AQ37" s="1"/>
      <c r="AR37" s="1">
        <f t="shared" si="2"/>
        <v>3143140000000</v>
      </c>
      <c r="AS37" s="1">
        <f t="shared" si="3"/>
        <v>3143140000000</v>
      </c>
      <c r="AT37" s="1">
        <f t="shared" si="4"/>
        <v>3143140000000</v>
      </c>
    </row>
    <row r="38" spans="1:46">
      <c r="A38" s="8">
        <v>0.0359955</v>
      </c>
      <c r="B38" s="1">
        <v>0.0373495</v>
      </c>
      <c r="C38" s="1">
        <v>82458400000000</v>
      </c>
      <c r="D38" s="1">
        <v>38307700000</v>
      </c>
      <c r="E38" s="1">
        <v>0</v>
      </c>
      <c r="F38" s="1">
        <v>0</v>
      </c>
      <c r="G38" s="1">
        <v>2</v>
      </c>
      <c r="H38" s="1">
        <v>25007000000000</v>
      </c>
      <c r="I38" s="1">
        <v>20602400000000</v>
      </c>
      <c r="J38" s="1">
        <v>17853700000000</v>
      </c>
      <c r="K38" s="1">
        <v>15804400000000</v>
      </c>
      <c r="L38" s="1">
        <v>3190820000000</v>
      </c>
      <c r="AN38" s="1">
        <f t="shared" si="0"/>
        <v>0.0359955</v>
      </c>
      <c r="AO38" s="1">
        <f t="shared" si="1"/>
        <v>82458400000000</v>
      </c>
      <c r="AP38" s="1"/>
      <c r="AQ38" s="1"/>
      <c r="AR38" s="1">
        <f t="shared" si="2"/>
        <v>3190820000000</v>
      </c>
      <c r="AS38" s="1">
        <f t="shared" si="3"/>
        <v>3190820000000</v>
      </c>
      <c r="AT38" s="1">
        <f t="shared" si="4"/>
        <v>3190820000000</v>
      </c>
    </row>
    <row r="39" spans="1:46">
      <c r="A39" s="8">
        <v>0.0369732</v>
      </c>
      <c r="B39" s="1">
        <v>0.038382</v>
      </c>
      <c r="C39" s="1">
        <v>82106100000000</v>
      </c>
      <c r="D39" s="1">
        <v>51175100000</v>
      </c>
      <c r="E39" s="1">
        <v>0</v>
      </c>
      <c r="F39" s="1">
        <v>0</v>
      </c>
      <c r="G39" s="1">
        <v>2</v>
      </c>
      <c r="H39" s="1">
        <v>24015900000000</v>
      </c>
      <c r="I39" s="1">
        <v>22054600000000</v>
      </c>
      <c r="J39" s="1">
        <v>16990700000000</v>
      </c>
      <c r="K39" s="1">
        <v>15666300000000</v>
      </c>
      <c r="L39" s="1">
        <v>3378480000000</v>
      </c>
      <c r="AN39" s="1">
        <f t="shared" si="0"/>
        <v>0.0369732</v>
      </c>
      <c r="AO39" s="1">
        <f t="shared" si="1"/>
        <v>82106100000000</v>
      </c>
      <c r="AP39" s="1"/>
      <c r="AQ39" s="1"/>
      <c r="AR39" s="1">
        <f t="shared" si="2"/>
        <v>3378480000000</v>
      </c>
      <c r="AS39" s="1">
        <f t="shared" si="3"/>
        <v>3378480000000</v>
      </c>
      <c r="AT39" s="1">
        <f t="shared" si="4"/>
        <v>3378480000000</v>
      </c>
    </row>
    <row r="40" spans="1:46">
      <c r="A40" s="8">
        <v>0.0380186</v>
      </c>
      <c r="B40" s="1">
        <v>0.0394087</v>
      </c>
      <c r="C40" s="1">
        <v>84083600000000</v>
      </c>
      <c r="D40" s="1">
        <v>49992400000</v>
      </c>
      <c r="E40" s="1">
        <v>0</v>
      </c>
      <c r="F40" s="1">
        <v>0</v>
      </c>
      <c r="G40" s="1">
        <v>2</v>
      </c>
      <c r="H40" s="1">
        <v>22391100000000</v>
      </c>
      <c r="I40" s="1">
        <v>24232400000000</v>
      </c>
      <c r="J40" s="1">
        <v>17324700000000</v>
      </c>
      <c r="K40" s="1">
        <v>16495800000000</v>
      </c>
      <c r="L40" s="1">
        <v>3639530000000</v>
      </c>
      <c r="AN40" s="1">
        <f t="shared" si="0"/>
        <v>0.0380186</v>
      </c>
      <c r="AO40" s="1">
        <f t="shared" si="1"/>
        <v>84083600000000</v>
      </c>
      <c r="AP40" s="1"/>
      <c r="AQ40" s="1"/>
      <c r="AR40" s="1">
        <f t="shared" si="2"/>
        <v>3639530000000</v>
      </c>
      <c r="AS40" s="1">
        <f t="shared" si="3"/>
        <v>3639530000000</v>
      </c>
      <c r="AT40" s="1">
        <f t="shared" si="4"/>
        <v>3639530000000</v>
      </c>
    </row>
    <row r="41" spans="1:46">
      <c r="A41" s="8">
        <v>0.0389443</v>
      </c>
      <c r="B41" s="1">
        <v>0.0403123</v>
      </c>
      <c r="C41" s="1">
        <v>85482300000000</v>
      </c>
      <c r="D41" s="1">
        <v>37070600000</v>
      </c>
      <c r="E41" s="1">
        <v>0</v>
      </c>
      <c r="F41" s="1">
        <v>0</v>
      </c>
      <c r="G41" s="1">
        <v>2</v>
      </c>
      <c r="H41" s="1">
        <v>21209700000000</v>
      </c>
      <c r="I41" s="1">
        <v>24283100000000</v>
      </c>
      <c r="J41" s="1">
        <v>18940000000000</v>
      </c>
      <c r="K41" s="1">
        <v>17047900000000</v>
      </c>
      <c r="L41" s="1">
        <v>4001570000000</v>
      </c>
      <c r="AN41" s="1">
        <f t="shared" si="0"/>
        <v>0.0389443</v>
      </c>
      <c r="AO41" s="1">
        <f t="shared" si="1"/>
        <v>85482300000000</v>
      </c>
      <c r="AP41" s="1"/>
      <c r="AQ41" s="1"/>
      <c r="AR41" s="1">
        <f t="shared" si="2"/>
        <v>4001570000000</v>
      </c>
      <c r="AS41" s="1">
        <f t="shared" si="3"/>
        <v>4001570000000</v>
      </c>
      <c r="AT41" s="1">
        <f t="shared" si="4"/>
        <v>4001570000000</v>
      </c>
    </row>
    <row r="42" spans="1:46">
      <c r="A42" s="8">
        <v>0.0400003</v>
      </c>
      <c r="B42" s="1">
        <v>0.0413804</v>
      </c>
      <c r="C42" s="1">
        <v>85095800000000</v>
      </c>
      <c r="D42" s="1">
        <v>36499900000</v>
      </c>
      <c r="E42" s="1">
        <v>0</v>
      </c>
      <c r="F42" s="1">
        <v>0</v>
      </c>
      <c r="G42" s="1">
        <v>2</v>
      </c>
      <c r="H42" s="1">
        <v>21096200000000</v>
      </c>
      <c r="I42" s="1">
        <v>25808400000000</v>
      </c>
      <c r="J42" s="1">
        <v>18898900000000</v>
      </c>
      <c r="K42" s="1">
        <v>15155400000000</v>
      </c>
      <c r="L42" s="1">
        <v>4136520000000</v>
      </c>
      <c r="AN42" s="1">
        <f t="shared" si="0"/>
        <v>0.0400003</v>
      </c>
      <c r="AO42" s="1">
        <f t="shared" si="1"/>
        <v>85095800000000</v>
      </c>
      <c r="AP42" s="1"/>
      <c r="AQ42" s="1"/>
      <c r="AR42" s="1">
        <f t="shared" si="2"/>
        <v>4136520000000</v>
      </c>
      <c r="AS42" s="1">
        <f t="shared" si="3"/>
        <v>4136520000000</v>
      </c>
      <c r="AT42" s="1">
        <f t="shared" si="4"/>
        <v>4136520000000</v>
      </c>
    </row>
    <row r="43" spans="1:46">
      <c r="A43" s="8">
        <v>0.0410249</v>
      </c>
      <c r="B43" s="1">
        <v>0.042384</v>
      </c>
      <c r="C43" s="1">
        <v>86693800000000</v>
      </c>
      <c r="D43" s="1">
        <v>48585100000</v>
      </c>
      <c r="E43" s="1">
        <v>0</v>
      </c>
      <c r="F43" s="1">
        <v>0</v>
      </c>
      <c r="G43" s="1">
        <v>2</v>
      </c>
      <c r="H43" s="1">
        <v>22562200000000</v>
      </c>
      <c r="I43" s="1">
        <v>25507800000000</v>
      </c>
      <c r="J43" s="1">
        <v>18773700000000</v>
      </c>
      <c r="K43" s="1">
        <v>15711900000000</v>
      </c>
      <c r="L43" s="1">
        <v>4138230000000</v>
      </c>
      <c r="AN43" s="1">
        <f t="shared" si="0"/>
        <v>0.0410249</v>
      </c>
      <c r="AO43" s="1">
        <f t="shared" si="1"/>
        <v>86693800000000</v>
      </c>
      <c r="AP43" s="1"/>
      <c r="AQ43" s="1"/>
      <c r="AR43" s="1">
        <f t="shared" si="2"/>
        <v>4138230000000</v>
      </c>
      <c r="AS43" s="1">
        <f t="shared" si="3"/>
        <v>4138230000000</v>
      </c>
      <c r="AT43" s="1">
        <f t="shared" si="4"/>
        <v>4138230000000</v>
      </c>
    </row>
    <row r="44" spans="1:46">
      <c r="A44" s="8">
        <v>0.0419591</v>
      </c>
      <c r="B44" s="1">
        <v>0.0433237</v>
      </c>
      <c r="C44" s="1">
        <v>86212700000000</v>
      </c>
      <c r="D44" s="1">
        <v>33018000000</v>
      </c>
      <c r="E44" s="1">
        <v>0</v>
      </c>
      <c r="F44" s="1">
        <v>0</v>
      </c>
      <c r="G44" s="1">
        <v>2</v>
      </c>
      <c r="H44" s="1">
        <v>22481700000000</v>
      </c>
      <c r="I44" s="1">
        <v>23788300000000</v>
      </c>
      <c r="J44" s="1">
        <v>20728500000000</v>
      </c>
      <c r="K44" s="1">
        <v>15313300000000</v>
      </c>
      <c r="L44" s="1">
        <v>3900940000000</v>
      </c>
      <c r="AN44" s="1">
        <f t="shared" si="0"/>
        <v>0.0419591</v>
      </c>
      <c r="AO44" s="1">
        <f t="shared" si="1"/>
        <v>86212700000000</v>
      </c>
      <c r="AP44" s="1"/>
      <c r="AQ44" s="1"/>
      <c r="AR44" s="1">
        <f t="shared" si="2"/>
        <v>3900940000000</v>
      </c>
      <c r="AS44" s="1">
        <f t="shared" si="3"/>
        <v>3900940000000</v>
      </c>
      <c r="AT44" s="1">
        <f t="shared" si="4"/>
        <v>3900940000000</v>
      </c>
    </row>
    <row r="45" spans="1:46">
      <c r="A45" s="8">
        <v>0.0430026</v>
      </c>
      <c r="B45" s="1">
        <v>0.0443271</v>
      </c>
      <c r="C45" s="1">
        <v>83971900000000</v>
      </c>
      <c r="D45" s="1">
        <v>33203900000</v>
      </c>
      <c r="E45" s="1">
        <v>0</v>
      </c>
      <c r="F45" s="1">
        <v>0</v>
      </c>
      <c r="G45" s="1">
        <v>2</v>
      </c>
      <c r="H45" s="1">
        <v>21400900000000</v>
      </c>
      <c r="I45" s="1">
        <v>21720900000000</v>
      </c>
      <c r="J45" s="1">
        <v>20881300000000</v>
      </c>
      <c r="K45" s="1">
        <v>16227700000000</v>
      </c>
      <c r="L45" s="1">
        <v>3741080000000</v>
      </c>
      <c r="AN45" s="1">
        <f t="shared" si="0"/>
        <v>0.0430026</v>
      </c>
      <c r="AO45" s="1">
        <f t="shared" si="1"/>
        <v>83971900000000</v>
      </c>
      <c r="AP45" s="1"/>
      <c r="AQ45" s="1"/>
      <c r="AR45" s="1">
        <f t="shared" si="2"/>
        <v>3741080000000</v>
      </c>
      <c r="AS45" s="1">
        <f t="shared" si="3"/>
        <v>3741080000000</v>
      </c>
      <c r="AT45" s="1">
        <f t="shared" si="4"/>
        <v>3741080000000</v>
      </c>
    </row>
    <row r="46" spans="1:46">
      <c r="A46" s="8">
        <v>0.0439909</v>
      </c>
      <c r="B46" s="1">
        <v>0.0454023</v>
      </c>
      <c r="C46" s="1">
        <v>83252600000000</v>
      </c>
      <c r="D46" s="1">
        <v>39859400000</v>
      </c>
      <c r="E46" s="1">
        <v>0</v>
      </c>
      <c r="F46" s="1">
        <v>0</v>
      </c>
      <c r="G46" s="1">
        <v>2</v>
      </c>
      <c r="H46" s="1">
        <v>19230400000000</v>
      </c>
      <c r="I46" s="1">
        <v>22952800000000</v>
      </c>
      <c r="J46" s="1">
        <v>20433900000000</v>
      </c>
      <c r="K46" s="1">
        <v>16943500000000</v>
      </c>
      <c r="L46" s="1">
        <v>3692010000000</v>
      </c>
      <c r="AN46" s="1">
        <f t="shared" si="0"/>
        <v>0.0439909</v>
      </c>
      <c r="AO46" s="1">
        <f t="shared" si="1"/>
        <v>83252600000000</v>
      </c>
      <c r="AP46" s="1"/>
      <c r="AQ46" s="1"/>
      <c r="AR46" s="1">
        <f t="shared" si="2"/>
        <v>3692010000000</v>
      </c>
      <c r="AS46" s="1">
        <f t="shared" si="3"/>
        <v>3692010000000</v>
      </c>
      <c r="AT46" s="1">
        <f t="shared" si="4"/>
        <v>3692010000000</v>
      </c>
    </row>
    <row r="47" spans="1:46">
      <c r="A47" s="8">
        <v>0.0450472</v>
      </c>
      <c r="B47" s="1">
        <v>0.0464777</v>
      </c>
      <c r="C47" s="1">
        <v>82460300000000</v>
      </c>
      <c r="D47" s="1">
        <v>40106900000</v>
      </c>
      <c r="E47" s="1">
        <v>0</v>
      </c>
      <c r="F47" s="1">
        <v>0</v>
      </c>
      <c r="G47" s="1">
        <v>2</v>
      </c>
      <c r="H47" s="1">
        <v>18482000000000</v>
      </c>
      <c r="I47" s="1">
        <v>23909200000000</v>
      </c>
      <c r="J47" s="1">
        <v>18897000000000</v>
      </c>
      <c r="K47" s="1">
        <v>17242500000000</v>
      </c>
      <c r="L47" s="1">
        <v>3929500000000</v>
      </c>
      <c r="AN47" s="1">
        <f t="shared" si="0"/>
        <v>0.0450472</v>
      </c>
      <c r="AO47" s="1">
        <f t="shared" si="1"/>
        <v>82460300000000</v>
      </c>
      <c r="AP47" s="1"/>
      <c r="AQ47" s="1"/>
      <c r="AR47" s="1">
        <f t="shared" si="2"/>
        <v>3929500000000</v>
      </c>
      <c r="AS47" s="1">
        <f t="shared" si="3"/>
        <v>3929500000000</v>
      </c>
      <c r="AT47" s="1">
        <f t="shared" si="4"/>
        <v>3929500000000</v>
      </c>
    </row>
    <row r="48" spans="40:46">
      <c r="AN48" s="1"/>
      <c r="AO48" s="1"/>
      <c r="AP48" s="1"/>
      <c r="AQ48" s="1"/>
      <c r="AR48" s="1"/>
      <c r="AS48" s="1"/>
      <c r="AT48" s="1"/>
    </row>
    <row r="49" spans="40:46">
      <c r="AN49" s="1"/>
      <c r="AO49" s="1"/>
      <c r="AP49" s="1"/>
      <c r="AQ49" s="1"/>
      <c r="AR49" s="1"/>
      <c r="AS49" s="1"/>
      <c r="AT49" s="1"/>
    </row>
    <row r="50" spans="40:46">
      <c r="AN50" s="1"/>
      <c r="AO50" s="1"/>
      <c r="AP50" s="1"/>
      <c r="AQ50" s="1"/>
      <c r="AR50" s="1"/>
      <c r="AS50" s="1"/>
      <c r="AT50" s="1"/>
    </row>
    <row r="51" spans="40:46">
      <c r="AN51" s="1"/>
      <c r="AO51" s="1"/>
      <c r="AP51" s="1"/>
      <c r="AQ51" s="1"/>
      <c r="AR51" s="1"/>
      <c r="AS51" s="1"/>
      <c r="AT51" s="1"/>
    </row>
    <row r="52" spans="40:46">
      <c r="AN52" s="1"/>
      <c r="AO52" s="1"/>
      <c r="AP52" s="1"/>
      <c r="AQ52" s="1"/>
      <c r="AR52" s="1"/>
      <c r="AS52" s="1"/>
      <c r="AT52" s="1"/>
    </row>
  </sheetData>
  <mergeCells count="3">
    <mergeCell ref="A1:L1"/>
    <mergeCell ref="N1:Y1"/>
    <mergeCell ref="AA1:AL1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6"/>
  <sheetViews>
    <sheetView workbookViewId="0">
      <selection activeCell="K3" sqref="K3:S3"/>
    </sheetView>
  </sheetViews>
  <sheetFormatPr defaultColWidth="9" defaultRowHeight="15"/>
  <cols>
    <col min="19" max="19" width="14.4222222222222" customWidth="1"/>
  </cols>
  <sheetData>
    <row r="1" spans="1:19">
      <c r="A1" s="9" t="s">
        <v>0</v>
      </c>
      <c r="B1" s="9"/>
      <c r="D1" s="9" t="s">
        <v>1</v>
      </c>
      <c r="E1" s="9"/>
      <c r="G1" s="9" t="s">
        <v>2</v>
      </c>
      <c r="H1" s="9"/>
      <c r="J1" s="9" t="s">
        <v>3</v>
      </c>
      <c r="K1" s="9"/>
      <c r="N1" s="2"/>
      <c r="O1" s="2"/>
      <c r="S1" s="2"/>
    </row>
    <row r="2" spans="1:19">
      <c r="A2" s="8">
        <v>0.000153905</v>
      </c>
      <c r="B2" s="1">
        <v>181418000</v>
      </c>
      <c r="D2" s="6"/>
      <c r="E2" s="1"/>
      <c r="G2" s="6"/>
      <c r="H2" s="1"/>
      <c r="K2" t="s">
        <v>4</v>
      </c>
      <c r="L2" t="s">
        <v>5</v>
      </c>
      <c r="M2" t="s">
        <v>6</v>
      </c>
      <c r="N2" s="2" t="s">
        <v>7</v>
      </c>
      <c r="O2" s="2" t="s">
        <v>8</v>
      </c>
      <c r="P2" t="s">
        <v>9</v>
      </c>
      <c r="Q2" t="s">
        <v>10</v>
      </c>
      <c r="R2" t="s">
        <v>11</v>
      </c>
      <c r="S2" s="2" t="s">
        <v>12</v>
      </c>
    </row>
    <row r="3" spans="1:19">
      <c r="A3" s="8">
        <v>0.000945083</v>
      </c>
      <c r="B3" s="1">
        <v>282128000</v>
      </c>
      <c r="D3" s="6"/>
      <c r="E3" s="1"/>
      <c r="G3" s="6"/>
      <c r="H3" s="1"/>
      <c r="J3" t="s">
        <v>0</v>
      </c>
      <c r="K3">
        <v>277</v>
      </c>
      <c r="L3" s="1">
        <v>68400000000</v>
      </c>
      <c r="M3" s="1">
        <v>21100000000000</v>
      </c>
      <c r="N3" s="2">
        <f>0.5*80.9*0.248*SQRT(L3)/1000000</f>
        <v>2.62360383852136</v>
      </c>
      <c r="O3" s="2">
        <f>0.05*80.9*0.248*SQRT(M3)/1000000</f>
        <v>4.60798900781675</v>
      </c>
      <c r="P3">
        <f>SQRT(N3^2+O3^2)</f>
        <v>5.30253333772302</v>
      </c>
      <c r="Q3">
        <f>K3*0.4395</f>
        <v>121.7415</v>
      </c>
      <c r="R3">
        <f>Q3/P3</f>
        <v>22.9591201499692</v>
      </c>
      <c r="S3" s="4">
        <f>L3/M3</f>
        <v>0.00324170616113744</v>
      </c>
    </row>
    <row r="4" spans="1:10">
      <c r="A4" s="8">
        <v>0.00200378</v>
      </c>
      <c r="B4" s="1">
        <v>275306000</v>
      </c>
      <c r="D4" s="6"/>
      <c r="E4" s="1"/>
      <c r="G4" s="6"/>
      <c r="H4" s="1"/>
      <c r="J4" t="s">
        <v>1</v>
      </c>
    </row>
    <row r="5" spans="1:19">
      <c r="A5" s="8">
        <v>0.00302652</v>
      </c>
      <c r="B5" s="1">
        <v>276273000</v>
      </c>
      <c r="D5" s="6"/>
      <c r="E5" s="1"/>
      <c r="G5" s="6"/>
      <c r="H5" s="1"/>
      <c r="J5" t="s">
        <v>13</v>
      </c>
      <c r="L5" s="1"/>
      <c r="M5" s="1"/>
      <c r="N5" s="2"/>
      <c r="O5" s="2"/>
      <c r="S5" s="2"/>
    </row>
    <row r="6" spans="1:8">
      <c r="A6" s="8">
        <v>0.00398929</v>
      </c>
      <c r="B6" s="1">
        <v>283823000</v>
      </c>
      <c r="D6" s="6"/>
      <c r="E6" s="1"/>
      <c r="G6" s="6"/>
      <c r="H6" s="1"/>
    </row>
    <row r="7" spans="1:8">
      <c r="A7" s="8">
        <v>0.00503601</v>
      </c>
      <c r="B7" s="1">
        <v>284599000</v>
      </c>
      <c r="D7" s="6"/>
      <c r="E7" s="1"/>
      <c r="G7" s="6"/>
      <c r="H7" s="1"/>
    </row>
    <row r="8" spans="1:8">
      <c r="A8" s="8">
        <v>0.00600332</v>
      </c>
      <c r="B8" s="1">
        <v>283541000</v>
      </c>
      <c r="D8" s="6"/>
      <c r="E8" s="1"/>
      <c r="G8" s="6"/>
      <c r="H8" s="1"/>
    </row>
    <row r="9" spans="1:8">
      <c r="A9" s="8">
        <v>0.00693267</v>
      </c>
      <c r="B9" s="1">
        <v>275511000</v>
      </c>
      <c r="D9" s="6"/>
      <c r="E9" s="1"/>
      <c r="G9" s="6"/>
      <c r="H9" s="1"/>
    </row>
    <row r="10" spans="1:8">
      <c r="A10" s="8">
        <v>0.00799788</v>
      </c>
      <c r="B10" s="1">
        <v>275408000</v>
      </c>
      <c r="D10" s="6"/>
      <c r="E10" s="1"/>
      <c r="G10" s="6"/>
      <c r="H10" s="1"/>
    </row>
    <row r="11" spans="1:8">
      <c r="A11" s="8">
        <v>0.00900944</v>
      </c>
      <c r="B11" s="1">
        <v>276655000</v>
      </c>
      <c r="D11" s="6"/>
      <c r="E11" s="1"/>
      <c r="G11" s="6"/>
      <c r="H11" s="1"/>
    </row>
    <row r="12" spans="1:8">
      <c r="A12" s="8">
        <v>0.00996873</v>
      </c>
      <c r="B12" s="1">
        <v>272295000</v>
      </c>
      <c r="D12" s="6"/>
      <c r="E12" s="1"/>
      <c r="G12" s="6"/>
      <c r="H12" s="1"/>
    </row>
    <row r="13" spans="1:8">
      <c r="A13" s="8">
        <v>0.0111773</v>
      </c>
      <c r="B13" s="1">
        <v>271981000</v>
      </c>
      <c r="D13" s="6"/>
      <c r="E13" s="1"/>
      <c r="G13" s="6"/>
      <c r="H13" s="1"/>
    </row>
    <row r="14" spans="1:8">
      <c r="A14" s="8">
        <v>0.0119918</v>
      </c>
      <c r="B14" s="1">
        <v>259911000</v>
      </c>
      <c r="D14" s="6"/>
      <c r="E14" s="1"/>
      <c r="G14" s="6"/>
      <c r="H14" s="1"/>
    </row>
    <row r="15" spans="1:8">
      <c r="A15" s="8">
        <v>0.0129171</v>
      </c>
      <c r="B15" s="1">
        <v>257773000</v>
      </c>
      <c r="D15" s="6"/>
      <c r="E15" s="1"/>
      <c r="G15" s="6"/>
      <c r="H15" s="1"/>
    </row>
    <row r="16" spans="1:8">
      <c r="A16" s="8">
        <v>0.0139587</v>
      </c>
      <c r="B16" s="1">
        <v>269260000</v>
      </c>
      <c r="D16" s="6"/>
      <c r="E16" s="1"/>
      <c r="G16" s="6"/>
      <c r="H16" s="1"/>
    </row>
    <row r="17" spans="1:8">
      <c r="A17" s="8">
        <v>0.0150825</v>
      </c>
      <c r="B17" s="1">
        <v>275040000</v>
      </c>
      <c r="D17" s="6"/>
      <c r="E17" s="1"/>
      <c r="G17" s="6"/>
      <c r="H17" s="1"/>
    </row>
    <row r="18" spans="1:8">
      <c r="A18" s="8">
        <v>0.016073</v>
      </c>
      <c r="B18" s="1">
        <v>268677000</v>
      </c>
      <c r="D18" s="6"/>
      <c r="E18" s="1"/>
      <c r="G18" s="6"/>
      <c r="H18" s="1"/>
    </row>
    <row r="19" spans="1:8">
      <c r="A19" s="8">
        <v>0.0170071</v>
      </c>
      <c r="B19" s="1">
        <v>269828000</v>
      </c>
      <c r="D19" s="6"/>
      <c r="E19" s="1"/>
      <c r="G19" s="6"/>
      <c r="H19" s="1"/>
    </row>
    <row r="20" spans="1:8">
      <c r="A20" s="8">
        <v>0.0179746</v>
      </c>
      <c r="B20" s="1">
        <v>266987000</v>
      </c>
      <c r="D20" s="6"/>
      <c r="E20" s="1"/>
      <c r="G20" s="6"/>
      <c r="H20" s="1"/>
    </row>
    <row r="21" spans="1:8">
      <c r="A21" s="8">
        <v>0.0190137</v>
      </c>
      <c r="B21" s="1">
        <v>266493000</v>
      </c>
      <c r="D21" s="6"/>
      <c r="E21" s="1"/>
      <c r="G21" s="6"/>
      <c r="H21" s="1"/>
    </row>
    <row r="22" spans="1:8">
      <c r="A22" s="8">
        <v>0.0199728</v>
      </c>
      <c r="B22" s="1">
        <v>263474000</v>
      </c>
      <c r="D22" s="6"/>
      <c r="E22" s="1"/>
      <c r="G22" s="6"/>
      <c r="H22" s="1"/>
    </row>
    <row r="23" spans="1:8">
      <c r="A23" s="8">
        <v>0.0209341</v>
      </c>
      <c r="B23" s="1">
        <v>250149000</v>
      </c>
      <c r="D23" s="6"/>
      <c r="E23" s="1"/>
      <c r="G23" s="6"/>
      <c r="H23" s="1"/>
    </row>
    <row r="24" spans="1:8">
      <c r="A24" s="8">
        <v>0.0220406</v>
      </c>
      <c r="B24" s="1">
        <v>271883000</v>
      </c>
      <c r="D24" s="6"/>
      <c r="E24" s="1"/>
      <c r="G24" s="6"/>
      <c r="H24" s="1"/>
    </row>
    <row r="25" spans="1:8">
      <c r="A25" s="8">
        <v>0.0231347</v>
      </c>
      <c r="B25" s="1">
        <v>277320000</v>
      </c>
      <c r="D25" s="6"/>
      <c r="E25" s="1"/>
      <c r="G25" s="6"/>
      <c r="H25" s="1"/>
    </row>
    <row r="26" spans="1:8">
      <c r="A26" s="8">
        <v>0.0240552</v>
      </c>
      <c r="B26" s="1">
        <v>276722000</v>
      </c>
      <c r="D26" s="6"/>
      <c r="E26" s="1"/>
      <c r="G26" s="6"/>
      <c r="H26" s="1"/>
    </row>
    <row r="27" spans="1:8">
      <c r="A27" s="8">
        <v>0.0249817</v>
      </c>
      <c r="B27" s="1">
        <v>276535000</v>
      </c>
      <c r="D27" s="6"/>
      <c r="E27" s="1"/>
      <c r="G27" s="6"/>
      <c r="H27" s="1"/>
    </row>
    <row r="28" spans="1:8">
      <c r="A28" s="8">
        <v>0.0259337</v>
      </c>
      <c r="B28" s="1">
        <v>279343000</v>
      </c>
      <c r="D28" s="6"/>
      <c r="E28" s="1"/>
      <c r="G28" s="6"/>
      <c r="H28" s="1"/>
    </row>
    <row r="29" spans="1:8">
      <c r="A29" s="8">
        <v>0.0269876</v>
      </c>
      <c r="B29" s="1">
        <v>284349000</v>
      </c>
      <c r="D29" s="6"/>
      <c r="E29" s="1"/>
      <c r="G29" s="6"/>
      <c r="H29" s="1"/>
    </row>
    <row r="30" spans="1:8">
      <c r="A30" s="8">
        <v>0.0279559</v>
      </c>
      <c r="B30" s="1">
        <v>283183000</v>
      </c>
      <c r="D30" s="6"/>
      <c r="E30" s="1"/>
      <c r="G30" s="6"/>
      <c r="H30" s="1"/>
    </row>
    <row r="31" spans="1:8">
      <c r="A31" s="8">
        <v>0.0290942</v>
      </c>
      <c r="B31" s="1">
        <v>280677000</v>
      </c>
      <c r="D31" s="6"/>
      <c r="E31" s="1"/>
      <c r="G31" s="6"/>
      <c r="H31" s="1"/>
    </row>
    <row r="32" spans="1:8">
      <c r="A32" s="8">
        <v>0.029988</v>
      </c>
      <c r="B32" s="1">
        <v>282669000</v>
      </c>
      <c r="D32" s="6"/>
      <c r="E32" s="1"/>
      <c r="G32" s="6"/>
      <c r="H32" s="1"/>
    </row>
    <row r="33" spans="1:8">
      <c r="A33" s="8">
        <v>0.0310132</v>
      </c>
      <c r="B33" s="1">
        <v>285146000</v>
      </c>
      <c r="D33" s="6"/>
      <c r="E33" s="1"/>
      <c r="G33" s="6"/>
      <c r="H33" s="1"/>
    </row>
    <row r="34" spans="1:8">
      <c r="A34" s="8">
        <v>0.0319817</v>
      </c>
      <c r="B34" s="1">
        <v>284386000</v>
      </c>
      <c r="D34" s="6"/>
      <c r="E34" s="1"/>
      <c r="G34" s="6"/>
      <c r="H34" s="1"/>
    </row>
    <row r="35" spans="1:8">
      <c r="A35" s="8">
        <v>0.0330148</v>
      </c>
      <c r="B35" s="1">
        <v>280320000</v>
      </c>
      <c r="D35" s="6"/>
      <c r="E35" s="1"/>
      <c r="G35" s="6"/>
      <c r="H35" s="1"/>
    </row>
    <row r="36" spans="1:8">
      <c r="A36" s="8">
        <v>0.0340492</v>
      </c>
      <c r="B36" s="1">
        <v>285534000</v>
      </c>
      <c r="D36" s="6"/>
      <c r="E36" s="1"/>
      <c r="G36" s="6"/>
      <c r="H36" s="1"/>
    </row>
    <row r="37" spans="1:8">
      <c r="A37" s="8">
        <v>0.0349433</v>
      </c>
      <c r="B37" s="1">
        <v>280735000</v>
      </c>
      <c r="D37" s="6"/>
      <c r="E37" s="1"/>
      <c r="G37" s="6"/>
      <c r="H37" s="1"/>
    </row>
    <row r="38" spans="1:8">
      <c r="A38" s="8">
        <v>0.0359324</v>
      </c>
      <c r="B38" s="1">
        <v>279859000</v>
      </c>
      <c r="D38" s="6"/>
      <c r="E38" s="1"/>
      <c r="G38" s="6"/>
      <c r="H38" s="1"/>
    </row>
    <row r="39" spans="1:8">
      <c r="A39" s="8">
        <v>0.0369666</v>
      </c>
      <c r="B39" s="1">
        <v>283506000</v>
      </c>
      <c r="D39" s="6"/>
      <c r="E39" s="1"/>
      <c r="G39" s="6"/>
      <c r="H39" s="1"/>
    </row>
    <row r="40" spans="1:8">
      <c r="A40" s="8">
        <v>0.0379447</v>
      </c>
      <c r="B40" s="1">
        <v>279929000</v>
      </c>
      <c r="D40" s="6"/>
      <c r="E40" s="1"/>
      <c r="G40" s="6"/>
      <c r="H40" s="1"/>
    </row>
    <row r="41" spans="1:8">
      <c r="A41" s="8">
        <v>0.0389672</v>
      </c>
      <c r="B41" s="1">
        <v>279795000</v>
      </c>
      <c r="D41" s="6"/>
      <c r="E41" s="1"/>
      <c r="G41" s="6"/>
      <c r="H41" s="1"/>
    </row>
    <row r="42" spans="1:8">
      <c r="A42" s="8">
        <v>0.0400184</v>
      </c>
      <c r="B42" s="1">
        <v>275803000</v>
      </c>
      <c r="D42" s="6"/>
      <c r="E42" s="1"/>
      <c r="G42" s="6"/>
      <c r="H42" s="1"/>
    </row>
    <row r="43" spans="1:8">
      <c r="A43" s="8">
        <v>0.0410066</v>
      </c>
      <c r="B43" s="1">
        <v>276365000</v>
      </c>
      <c r="D43" s="6"/>
      <c r="E43" s="1"/>
      <c r="G43" s="6"/>
      <c r="H43" s="1"/>
    </row>
    <row r="44" spans="1:8">
      <c r="A44" s="8">
        <v>0.0420503</v>
      </c>
      <c r="B44" s="1">
        <v>275898000</v>
      </c>
      <c r="D44" s="6"/>
      <c r="E44" s="1"/>
      <c r="G44" s="6"/>
      <c r="H44" s="1"/>
    </row>
    <row r="45" spans="1:8">
      <c r="A45" s="8">
        <v>0.0430275</v>
      </c>
      <c r="B45" s="1">
        <v>277588000</v>
      </c>
      <c r="D45" s="6"/>
      <c r="E45" s="1"/>
      <c r="G45" s="6"/>
      <c r="H45" s="1"/>
    </row>
    <row r="46" spans="1:8">
      <c r="A46" s="8">
        <v>0.0440761</v>
      </c>
      <c r="B46" s="1">
        <v>283949000</v>
      </c>
      <c r="D46" s="6"/>
      <c r="E46" s="1"/>
      <c r="G46" s="6"/>
      <c r="H46" s="1"/>
    </row>
    <row r="47" spans="1:8">
      <c r="A47" s="8">
        <v>0.0449147</v>
      </c>
      <c r="B47" s="1">
        <v>277642000</v>
      </c>
      <c r="D47" s="6"/>
      <c r="E47" s="1"/>
      <c r="G47" s="6"/>
      <c r="H47" s="1"/>
    </row>
    <row r="48" spans="1:8">
      <c r="A48" s="8">
        <v>0.0460898</v>
      </c>
      <c r="B48" s="1">
        <v>275260000</v>
      </c>
      <c r="D48" s="6"/>
      <c r="E48" s="1"/>
      <c r="G48" s="6"/>
      <c r="H48" s="1"/>
    </row>
    <row r="49" spans="1:8">
      <c r="A49" s="8">
        <v>0.0470384</v>
      </c>
      <c r="B49" s="1">
        <v>274299000</v>
      </c>
      <c r="D49" s="6"/>
      <c r="E49" s="1"/>
      <c r="G49" s="6"/>
      <c r="H49" s="1"/>
    </row>
    <row r="50" spans="1:8">
      <c r="A50" s="8">
        <v>0.0480241</v>
      </c>
      <c r="B50" s="1">
        <v>276016000</v>
      </c>
      <c r="D50" s="6"/>
      <c r="E50" s="1"/>
      <c r="G50" s="6"/>
      <c r="H50" s="1"/>
    </row>
    <row r="51" spans="1:8">
      <c r="A51" s="8">
        <v>0.0490752</v>
      </c>
      <c r="B51" s="1">
        <v>276209000</v>
      </c>
      <c r="D51" s="6"/>
      <c r="E51" s="1"/>
      <c r="G51" s="6"/>
      <c r="H51" s="1"/>
    </row>
    <row r="52" spans="1:8">
      <c r="A52" s="8">
        <v>0.0500115</v>
      </c>
      <c r="B52" s="1">
        <v>282094000</v>
      </c>
      <c r="D52" s="6"/>
      <c r="E52" s="1"/>
      <c r="G52" s="6"/>
      <c r="H52" s="1"/>
    </row>
    <row r="53" spans="1:8">
      <c r="A53" s="8"/>
      <c r="B53" s="1"/>
      <c r="D53" s="6"/>
      <c r="E53" s="1"/>
      <c r="G53" s="6"/>
      <c r="H53" s="1"/>
    </row>
    <row r="54" spans="1:8">
      <c r="A54" s="8"/>
      <c r="B54" s="1"/>
      <c r="D54" s="6"/>
      <c r="E54" s="1"/>
      <c r="G54" s="6"/>
      <c r="H54" s="1"/>
    </row>
    <row r="55" spans="1:8">
      <c r="A55" s="8"/>
      <c r="B55" s="1"/>
      <c r="D55" s="6"/>
      <c r="E55" s="1"/>
      <c r="G55" s="6"/>
      <c r="H55" s="1"/>
    </row>
    <row r="56" spans="1:8">
      <c r="A56" s="8"/>
      <c r="B56" s="1"/>
      <c r="D56" s="6"/>
      <c r="E56" s="1"/>
      <c r="G56" s="6"/>
      <c r="H56" s="1"/>
    </row>
    <row r="57" spans="1:8">
      <c r="A57" s="8"/>
      <c r="B57" s="1"/>
      <c r="D57" s="6"/>
      <c r="E57" s="1"/>
      <c r="G57" s="6"/>
      <c r="H57" s="1"/>
    </row>
    <row r="58" spans="1:8">
      <c r="A58" s="8"/>
      <c r="B58" s="1"/>
      <c r="D58" s="6"/>
      <c r="E58" s="1"/>
      <c r="G58" s="6"/>
      <c r="H58" s="1"/>
    </row>
    <row r="59" spans="1:8">
      <c r="A59" s="8"/>
      <c r="B59" s="1"/>
      <c r="D59" s="6"/>
      <c r="E59" s="1"/>
      <c r="G59" s="6"/>
      <c r="H59" s="1"/>
    </row>
    <row r="60" spans="1:8">
      <c r="A60" s="8"/>
      <c r="B60" s="1"/>
      <c r="D60" s="6"/>
      <c r="E60" s="1"/>
      <c r="G60" s="6"/>
      <c r="H60" s="1"/>
    </row>
    <row r="61" spans="1:8">
      <c r="A61" s="8"/>
      <c r="B61" s="1"/>
      <c r="D61" s="6"/>
      <c r="E61" s="1"/>
      <c r="G61" s="6"/>
      <c r="H61" s="1"/>
    </row>
    <row r="62" spans="1:8">
      <c r="A62" s="8"/>
      <c r="B62" s="1"/>
      <c r="D62" s="6"/>
      <c r="E62" s="1"/>
      <c r="G62" s="6"/>
      <c r="H62" s="1"/>
    </row>
    <row r="63" spans="1:8">
      <c r="A63" s="8"/>
      <c r="B63" s="1"/>
      <c r="D63" s="6"/>
      <c r="E63" s="1"/>
      <c r="G63" s="6"/>
      <c r="H63" s="1"/>
    </row>
    <row r="64" spans="1:8">
      <c r="A64" s="8"/>
      <c r="B64" s="1"/>
      <c r="D64" s="6"/>
      <c r="E64" s="1"/>
      <c r="G64" s="6"/>
      <c r="H64" s="1"/>
    </row>
    <row r="65" spans="1:8">
      <c r="A65" s="8"/>
      <c r="B65" s="1"/>
      <c r="D65" s="6"/>
      <c r="E65" s="1"/>
      <c r="G65" s="6"/>
      <c r="H65" s="1"/>
    </row>
    <row r="66" spans="1:8">
      <c r="A66" s="8"/>
      <c r="B66" s="1"/>
      <c r="D66" s="6"/>
      <c r="E66" s="1"/>
      <c r="G66" s="6"/>
      <c r="H66" s="1"/>
    </row>
    <row r="67" spans="1:8">
      <c r="A67" s="8"/>
      <c r="B67" s="1"/>
      <c r="D67" s="6"/>
      <c r="E67" s="1"/>
      <c r="G67" s="6"/>
      <c r="H67" s="1"/>
    </row>
    <row r="68" spans="1:8">
      <c r="A68" s="8"/>
      <c r="B68" s="1"/>
      <c r="D68" s="6"/>
      <c r="E68" s="1"/>
      <c r="G68" s="6"/>
      <c r="H68" s="1"/>
    </row>
    <row r="69" spans="1:8">
      <c r="A69" s="8"/>
      <c r="B69" s="1"/>
      <c r="D69" s="6"/>
      <c r="E69" s="1"/>
      <c r="G69" s="6"/>
      <c r="H69" s="1"/>
    </row>
    <row r="70" spans="1:5">
      <c r="A70" s="8"/>
      <c r="B70" s="1"/>
      <c r="D70" s="6"/>
      <c r="E70" s="1"/>
    </row>
    <row r="71" spans="1:2">
      <c r="A71" s="8"/>
      <c r="B71" s="1"/>
    </row>
    <row r="72" spans="1:2">
      <c r="A72" s="8"/>
      <c r="B72" s="1"/>
    </row>
    <row r="73" spans="1:2">
      <c r="A73" s="8"/>
      <c r="B73" s="1"/>
    </row>
    <row r="74" spans="1:2">
      <c r="A74" s="8"/>
      <c r="B74" s="1"/>
    </row>
    <row r="75" spans="1:2">
      <c r="A75" s="8"/>
      <c r="B75" s="1"/>
    </row>
    <row r="76" spans="1:2">
      <c r="A76" s="8"/>
      <c r="B76" s="1"/>
    </row>
    <row r="77" spans="1:2">
      <c r="A77" s="8"/>
      <c r="B77" s="1"/>
    </row>
    <row r="78" spans="1:2">
      <c r="A78" s="8"/>
      <c r="B78" s="1"/>
    </row>
    <row r="79" spans="1:2">
      <c r="A79" s="8"/>
      <c r="B79" s="1"/>
    </row>
    <row r="80" spans="1:2">
      <c r="A80" s="8"/>
      <c r="B80" s="1"/>
    </row>
    <row r="81" spans="1:2">
      <c r="A81" s="8"/>
      <c r="B81" s="1"/>
    </row>
    <row r="82" spans="1:2">
      <c r="A82" s="8"/>
      <c r="B82" s="1"/>
    </row>
    <row r="83" spans="1:2">
      <c r="A83" s="8"/>
      <c r="B83" s="1"/>
    </row>
    <row r="84" spans="1:2">
      <c r="A84" s="8"/>
      <c r="B84" s="1"/>
    </row>
    <row r="85" spans="1:2">
      <c r="A85" s="8"/>
      <c r="B85" s="1"/>
    </row>
    <row r="86" spans="1:2">
      <c r="A86" s="8"/>
      <c r="B86" s="1"/>
    </row>
  </sheetData>
  <mergeCells count="4">
    <mergeCell ref="A1:B1"/>
    <mergeCell ref="D1:E1"/>
    <mergeCell ref="G1:H1"/>
    <mergeCell ref="J1:K1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86"/>
  <sheetViews>
    <sheetView workbookViewId="0">
      <selection activeCell="C52" sqref="C48:C52"/>
    </sheetView>
  </sheetViews>
  <sheetFormatPr defaultColWidth="9" defaultRowHeight="15"/>
  <sheetData>
    <row r="1" spans="1:46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N1" s="7" t="s">
        <v>15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AA1" s="7" t="s">
        <v>16</v>
      </c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N1" t="s">
        <v>17</v>
      </c>
      <c r="AO1" t="s">
        <v>18</v>
      </c>
      <c r="AR1" t="s">
        <v>19</v>
      </c>
      <c r="AS1" t="s">
        <v>20</v>
      </c>
      <c r="AT1" t="s">
        <v>21</v>
      </c>
    </row>
    <row r="2" spans="1:46">
      <c r="A2" s="8">
        <v>0.000153905</v>
      </c>
      <c r="B2" s="1">
        <v>0.00100077</v>
      </c>
      <c r="C2" s="1">
        <v>19824400000000</v>
      </c>
      <c r="D2" s="1">
        <v>3030910000</v>
      </c>
      <c r="E2" s="1">
        <v>0</v>
      </c>
      <c r="F2" s="1">
        <v>0</v>
      </c>
      <c r="G2" s="1">
        <v>2</v>
      </c>
      <c r="H2" s="1">
        <v>5516560000000</v>
      </c>
      <c r="I2" s="1">
        <v>4732610000000</v>
      </c>
      <c r="J2" s="1">
        <v>4750170000000</v>
      </c>
      <c r="K2" s="1">
        <v>4729920000000</v>
      </c>
      <c r="L2" s="1">
        <v>95091100000</v>
      </c>
      <c r="AN2" s="1">
        <f>A2</f>
        <v>0.000153905</v>
      </c>
      <c r="AO2" s="1">
        <f>AVERAGE(C2,P2,AC2)</f>
        <v>19824400000000</v>
      </c>
      <c r="AP2" s="1"/>
      <c r="AQ2" s="1"/>
      <c r="AR2" s="1">
        <f>AVERAGE(L2,Y2,AL2)</f>
        <v>95091100000</v>
      </c>
      <c r="AS2" s="1">
        <f>MIN(L2,Y2,AL2)</f>
        <v>95091100000</v>
      </c>
      <c r="AT2" s="1">
        <f>MAX(L2,Y2,AL2)</f>
        <v>95091100000</v>
      </c>
    </row>
    <row r="3" spans="1:46">
      <c r="A3" s="8">
        <v>0.000945083</v>
      </c>
      <c r="B3" s="1">
        <v>0.00226199</v>
      </c>
      <c r="C3" s="1">
        <v>20104400000000</v>
      </c>
      <c r="D3" s="1">
        <v>1448490000</v>
      </c>
      <c r="E3" s="1">
        <v>0</v>
      </c>
      <c r="F3" s="1">
        <v>0</v>
      </c>
      <c r="G3" s="1">
        <v>2</v>
      </c>
      <c r="H3" s="1">
        <v>5536340000000</v>
      </c>
      <c r="I3" s="1">
        <v>4767530000000</v>
      </c>
      <c r="J3" s="1">
        <v>4991040000000</v>
      </c>
      <c r="K3" s="1">
        <v>4745770000000</v>
      </c>
      <c r="L3" s="1">
        <v>63706000000</v>
      </c>
      <c r="AN3" s="1">
        <f t="shared" ref="AN3:AN49" si="0">A3</f>
        <v>0.000945083</v>
      </c>
      <c r="AO3" s="1">
        <f t="shared" ref="AO3:AO49" si="1">AVERAGE(C3,P3,AC3)</f>
        <v>20104400000000</v>
      </c>
      <c r="AP3" s="1"/>
      <c r="AQ3" s="1"/>
      <c r="AR3" s="1">
        <f t="shared" ref="AR3:AR49" si="2">AVERAGE(L3,Y3,AL3)</f>
        <v>63706000000</v>
      </c>
      <c r="AS3" s="1">
        <f t="shared" ref="AS3:AS49" si="3">MIN(L3,Y3,AL3)</f>
        <v>63706000000</v>
      </c>
      <c r="AT3" s="1">
        <f t="shared" ref="AT3:AT49" si="4">MAX(L3,Y3,AL3)</f>
        <v>63706000000</v>
      </c>
    </row>
    <row r="4" spans="1:46">
      <c r="A4" s="8">
        <v>0.00200378</v>
      </c>
      <c r="B4" s="1">
        <v>0.00328885</v>
      </c>
      <c r="C4" s="1">
        <v>21086700000000</v>
      </c>
      <c r="D4" s="1">
        <v>2315830000</v>
      </c>
      <c r="E4" s="1">
        <v>0</v>
      </c>
      <c r="F4" s="1">
        <v>0</v>
      </c>
      <c r="G4" s="1">
        <v>2</v>
      </c>
      <c r="H4" s="1">
        <v>5553100000000</v>
      </c>
      <c r="I4" s="1">
        <v>4787680000000</v>
      </c>
      <c r="J4" s="1">
        <v>5924170000000</v>
      </c>
      <c r="K4" s="1">
        <v>4736840000000</v>
      </c>
      <c r="L4" s="1">
        <v>84867800000</v>
      </c>
      <c r="AN4" s="1">
        <f t="shared" si="0"/>
        <v>0.00200378</v>
      </c>
      <c r="AO4" s="1">
        <f t="shared" si="1"/>
        <v>21086700000000</v>
      </c>
      <c r="AP4" s="1"/>
      <c r="AQ4" s="1"/>
      <c r="AR4" s="1">
        <f t="shared" si="2"/>
        <v>84867800000</v>
      </c>
      <c r="AS4" s="1">
        <f t="shared" si="3"/>
        <v>84867800000</v>
      </c>
      <c r="AT4" s="1">
        <f t="shared" si="4"/>
        <v>84867800000</v>
      </c>
    </row>
    <row r="5" spans="1:46">
      <c r="A5" s="8">
        <v>0.00302652</v>
      </c>
      <c r="B5" s="1">
        <v>0.00431611</v>
      </c>
      <c r="C5" s="1">
        <v>20850600000000</v>
      </c>
      <c r="D5" s="1">
        <v>1377930000</v>
      </c>
      <c r="E5" s="1">
        <v>0</v>
      </c>
      <c r="F5" s="1">
        <v>0</v>
      </c>
      <c r="G5" s="1">
        <v>2</v>
      </c>
      <c r="H5" s="1">
        <v>5535300000000</v>
      </c>
      <c r="I5" s="1">
        <v>4766540000000</v>
      </c>
      <c r="J5" s="1">
        <v>5744240000000</v>
      </c>
      <c r="K5" s="1">
        <v>4752760000000</v>
      </c>
      <c r="L5" s="1">
        <v>51748300000</v>
      </c>
      <c r="AN5" s="1">
        <f t="shared" si="0"/>
        <v>0.00302652</v>
      </c>
      <c r="AO5" s="1">
        <f t="shared" si="1"/>
        <v>20850600000000</v>
      </c>
      <c r="AP5" s="1"/>
      <c r="AQ5" s="1"/>
      <c r="AR5" s="1">
        <f t="shared" si="2"/>
        <v>51748300000</v>
      </c>
      <c r="AS5" s="1">
        <f t="shared" si="3"/>
        <v>51748300000</v>
      </c>
      <c r="AT5" s="1">
        <f t="shared" si="4"/>
        <v>51748300000</v>
      </c>
    </row>
    <row r="6" spans="1:46">
      <c r="A6" s="8">
        <v>0.00398929</v>
      </c>
      <c r="B6" s="1">
        <v>0.00531413</v>
      </c>
      <c r="C6" s="1">
        <v>19823100000000</v>
      </c>
      <c r="D6" s="1">
        <v>1099920000</v>
      </c>
      <c r="E6" s="1">
        <v>0</v>
      </c>
      <c r="F6" s="1">
        <v>0</v>
      </c>
      <c r="G6" s="1">
        <v>2</v>
      </c>
      <c r="H6" s="1">
        <v>5555330000000</v>
      </c>
      <c r="I6" s="1">
        <v>4739470000000</v>
      </c>
      <c r="J6" s="1">
        <v>4739980000000</v>
      </c>
      <c r="K6" s="1">
        <v>4746560000000</v>
      </c>
      <c r="L6" s="1">
        <v>41763200000</v>
      </c>
      <c r="AN6" s="1">
        <f t="shared" si="0"/>
        <v>0.00398929</v>
      </c>
      <c r="AO6" s="1">
        <f t="shared" si="1"/>
        <v>19823100000000</v>
      </c>
      <c r="AP6" s="1"/>
      <c r="AQ6" s="1"/>
      <c r="AR6" s="1">
        <f t="shared" si="2"/>
        <v>41763200000</v>
      </c>
      <c r="AS6" s="1">
        <f t="shared" si="3"/>
        <v>41763200000</v>
      </c>
      <c r="AT6" s="1">
        <f t="shared" si="4"/>
        <v>41763200000</v>
      </c>
    </row>
    <row r="7" spans="1:46">
      <c r="A7" s="8">
        <v>0.00503601</v>
      </c>
      <c r="B7" s="1">
        <v>0.00636447</v>
      </c>
      <c r="C7" s="1">
        <v>19941300000000</v>
      </c>
      <c r="D7" s="1">
        <v>930846000</v>
      </c>
      <c r="E7" s="1">
        <v>0</v>
      </c>
      <c r="F7" s="1">
        <v>0</v>
      </c>
      <c r="G7" s="1">
        <v>2</v>
      </c>
      <c r="H7" s="1">
        <v>5547720000000</v>
      </c>
      <c r="I7" s="1">
        <v>4792480000000</v>
      </c>
      <c r="J7" s="1">
        <v>4770680000000</v>
      </c>
      <c r="K7" s="1">
        <v>4777170000000</v>
      </c>
      <c r="L7" s="1">
        <v>53261200000</v>
      </c>
      <c r="AN7" s="1">
        <f t="shared" si="0"/>
        <v>0.00503601</v>
      </c>
      <c r="AO7" s="1">
        <f t="shared" si="1"/>
        <v>19941300000000</v>
      </c>
      <c r="AP7" s="1"/>
      <c r="AQ7" s="1"/>
      <c r="AR7" s="1">
        <f t="shared" si="2"/>
        <v>53261200000</v>
      </c>
      <c r="AS7" s="1">
        <f t="shared" si="3"/>
        <v>53261200000</v>
      </c>
      <c r="AT7" s="1">
        <f t="shared" si="4"/>
        <v>53261200000</v>
      </c>
    </row>
    <row r="8" spans="1:46">
      <c r="A8" s="8">
        <v>0.00600332</v>
      </c>
      <c r="B8" s="1">
        <v>0.00732682</v>
      </c>
      <c r="C8" s="1">
        <v>20685900000000</v>
      </c>
      <c r="D8" s="1">
        <v>4683120000</v>
      </c>
      <c r="E8" s="1">
        <v>0</v>
      </c>
      <c r="F8" s="1">
        <v>0</v>
      </c>
      <c r="G8" s="1">
        <v>2</v>
      </c>
      <c r="H8" s="1">
        <v>6035780000000</v>
      </c>
      <c r="I8" s="1">
        <v>4829000000000</v>
      </c>
      <c r="J8" s="1">
        <v>4839520000000</v>
      </c>
      <c r="K8" s="1">
        <v>4887410000000</v>
      </c>
      <c r="L8" s="1">
        <v>94169000000</v>
      </c>
      <c r="AN8" s="1">
        <f t="shared" si="0"/>
        <v>0.00600332</v>
      </c>
      <c r="AO8" s="1">
        <f t="shared" si="1"/>
        <v>20685900000000</v>
      </c>
      <c r="AP8" s="1"/>
      <c r="AQ8" s="1"/>
      <c r="AR8" s="1">
        <f t="shared" si="2"/>
        <v>94169000000</v>
      </c>
      <c r="AS8" s="1">
        <f t="shared" si="3"/>
        <v>94169000000</v>
      </c>
      <c r="AT8" s="1">
        <f t="shared" si="4"/>
        <v>94169000000</v>
      </c>
    </row>
    <row r="9" spans="1:46">
      <c r="A9" s="8">
        <v>0.00693267</v>
      </c>
      <c r="B9" s="1">
        <v>0.00821869</v>
      </c>
      <c r="C9" s="1">
        <v>21486100000000</v>
      </c>
      <c r="D9" s="1">
        <v>2246880000</v>
      </c>
      <c r="E9" s="1">
        <v>0</v>
      </c>
      <c r="F9" s="1">
        <v>0</v>
      </c>
      <c r="G9" s="1">
        <v>2</v>
      </c>
      <c r="H9" s="1">
        <v>6418540000000</v>
      </c>
      <c r="I9" s="1">
        <v>4852930000000</v>
      </c>
      <c r="J9" s="1">
        <v>5250690000000</v>
      </c>
      <c r="K9" s="1">
        <v>4845120000000</v>
      </c>
      <c r="L9" s="1">
        <v>118828000000</v>
      </c>
      <c r="AN9" s="1">
        <f t="shared" si="0"/>
        <v>0.00693267</v>
      </c>
      <c r="AO9" s="1">
        <f t="shared" si="1"/>
        <v>21486100000000</v>
      </c>
      <c r="AP9" s="1"/>
      <c r="AQ9" s="1"/>
      <c r="AR9" s="1">
        <f t="shared" si="2"/>
        <v>118828000000</v>
      </c>
      <c r="AS9" s="1">
        <f t="shared" si="3"/>
        <v>118828000000</v>
      </c>
      <c r="AT9" s="1">
        <f t="shared" si="4"/>
        <v>118828000000</v>
      </c>
    </row>
    <row r="10" spans="1:46">
      <c r="A10" s="8">
        <v>0.00799788</v>
      </c>
      <c r="B10" s="1">
        <v>0.00928344</v>
      </c>
      <c r="C10" s="1">
        <v>21840700000000</v>
      </c>
      <c r="D10" s="1">
        <v>1591870000</v>
      </c>
      <c r="E10" s="1">
        <v>0</v>
      </c>
      <c r="F10" s="1">
        <v>0</v>
      </c>
      <c r="G10" s="1">
        <v>2</v>
      </c>
      <c r="H10" s="1">
        <v>5599140000000</v>
      </c>
      <c r="I10" s="1">
        <v>4763590000000</v>
      </c>
      <c r="J10" s="1">
        <v>6358400000000</v>
      </c>
      <c r="K10" s="1">
        <v>5057380000000</v>
      </c>
      <c r="L10" s="1">
        <v>62227400000</v>
      </c>
      <c r="AN10" s="1">
        <f t="shared" si="0"/>
        <v>0.00799788</v>
      </c>
      <c r="AO10" s="1">
        <f t="shared" si="1"/>
        <v>21840700000000</v>
      </c>
      <c r="AP10" s="1"/>
      <c r="AQ10" s="1"/>
      <c r="AR10" s="1">
        <f t="shared" si="2"/>
        <v>62227400000</v>
      </c>
      <c r="AS10" s="1">
        <f t="shared" si="3"/>
        <v>62227400000</v>
      </c>
      <c r="AT10" s="1">
        <f t="shared" si="4"/>
        <v>62227400000</v>
      </c>
    </row>
    <row r="11" spans="1:46">
      <c r="A11" s="8">
        <v>0.00900944</v>
      </c>
      <c r="B11" s="1">
        <v>0.0103008</v>
      </c>
      <c r="C11" s="1">
        <v>21592900000000</v>
      </c>
      <c r="D11" s="1">
        <v>3927190000</v>
      </c>
      <c r="E11" s="1">
        <v>0</v>
      </c>
      <c r="F11" s="1">
        <v>0</v>
      </c>
      <c r="G11" s="1">
        <v>2</v>
      </c>
      <c r="H11" s="1">
        <v>5563410000000</v>
      </c>
      <c r="I11" s="1">
        <v>4824540000000</v>
      </c>
      <c r="J11" s="1">
        <v>6343210000000</v>
      </c>
      <c r="K11" s="1">
        <v>4780470000000</v>
      </c>
      <c r="L11" s="1">
        <v>81216900000</v>
      </c>
      <c r="AN11" s="1">
        <f t="shared" si="0"/>
        <v>0.00900944</v>
      </c>
      <c r="AO11" s="1">
        <f t="shared" si="1"/>
        <v>21592900000000</v>
      </c>
      <c r="AP11" s="1"/>
      <c r="AQ11" s="1"/>
      <c r="AR11" s="1">
        <f t="shared" si="2"/>
        <v>81216900000</v>
      </c>
      <c r="AS11" s="1">
        <f t="shared" si="3"/>
        <v>81216900000</v>
      </c>
      <c r="AT11" s="1">
        <f t="shared" si="4"/>
        <v>81216900000</v>
      </c>
    </row>
    <row r="12" spans="1:46">
      <c r="A12" s="8">
        <v>0.00996873</v>
      </c>
      <c r="B12" s="1">
        <v>0.0112397</v>
      </c>
      <c r="C12" s="1">
        <v>22216400000000</v>
      </c>
      <c r="D12" s="1">
        <v>2434280000</v>
      </c>
      <c r="E12" s="1">
        <v>0</v>
      </c>
      <c r="F12" s="1">
        <v>0</v>
      </c>
      <c r="G12" s="1">
        <v>2</v>
      </c>
      <c r="H12" s="1">
        <v>5527500000000</v>
      </c>
      <c r="I12" s="1">
        <v>6095900000000</v>
      </c>
      <c r="J12" s="1">
        <v>5631070000000</v>
      </c>
      <c r="K12" s="1">
        <v>4863950000000</v>
      </c>
      <c r="L12" s="1">
        <v>98004800000</v>
      </c>
      <c r="AN12" s="1">
        <f t="shared" si="0"/>
        <v>0.00996873</v>
      </c>
      <c r="AO12" s="1">
        <f t="shared" si="1"/>
        <v>22216400000000</v>
      </c>
      <c r="AP12" s="1"/>
      <c r="AQ12" s="1"/>
      <c r="AR12" s="1">
        <f t="shared" si="2"/>
        <v>98004800000</v>
      </c>
      <c r="AS12" s="1">
        <f t="shared" si="3"/>
        <v>98004800000</v>
      </c>
      <c r="AT12" s="1">
        <f t="shared" si="4"/>
        <v>98004800000</v>
      </c>
    </row>
    <row r="13" spans="1:46">
      <c r="A13" s="8">
        <v>0.0111773</v>
      </c>
      <c r="B13" s="1">
        <v>0.0124468</v>
      </c>
      <c r="C13" s="1">
        <v>22936200000000</v>
      </c>
      <c r="D13" s="1">
        <v>1389190000</v>
      </c>
      <c r="E13" s="1">
        <v>0</v>
      </c>
      <c r="F13" s="1">
        <v>0</v>
      </c>
      <c r="G13" s="1">
        <v>2</v>
      </c>
      <c r="H13" s="1">
        <v>5706430000000</v>
      </c>
      <c r="I13" s="1">
        <v>4813670000000</v>
      </c>
      <c r="J13" s="1">
        <v>6103380000000</v>
      </c>
      <c r="K13" s="1">
        <v>6188720000000</v>
      </c>
      <c r="L13" s="1">
        <v>124038000000</v>
      </c>
      <c r="AN13" s="1">
        <f t="shared" si="0"/>
        <v>0.0111773</v>
      </c>
      <c r="AO13" s="1">
        <f t="shared" si="1"/>
        <v>22936200000000</v>
      </c>
      <c r="AP13" s="1"/>
      <c r="AQ13" s="1"/>
      <c r="AR13" s="1">
        <f t="shared" si="2"/>
        <v>124038000000</v>
      </c>
      <c r="AS13" s="1">
        <f t="shared" si="3"/>
        <v>124038000000</v>
      </c>
      <c r="AT13" s="1">
        <f t="shared" si="4"/>
        <v>124038000000</v>
      </c>
    </row>
    <row r="14" spans="1:46">
      <c r="A14" s="8">
        <v>0.0119918</v>
      </c>
      <c r="B14" s="1">
        <v>0.013205</v>
      </c>
      <c r="C14" s="1">
        <v>24736500000000</v>
      </c>
      <c r="D14" s="1">
        <v>4041190000</v>
      </c>
      <c r="E14" s="1">
        <v>0</v>
      </c>
      <c r="F14" s="1">
        <v>0</v>
      </c>
      <c r="G14" s="1">
        <v>2</v>
      </c>
      <c r="H14" s="1">
        <v>6147660000000</v>
      </c>
      <c r="I14" s="1">
        <v>4795660000000</v>
      </c>
      <c r="J14" s="1">
        <v>6389370000000</v>
      </c>
      <c r="K14" s="1">
        <v>7192600000000</v>
      </c>
      <c r="L14" s="1">
        <v>211228000000</v>
      </c>
      <c r="AN14" s="1">
        <f t="shared" si="0"/>
        <v>0.0119918</v>
      </c>
      <c r="AO14" s="1">
        <f t="shared" si="1"/>
        <v>24736500000000</v>
      </c>
      <c r="AP14" s="1"/>
      <c r="AQ14" s="1"/>
      <c r="AR14" s="1">
        <f t="shared" si="2"/>
        <v>211228000000</v>
      </c>
      <c r="AS14" s="1">
        <f t="shared" si="3"/>
        <v>211228000000</v>
      </c>
      <c r="AT14" s="1">
        <f t="shared" si="4"/>
        <v>211228000000</v>
      </c>
    </row>
    <row r="15" spans="1:46">
      <c r="A15" s="8">
        <v>0.0129171</v>
      </c>
      <c r="B15" s="1">
        <v>0.0141204</v>
      </c>
      <c r="C15" s="1">
        <v>23871300000000</v>
      </c>
      <c r="D15" s="1">
        <v>3017210000</v>
      </c>
      <c r="E15" s="1">
        <v>0</v>
      </c>
      <c r="F15" s="1">
        <v>0</v>
      </c>
      <c r="G15" s="1">
        <v>2</v>
      </c>
      <c r="H15" s="1">
        <v>5579650000000</v>
      </c>
      <c r="I15" s="1">
        <v>4901820000000</v>
      </c>
      <c r="J15" s="1">
        <v>6366570000000</v>
      </c>
      <c r="K15" s="1">
        <v>6919300000000</v>
      </c>
      <c r="L15" s="1">
        <v>104010000000</v>
      </c>
      <c r="AN15" s="1">
        <f t="shared" si="0"/>
        <v>0.0129171</v>
      </c>
      <c r="AO15" s="1">
        <f t="shared" si="1"/>
        <v>23871300000000</v>
      </c>
      <c r="AP15" s="1"/>
      <c r="AQ15" s="1"/>
      <c r="AR15" s="1">
        <f t="shared" si="2"/>
        <v>104010000000</v>
      </c>
      <c r="AS15" s="1">
        <f t="shared" si="3"/>
        <v>104010000000</v>
      </c>
      <c r="AT15" s="1">
        <f t="shared" si="4"/>
        <v>104010000000</v>
      </c>
    </row>
    <row r="16" spans="1:46">
      <c r="A16" s="8">
        <v>0.0139587</v>
      </c>
      <c r="B16" s="1">
        <v>0.0152155</v>
      </c>
      <c r="C16" s="1">
        <v>23118200000000</v>
      </c>
      <c r="D16" s="1">
        <v>3148210000</v>
      </c>
      <c r="E16" s="1">
        <v>0</v>
      </c>
      <c r="F16" s="1">
        <v>0</v>
      </c>
      <c r="G16" s="1">
        <v>2</v>
      </c>
      <c r="H16" s="1">
        <v>5512950000000</v>
      </c>
      <c r="I16" s="1">
        <v>4816460000000</v>
      </c>
      <c r="J16" s="1">
        <v>6353450000000</v>
      </c>
      <c r="K16" s="1">
        <v>6364960000000</v>
      </c>
      <c r="L16" s="1">
        <v>70430000000</v>
      </c>
      <c r="AN16" s="1">
        <f t="shared" si="0"/>
        <v>0.0139587</v>
      </c>
      <c r="AO16" s="1">
        <f t="shared" si="1"/>
        <v>23118200000000</v>
      </c>
      <c r="AP16" s="1"/>
      <c r="AQ16" s="1"/>
      <c r="AR16" s="1">
        <f t="shared" si="2"/>
        <v>70430000000</v>
      </c>
      <c r="AS16" s="1">
        <f t="shared" si="3"/>
        <v>70430000000</v>
      </c>
      <c r="AT16" s="1">
        <f t="shared" si="4"/>
        <v>70430000000</v>
      </c>
    </row>
    <row r="17" spans="1:46">
      <c r="A17" s="8">
        <v>0.0150825</v>
      </c>
      <c r="B17" s="1">
        <v>0.0163664</v>
      </c>
      <c r="C17" s="1">
        <v>23409300000000</v>
      </c>
      <c r="D17" s="1">
        <v>2321360000</v>
      </c>
      <c r="E17" s="1">
        <v>0</v>
      </c>
      <c r="F17" s="1">
        <v>0</v>
      </c>
      <c r="G17" s="1">
        <v>2</v>
      </c>
      <c r="H17" s="1">
        <v>5551890000000</v>
      </c>
      <c r="I17" s="1">
        <v>4863140000000</v>
      </c>
      <c r="J17" s="1">
        <v>6451980000000</v>
      </c>
      <c r="K17" s="1">
        <v>6442450000000</v>
      </c>
      <c r="L17" s="1">
        <v>99894000000</v>
      </c>
      <c r="AN17" s="1">
        <f t="shared" si="0"/>
        <v>0.0150825</v>
      </c>
      <c r="AO17" s="1">
        <f t="shared" si="1"/>
        <v>23409300000000</v>
      </c>
      <c r="AP17" s="1"/>
      <c r="AQ17" s="1"/>
      <c r="AR17" s="1">
        <f t="shared" si="2"/>
        <v>99894000000</v>
      </c>
      <c r="AS17" s="1">
        <f t="shared" si="3"/>
        <v>99894000000</v>
      </c>
      <c r="AT17" s="1">
        <f t="shared" si="4"/>
        <v>99894000000</v>
      </c>
    </row>
    <row r="18" spans="1:46">
      <c r="A18" s="8">
        <v>0.016073</v>
      </c>
      <c r="B18" s="1">
        <v>0.0173271</v>
      </c>
      <c r="C18" s="1">
        <v>23834200000000</v>
      </c>
      <c r="D18" s="1">
        <v>1318950000</v>
      </c>
      <c r="E18" s="1">
        <v>0</v>
      </c>
      <c r="F18" s="1">
        <v>0</v>
      </c>
      <c r="G18" s="1">
        <v>2</v>
      </c>
      <c r="H18" s="1">
        <v>5626930000000</v>
      </c>
      <c r="I18" s="1">
        <v>4821530000000</v>
      </c>
      <c r="J18" s="1">
        <v>6603520000000</v>
      </c>
      <c r="K18" s="1">
        <v>6675390000000</v>
      </c>
      <c r="L18" s="1">
        <v>106853000000</v>
      </c>
      <c r="AN18" s="1">
        <f t="shared" si="0"/>
        <v>0.016073</v>
      </c>
      <c r="AO18" s="1">
        <f t="shared" si="1"/>
        <v>23834200000000</v>
      </c>
      <c r="AP18" s="1"/>
      <c r="AQ18" s="1"/>
      <c r="AR18" s="1">
        <f t="shared" si="2"/>
        <v>106853000000</v>
      </c>
      <c r="AS18" s="1">
        <f t="shared" si="3"/>
        <v>106853000000</v>
      </c>
      <c r="AT18" s="1">
        <f t="shared" si="4"/>
        <v>106853000000</v>
      </c>
    </row>
    <row r="19" spans="1:46">
      <c r="A19" s="8">
        <v>0.0170071</v>
      </c>
      <c r="B19" s="1">
        <v>0.0182666</v>
      </c>
      <c r="C19" s="1">
        <v>23748800000000</v>
      </c>
      <c r="D19" s="1">
        <v>2028040000</v>
      </c>
      <c r="E19" s="1">
        <v>0</v>
      </c>
      <c r="F19" s="1">
        <v>0</v>
      </c>
      <c r="G19" s="1">
        <v>2</v>
      </c>
      <c r="H19" s="1">
        <v>5805300000000</v>
      </c>
      <c r="I19" s="1">
        <v>4934770000000</v>
      </c>
      <c r="J19" s="1">
        <v>6476490000000</v>
      </c>
      <c r="K19" s="1">
        <v>6359700000000</v>
      </c>
      <c r="L19" s="1">
        <v>172550000000</v>
      </c>
      <c r="AN19" s="1">
        <f t="shared" si="0"/>
        <v>0.0170071</v>
      </c>
      <c r="AO19" s="1">
        <f t="shared" si="1"/>
        <v>23748800000000</v>
      </c>
      <c r="AP19" s="1"/>
      <c r="AQ19" s="1"/>
      <c r="AR19" s="1">
        <f t="shared" si="2"/>
        <v>172550000000</v>
      </c>
      <c r="AS19" s="1">
        <f t="shared" si="3"/>
        <v>172550000000</v>
      </c>
      <c r="AT19" s="1">
        <f t="shared" si="4"/>
        <v>172550000000</v>
      </c>
    </row>
    <row r="20" spans="1:46">
      <c r="A20" s="8">
        <v>0.0179746</v>
      </c>
      <c r="B20" s="1">
        <v>0.0192209</v>
      </c>
      <c r="C20" s="1">
        <v>23288800000000</v>
      </c>
      <c r="D20" s="1">
        <v>5266000000</v>
      </c>
      <c r="E20" s="1">
        <v>0</v>
      </c>
      <c r="F20" s="1">
        <v>0</v>
      </c>
      <c r="G20" s="1">
        <v>2</v>
      </c>
      <c r="H20" s="1">
        <v>6438940000000</v>
      </c>
      <c r="I20" s="1">
        <v>4838280000000</v>
      </c>
      <c r="J20" s="1">
        <v>5547090000000</v>
      </c>
      <c r="K20" s="1">
        <v>6334990000000</v>
      </c>
      <c r="L20" s="1">
        <v>129554000000</v>
      </c>
      <c r="AN20" s="1">
        <f t="shared" si="0"/>
        <v>0.0179746</v>
      </c>
      <c r="AO20" s="1">
        <f t="shared" si="1"/>
        <v>23288800000000</v>
      </c>
      <c r="AP20" s="1"/>
      <c r="AQ20" s="1"/>
      <c r="AR20" s="1">
        <f t="shared" si="2"/>
        <v>129554000000</v>
      </c>
      <c r="AS20" s="1">
        <f t="shared" si="3"/>
        <v>129554000000</v>
      </c>
      <c r="AT20" s="1">
        <f t="shared" si="4"/>
        <v>129554000000</v>
      </c>
    </row>
    <row r="21" spans="1:46">
      <c r="A21" s="8">
        <v>0.0190137</v>
      </c>
      <c r="B21" s="1">
        <v>0.0202576</v>
      </c>
      <c r="C21" s="1">
        <v>24578800000000</v>
      </c>
      <c r="D21" s="1">
        <v>2060530000</v>
      </c>
      <c r="E21" s="1">
        <v>0</v>
      </c>
      <c r="F21" s="1">
        <v>0</v>
      </c>
      <c r="G21" s="1">
        <v>2</v>
      </c>
      <c r="H21" s="1">
        <v>8167170000000</v>
      </c>
      <c r="I21" s="1">
        <v>5036570000000</v>
      </c>
      <c r="J21" s="1">
        <v>4908250000000</v>
      </c>
      <c r="K21" s="1">
        <v>6307320000000</v>
      </c>
      <c r="L21" s="1">
        <v>159480000000</v>
      </c>
      <c r="AN21" s="1">
        <f t="shared" si="0"/>
        <v>0.0190137</v>
      </c>
      <c r="AO21" s="1">
        <f t="shared" si="1"/>
        <v>24578800000000</v>
      </c>
      <c r="AP21" s="1"/>
      <c r="AQ21" s="1"/>
      <c r="AR21" s="1">
        <f t="shared" si="2"/>
        <v>159480000000</v>
      </c>
      <c r="AS21" s="1">
        <f t="shared" si="3"/>
        <v>159480000000</v>
      </c>
      <c r="AT21" s="1">
        <f t="shared" si="4"/>
        <v>159480000000</v>
      </c>
    </row>
    <row r="22" spans="1:46">
      <c r="A22" s="8">
        <v>0.0199728</v>
      </c>
      <c r="B22" s="1">
        <v>0.0212026</v>
      </c>
      <c r="C22" s="1">
        <v>23973800000000</v>
      </c>
      <c r="D22" s="1">
        <v>3218570000</v>
      </c>
      <c r="E22" s="1">
        <v>0</v>
      </c>
      <c r="F22" s="1">
        <v>0</v>
      </c>
      <c r="G22" s="1">
        <v>2</v>
      </c>
      <c r="H22" s="1">
        <v>6187160000000</v>
      </c>
      <c r="I22" s="1">
        <v>5192210000000</v>
      </c>
      <c r="J22" s="1">
        <v>4902230000000</v>
      </c>
      <c r="K22" s="1">
        <v>7419280000000</v>
      </c>
      <c r="L22" s="1">
        <v>272936000000</v>
      </c>
      <c r="AN22" s="1">
        <f t="shared" si="0"/>
        <v>0.0199728</v>
      </c>
      <c r="AO22" s="1">
        <f t="shared" si="1"/>
        <v>23973800000000</v>
      </c>
      <c r="AP22" s="1"/>
      <c r="AQ22" s="1"/>
      <c r="AR22" s="1">
        <f t="shared" si="2"/>
        <v>272936000000</v>
      </c>
      <c r="AS22" s="1">
        <f t="shared" si="3"/>
        <v>272936000000</v>
      </c>
      <c r="AT22" s="1">
        <f t="shared" si="4"/>
        <v>272936000000</v>
      </c>
    </row>
    <row r="23" spans="1:46">
      <c r="A23" s="8">
        <v>0.0209341</v>
      </c>
      <c r="B23" s="1">
        <v>0.0221017</v>
      </c>
      <c r="C23" s="1">
        <v>26891900000000</v>
      </c>
      <c r="D23" s="1">
        <v>3209340000</v>
      </c>
      <c r="E23" s="1">
        <v>0</v>
      </c>
      <c r="F23" s="1">
        <v>0</v>
      </c>
      <c r="G23" s="1">
        <v>2</v>
      </c>
      <c r="H23" s="1">
        <v>5721370000000</v>
      </c>
      <c r="I23" s="1">
        <v>6671450000000</v>
      </c>
      <c r="J23" s="1">
        <v>4764140000000</v>
      </c>
      <c r="K23" s="1">
        <v>9482400000000</v>
      </c>
      <c r="L23" s="1">
        <v>252560000000</v>
      </c>
      <c r="AN23" s="1">
        <f t="shared" si="0"/>
        <v>0.0209341</v>
      </c>
      <c r="AO23" s="1">
        <f t="shared" si="1"/>
        <v>26891900000000</v>
      </c>
      <c r="AP23" s="1"/>
      <c r="AQ23" s="1"/>
      <c r="AR23" s="1">
        <f t="shared" si="2"/>
        <v>252560000000</v>
      </c>
      <c r="AS23" s="1">
        <f t="shared" si="3"/>
        <v>252560000000</v>
      </c>
      <c r="AT23" s="1">
        <f t="shared" si="4"/>
        <v>252560000000</v>
      </c>
    </row>
    <row r="24" spans="1:46">
      <c r="A24" s="8">
        <v>0.0220406</v>
      </c>
      <c r="B24" s="1">
        <v>0.0233097</v>
      </c>
      <c r="C24" s="1">
        <v>20938800000000</v>
      </c>
      <c r="D24" s="1">
        <v>2540220000</v>
      </c>
      <c r="E24" s="1">
        <v>0</v>
      </c>
      <c r="F24" s="1">
        <v>0</v>
      </c>
      <c r="G24" s="1">
        <v>2</v>
      </c>
      <c r="H24" s="1">
        <v>5604000000000</v>
      </c>
      <c r="I24" s="1">
        <v>5296710000000</v>
      </c>
      <c r="J24" s="1">
        <v>4805630000000</v>
      </c>
      <c r="K24" s="1">
        <v>5113000000000</v>
      </c>
      <c r="L24" s="1">
        <v>119503000000</v>
      </c>
      <c r="AN24" s="1">
        <f t="shared" si="0"/>
        <v>0.0220406</v>
      </c>
      <c r="AO24" s="1">
        <f t="shared" si="1"/>
        <v>20938800000000</v>
      </c>
      <c r="AP24" s="1"/>
      <c r="AQ24" s="1"/>
      <c r="AR24" s="1">
        <f t="shared" si="2"/>
        <v>119503000000</v>
      </c>
      <c r="AS24" s="1">
        <f t="shared" si="3"/>
        <v>119503000000</v>
      </c>
      <c r="AT24" s="1">
        <f t="shared" si="4"/>
        <v>119503000000</v>
      </c>
    </row>
    <row r="25" spans="1:46">
      <c r="A25" s="8">
        <v>0.0231347</v>
      </c>
      <c r="B25" s="1">
        <v>0.0244292</v>
      </c>
      <c r="C25" s="1">
        <v>21030200000000</v>
      </c>
      <c r="D25" s="1">
        <v>2112140000</v>
      </c>
      <c r="E25" s="1">
        <v>0</v>
      </c>
      <c r="F25" s="1">
        <v>0</v>
      </c>
      <c r="G25" s="1">
        <v>2</v>
      </c>
      <c r="H25" s="1">
        <v>5579240000000</v>
      </c>
      <c r="I25" s="1">
        <v>4798540000000</v>
      </c>
      <c r="J25" s="1">
        <v>4784790000000</v>
      </c>
      <c r="K25" s="1">
        <v>5793000000000</v>
      </c>
      <c r="L25" s="1">
        <v>74608200000</v>
      </c>
      <c r="AN25" s="1">
        <f t="shared" si="0"/>
        <v>0.0231347</v>
      </c>
      <c r="AO25" s="1">
        <f t="shared" si="1"/>
        <v>21030200000000</v>
      </c>
      <c r="AP25" s="1"/>
      <c r="AQ25" s="1"/>
      <c r="AR25" s="1">
        <f t="shared" si="2"/>
        <v>74608200000</v>
      </c>
      <c r="AS25" s="1">
        <f t="shared" si="3"/>
        <v>74608200000</v>
      </c>
      <c r="AT25" s="1">
        <f t="shared" si="4"/>
        <v>74608200000</v>
      </c>
    </row>
    <row r="26" spans="1:46">
      <c r="A26" s="8">
        <v>0.0240552</v>
      </c>
      <c r="B26" s="1">
        <v>0.0253469</v>
      </c>
      <c r="C26" s="1">
        <v>21642000000000</v>
      </c>
      <c r="D26" s="1">
        <v>1875380000</v>
      </c>
      <c r="E26" s="1">
        <v>0</v>
      </c>
      <c r="F26" s="1">
        <v>0</v>
      </c>
      <c r="G26" s="1">
        <v>2</v>
      </c>
      <c r="H26" s="1">
        <v>5537390000000</v>
      </c>
      <c r="I26" s="1">
        <v>4783640000000</v>
      </c>
      <c r="J26" s="1">
        <v>4787520000000</v>
      </c>
      <c r="K26" s="1">
        <v>6455020000000</v>
      </c>
      <c r="L26" s="1">
        <v>78414700000</v>
      </c>
      <c r="AN26" s="1">
        <f t="shared" si="0"/>
        <v>0.0240552</v>
      </c>
      <c r="AO26" s="1">
        <f t="shared" si="1"/>
        <v>21642000000000</v>
      </c>
      <c r="AP26" s="1"/>
      <c r="AQ26" s="1"/>
      <c r="AR26" s="1">
        <f t="shared" si="2"/>
        <v>78414700000</v>
      </c>
      <c r="AS26" s="1">
        <f t="shared" si="3"/>
        <v>78414700000</v>
      </c>
      <c r="AT26" s="1">
        <f t="shared" si="4"/>
        <v>78414700000</v>
      </c>
    </row>
    <row r="27" spans="1:46">
      <c r="A27" s="8">
        <v>0.0249817</v>
      </c>
      <c r="B27" s="1">
        <v>0.0262725</v>
      </c>
      <c r="C27" s="1">
        <v>21137700000000</v>
      </c>
      <c r="D27" s="1">
        <v>1880610000</v>
      </c>
      <c r="E27" s="1">
        <v>0</v>
      </c>
      <c r="F27" s="1">
        <v>0</v>
      </c>
      <c r="G27" s="1">
        <v>2</v>
      </c>
      <c r="H27" s="1">
        <v>5524730000000</v>
      </c>
      <c r="I27" s="1">
        <v>4791270000000</v>
      </c>
      <c r="J27" s="1">
        <v>4847330000000</v>
      </c>
      <c r="K27" s="1">
        <v>5916880000000</v>
      </c>
      <c r="L27" s="1">
        <v>57445300000</v>
      </c>
      <c r="AN27" s="1">
        <f t="shared" si="0"/>
        <v>0.0249817</v>
      </c>
      <c r="AO27" s="1">
        <f t="shared" si="1"/>
        <v>21137700000000</v>
      </c>
      <c r="AP27" s="1"/>
      <c r="AQ27" s="1"/>
      <c r="AR27" s="1">
        <f t="shared" si="2"/>
        <v>57445300000</v>
      </c>
      <c r="AS27" s="1">
        <f t="shared" si="3"/>
        <v>57445300000</v>
      </c>
      <c r="AT27" s="1">
        <f t="shared" si="4"/>
        <v>57445300000</v>
      </c>
    </row>
    <row r="28" spans="1:46">
      <c r="A28" s="8">
        <v>0.0259337</v>
      </c>
      <c r="B28" s="1">
        <v>0.0272377</v>
      </c>
      <c r="C28" s="1">
        <v>19870600000000</v>
      </c>
      <c r="D28" s="1">
        <v>1463680000</v>
      </c>
      <c r="E28" s="1">
        <v>0</v>
      </c>
      <c r="F28" s="1">
        <v>0</v>
      </c>
      <c r="G28" s="1">
        <v>2</v>
      </c>
      <c r="H28" s="1">
        <v>5555690000000</v>
      </c>
      <c r="I28" s="1">
        <v>4732990000000</v>
      </c>
      <c r="J28" s="1">
        <v>4745670000000</v>
      </c>
      <c r="K28" s="1">
        <v>4780460000000</v>
      </c>
      <c r="L28" s="1">
        <v>55756500000</v>
      </c>
      <c r="AN28" s="1">
        <f t="shared" si="0"/>
        <v>0.0259337</v>
      </c>
      <c r="AO28" s="1">
        <f t="shared" si="1"/>
        <v>19870600000000</v>
      </c>
      <c r="AP28" s="1"/>
      <c r="AQ28" s="1"/>
      <c r="AR28" s="1">
        <f t="shared" si="2"/>
        <v>55756500000</v>
      </c>
      <c r="AS28" s="1">
        <f t="shared" si="3"/>
        <v>55756500000</v>
      </c>
      <c r="AT28" s="1">
        <f t="shared" si="4"/>
        <v>55756500000</v>
      </c>
    </row>
    <row r="29" spans="1:46">
      <c r="A29" s="8">
        <v>0.0269876</v>
      </c>
      <c r="B29" s="1">
        <v>0.0283149</v>
      </c>
      <c r="C29" s="1">
        <v>19927100000000</v>
      </c>
      <c r="D29" s="1">
        <v>2294530000</v>
      </c>
      <c r="E29" s="1">
        <v>0</v>
      </c>
      <c r="F29" s="1">
        <v>0</v>
      </c>
      <c r="G29" s="1">
        <v>2</v>
      </c>
      <c r="H29" s="1">
        <v>5558470000000</v>
      </c>
      <c r="I29" s="1">
        <v>4786320000000</v>
      </c>
      <c r="J29" s="1">
        <v>4764990000000</v>
      </c>
      <c r="K29" s="1">
        <v>4753980000000</v>
      </c>
      <c r="L29" s="1">
        <v>63347100000</v>
      </c>
      <c r="AN29" s="1">
        <f t="shared" si="0"/>
        <v>0.0269876</v>
      </c>
      <c r="AO29" s="1">
        <f t="shared" si="1"/>
        <v>19927100000000</v>
      </c>
      <c r="AP29" s="1"/>
      <c r="AQ29" s="1"/>
      <c r="AR29" s="1">
        <f t="shared" si="2"/>
        <v>63347100000</v>
      </c>
      <c r="AS29" s="1">
        <f t="shared" si="3"/>
        <v>63347100000</v>
      </c>
      <c r="AT29" s="1">
        <f t="shared" si="4"/>
        <v>63347100000</v>
      </c>
    </row>
    <row r="30" spans="1:46">
      <c r="A30" s="8">
        <v>0.0279559</v>
      </c>
      <c r="B30" s="1">
        <v>0.0292778</v>
      </c>
      <c r="C30" s="1">
        <v>20090800000000</v>
      </c>
      <c r="D30" s="1">
        <v>2522010000</v>
      </c>
      <c r="E30" s="1">
        <v>0</v>
      </c>
      <c r="F30" s="1">
        <v>0</v>
      </c>
      <c r="G30" s="1">
        <v>2</v>
      </c>
      <c r="H30" s="1">
        <v>5626390000000</v>
      </c>
      <c r="I30" s="1">
        <v>4767790000000</v>
      </c>
      <c r="J30" s="1">
        <v>4797620000000</v>
      </c>
      <c r="K30" s="1">
        <v>4832410000000</v>
      </c>
      <c r="L30" s="1">
        <v>66570800000</v>
      </c>
      <c r="AN30" s="1">
        <f t="shared" si="0"/>
        <v>0.0279559</v>
      </c>
      <c r="AO30" s="1">
        <f t="shared" si="1"/>
        <v>20090800000000</v>
      </c>
      <c r="AP30" s="1"/>
      <c r="AQ30" s="1"/>
      <c r="AR30" s="1">
        <f t="shared" si="2"/>
        <v>66570800000</v>
      </c>
      <c r="AS30" s="1">
        <f t="shared" si="3"/>
        <v>66570800000</v>
      </c>
      <c r="AT30" s="1">
        <f t="shared" si="4"/>
        <v>66570800000</v>
      </c>
    </row>
    <row r="31" spans="1:46">
      <c r="A31" s="8">
        <v>0.0290942</v>
      </c>
      <c r="B31" s="1">
        <v>0.0304043</v>
      </c>
      <c r="C31" s="1">
        <v>20266700000000</v>
      </c>
      <c r="D31" s="1">
        <v>2236590000</v>
      </c>
      <c r="E31" s="1">
        <v>0</v>
      </c>
      <c r="F31" s="1">
        <v>0</v>
      </c>
      <c r="G31" s="1">
        <v>2</v>
      </c>
      <c r="H31" s="1">
        <v>5674190000000</v>
      </c>
      <c r="I31" s="1">
        <v>4746930000000</v>
      </c>
      <c r="J31" s="1">
        <v>4760650000000</v>
      </c>
      <c r="K31" s="1">
        <v>5015580000000</v>
      </c>
      <c r="L31" s="1">
        <v>69326000000</v>
      </c>
      <c r="AN31" s="1">
        <f t="shared" si="0"/>
        <v>0.0290942</v>
      </c>
      <c r="AO31" s="1">
        <f t="shared" si="1"/>
        <v>20266700000000</v>
      </c>
      <c r="AP31" s="1"/>
      <c r="AQ31" s="1"/>
      <c r="AR31" s="1">
        <f t="shared" si="2"/>
        <v>69326000000</v>
      </c>
      <c r="AS31" s="1">
        <f t="shared" si="3"/>
        <v>69326000000</v>
      </c>
      <c r="AT31" s="1">
        <f t="shared" si="4"/>
        <v>69326000000</v>
      </c>
    </row>
    <row r="32" spans="1:46">
      <c r="A32" s="8">
        <v>0.029988</v>
      </c>
      <c r="B32" s="1">
        <v>0.0313075</v>
      </c>
      <c r="C32" s="1">
        <v>19935300000000</v>
      </c>
      <c r="D32" s="1">
        <v>2359250000</v>
      </c>
      <c r="E32" s="1">
        <v>0</v>
      </c>
      <c r="F32" s="1">
        <v>0</v>
      </c>
      <c r="G32" s="1">
        <v>2</v>
      </c>
      <c r="H32" s="1">
        <v>5583770000000</v>
      </c>
      <c r="I32" s="1">
        <v>4782990000000</v>
      </c>
      <c r="J32" s="1">
        <v>4754690000000</v>
      </c>
      <c r="K32" s="1">
        <v>4765410000000</v>
      </c>
      <c r="L32" s="1">
        <v>48458600000</v>
      </c>
      <c r="AN32" s="1">
        <f t="shared" si="0"/>
        <v>0.029988</v>
      </c>
      <c r="AO32" s="1">
        <f t="shared" si="1"/>
        <v>19935300000000</v>
      </c>
      <c r="AP32" s="1"/>
      <c r="AQ32" s="1"/>
      <c r="AR32" s="1">
        <f t="shared" si="2"/>
        <v>48458600000</v>
      </c>
      <c r="AS32" s="1">
        <f t="shared" si="3"/>
        <v>48458600000</v>
      </c>
      <c r="AT32" s="1">
        <f t="shared" si="4"/>
        <v>48458600000</v>
      </c>
    </row>
    <row r="33" spans="1:46">
      <c r="A33" s="8">
        <v>0.0310132</v>
      </c>
      <c r="B33" s="1">
        <v>0.0323442</v>
      </c>
      <c r="C33" s="1">
        <v>19956800000000</v>
      </c>
      <c r="D33" s="1">
        <v>1946840000</v>
      </c>
      <c r="E33" s="1">
        <v>0</v>
      </c>
      <c r="F33" s="1">
        <v>0</v>
      </c>
      <c r="G33" s="1">
        <v>2</v>
      </c>
      <c r="H33" s="1">
        <v>5550100000000</v>
      </c>
      <c r="I33" s="1">
        <v>4773770000000</v>
      </c>
      <c r="J33" s="1">
        <v>4761340000000</v>
      </c>
      <c r="K33" s="1">
        <v>4814320000000</v>
      </c>
      <c r="L33" s="1">
        <v>57305200000</v>
      </c>
      <c r="AN33" s="1">
        <f t="shared" si="0"/>
        <v>0.0310132</v>
      </c>
      <c r="AO33" s="1">
        <f t="shared" si="1"/>
        <v>19956800000000</v>
      </c>
      <c r="AP33" s="1"/>
      <c r="AQ33" s="1"/>
      <c r="AR33" s="1">
        <f t="shared" si="2"/>
        <v>57305200000</v>
      </c>
      <c r="AS33" s="1">
        <f t="shared" si="3"/>
        <v>57305200000</v>
      </c>
      <c r="AT33" s="1">
        <f t="shared" si="4"/>
        <v>57305200000</v>
      </c>
    </row>
    <row r="34" spans="1:46">
      <c r="A34" s="8">
        <v>0.0319817</v>
      </c>
      <c r="B34" s="1">
        <v>0.0333092</v>
      </c>
      <c r="C34" s="1">
        <v>20061600000000</v>
      </c>
      <c r="D34" s="1">
        <v>1295800000</v>
      </c>
      <c r="E34" s="1">
        <v>0</v>
      </c>
      <c r="F34" s="1">
        <v>0</v>
      </c>
      <c r="G34" s="1">
        <v>2</v>
      </c>
      <c r="H34" s="1">
        <v>5732010000000</v>
      </c>
      <c r="I34" s="1">
        <v>4771520000000</v>
      </c>
      <c r="J34" s="1">
        <v>4758720000000</v>
      </c>
      <c r="K34" s="1">
        <v>4755640000000</v>
      </c>
      <c r="L34" s="1">
        <v>43736300000</v>
      </c>
      <c r="AN34" s="1">
        <f t="shared" si="0"/>
        <v>0.0319817</v>
      </c>
      <c r="AO34" s="1">
        <f t="shared" si="1"/>
        <v>20061600000000</v>
      </c>
      <c r="AP34" s="1"/>
      <c r="AQ34" s="1"/>
      <c r="AR34" s="1">
        <f t="shared" si="2"/>
        <v>43736300000</v>
      </c>
      <c r="AS34" s="1">
        <f t="shared" si="3"/>
        <v>43736300000</v>
      </c>
      <c r="AT34" s="1">
        <f t="shared" si="4"/>
        <v>43736300000</v>
      </c>
    </row>
    <row r="35" spans="1:46">
      <c r="A35" s="8">
        <v>0.0330148</v>
      </c>
      <c r="B35" s="1">
        <v>0.0343233</v>
      </c>
      <c r="C35" s="1">
        <v>20661900000000</v>
      </c>
      <c r="D35" s="1">
        <v>2713480000</v>
      </c>
      <c r="E35" s="1">
        <v>0</v>
      </c>
      <c r="F35" s="1">
        <v>0</v>
      </c>
      <c r="G35" s="1">
        <v>2</v>
      </c>
      <c r="H35" s="1">
        <v>6402540000000</v>
      </c>
      <c r="I35" s="1">
        <v>4729980000000</v>
      </c>
      <c r="J35" s="1">
        <v>4739630000000</v>
      </c>
      <c r="K35" s="1">
        <v>4746110000000</v>
      </c>
      <c r="L35" s="1">
        <v>43684200000</v>
      </c>
      <c r="AN35" s="1">
        <f t="shared" si="0"/>
        <v>0.0330148</v>
      </c>
      <c r="AO35" s="1">
        <f t="shared" si="1"/>
        <v>20661900000000</v>
      </c>
      <c r="AP35" s="1"/>
      <c r="AQ35" s="1"/>
      <c r="AR35" s="1">
        <f t="shared" si="2"/>
        <v>43684200000</v>
      </c>
      <c r="AS35" s="1">
        <f t="shared" si="3"/>
        <v>43684200000</v>
      </c>
      <c r="AT35" s="1">
        <f t="shared" si="4"/>
        <v>43684200000</v>
      </c>
    </row>
    <row r="36" spans="1:46">
      <c r="A36" s="8">
        <v>0.0340492</v>
      </c>
      <c r="B36" s="1">
        <v>0.035382</v>
      </c>
      <c r="C36" s="1">
        <v>20217600000000</v>
      </c>
      <c r="D36" s="1">
        <v>1711640000</v>
      </c>
      <c r="E36" s="1">
        <v>0</v>
      </c>
      <c r="F36" s="1">
        <v>0</v>
      </c>
      <c r="G36" s="1">
        <v>2</v>
      </c>
      <c r="H36" s="1">
        <v>5524710000000</v>
      </c>
      <c r="I36" s="1">
        <v>5015310000000</v>
      </c>
      <c r="J36" s="1">
        <v>4837120000000</v>
      </c>
      <c r="K36" s="1">
        <v>4786870000000</v>
      </c>
      <c r="L36" s="1">
        <v>53624700000</v>
      </c>
      <c r="AN36" s="1">
        <f t="shared" si="0"/>
        <v>0.0340492</v>
      </c>
      <c r="AO36" s="1">
        <f t="shared" si="1"/>
        <v>20217600000000</v>
      </c>
      <c r="AP36" s="1"/>
      <c r="AQ36" s="1"/>
      <c r="AR36" s="1">
        <f t="shared" si="2"/>
        <v>53624700000</v>
      </c>
      <c r="AS36" s="1">
        <f t="shared" si="3"/>
        <v>53624700000</v>
      </c>
      <c r="AT36" s="1">
        <f t="shared" si="4"/>
        <v>53624700000</v>
      </c>
    </row>
    <row r="37" spans="1:46">
      <c r="A37" s="8">
        <v>0.0349433</v>
      </c>
      <c r="B37" s="1">
        <v>0.0362537</v>
      </c>
      <c r="C37" s="1">
        <v>20746900000000</v>
      </c>
      <c r="D37" s="1">
        <v>2203780000</v>
      </c>
      <c r="E37" s="1">
        <v>0</v>
      </c>
      <c r="F37" s="1">
        <v>0</v>
      </c>
      <c r="G37" s="1">
        <v>2</v>
      </c>
      <c r="H37" s="1">
        <v>5541240000000</v>
      </c>
      <c r="I37" s="1">
        <v>4830900000000</v>
      </c>
      <c r="J37" s="1">
        <v>5539970000000</v>
      </c>
      <c r="K37" s="1">
        <v>4763470000000</v>
      </c>
      <c r="L37" s="1">
        <v>71326500000</v>
      </c>
      <c r="AN37" s="1">
        <f t="shared" si="0"/>
        <v>0.0349433</v>
      </c>
      <c r="AO37" s="1">
        <f t="shared" si="1"/>
        <v>20746900000000</v>
      </c>
      <c r="AP37" s="1"/>
      <c r="AQ37" s="1"/>
      <c r="AR37" s="1">
        <f t="shared" si="2"/>
        <v>71326500000</v>
      </c>
      <c r="AS37" s="1">
        <f t="shared" si="3"/>
        <v>71326500000</v>
      </c>
      <c r="AT37" s="1">
        <f t="shared" si="4"/>
        <v>71326500000</v>
      </c>
    </row>
    <row r="38" spans="1:46">
      <c r="A38" s="8">
        <v>0.0359324</v>
      </c>
      <c r="B38" s="1">
        <v>0.0372387</v>
      </c>
      <c r="C38" s="1">
        <v>19827500000000</v>
      </c>
      <c r="D38" s="1">
        <v>1569420000</v>
      </c>
      <c r="E38" s="1">
        <v>0</v>
      </c>
      <c r="F38" s="1">
        <v>0</v>
      </c>
      <c r="G38" s="1">
        <v>2</v>
      </c>
      <c r="H38" s="1">
        <v>5526060000000</v>
      </c>
      <c r="I38" s="1">
        <v>4745610000000</v>
      </c>
      <c r="J38" s="1">
        <v>4780010000000</v>
      </c>
      <c r="K38" s="1">
        <v>4735200000000</v>
      </c>
      <c r="L38" s="1">
        <v>40566300000</v>
      </c>
      <c r="AN38" s="1">
        <f t="shared" si="0"/>
        <v>0.0359324</v>
      </c>
      <c r="AO38" s="1">
        <f t="shared" si="1"/>
        <v>19827500000000</v>
      </c>
      <c r="AP38" s="1"/>
      <c r="AQ38" s="1"/>
      <c r="AR38" s="1">
        <f t="shared" si="2"/>
        <v>40566300000</v>
      </c>
      <c r="AS38" s="1">
        <f t="shared" si="3"/>
        <v>40566300000</v>
      </c>
      <c r="AT38" s="1">
        <f t="shared" si="4"/>
        <v>40566300000</v>
      </c>
    </row>
    <row r="39" spans="1:46">
      <c r="A39" s="8">
        <v>0.0369666</v>
      </c>
      <c r="B39" s="1">
        <v>0.03829</v>
      </c>
      <c r="C39" s="1">
        <v>20158600000000</v>
      </c>
      <c r="D39" s="1">
        <v>1690030000</v>
      </c>
      <c r="E39" s="1">
        <v>0</v>
      </c>
      <c r="F39" s="1">
        <v>0</v>
      </c>
      <c r="G39" s="1">
        <v>2</v>
      </c>
      <c r="H39" s="1">
        <v>5550750000000</v>
      </c>
      <c r="I39" s="1">
        <v>4741870000000</v>
      </c>
      <c r="J39" s="1">
        <v>4788270000000</v>
      </c>
      <c r="K39" s="1">
        <v>5023540000000</v>
      </c>
      <c r="L39" s="1">
        <v>54166200000</v>
      </c>
      <c r="AN39" s="1">
        <f t="shared" si="0"/>
        <v>0.0369666</v>
      </c>
      <c r="AO39" s="1">
        <f t="shared" si="1"/>
        <v>20158600000000</v>
      </c>
      <c r="AP39" s="1"/>
      <c r="AQ39" s="1"/>
      <c r="AR39" s="1">
        <f t="shared" si="2"/>
        <v>54166200000</v>
      </c>
      <c r="AS39" s="1">
        <f t="shared" si="3"/>
        <v>54166200000</v>
      </c>
      <c r="AT39" s="1">
        <f t="shared" si="4"/>
        <v>54166200000</v>
      </c>
    </row>
    <row r="40" spans="1:46">
      <c r="A40" s="8">
        <v>0.0379447</v>
      </c>
      <c r="B40" s="1">
        <v>0.0392514</v>
      </c>
      <c r="C40" s="1">
        <v>19993100000000</v>
      </c>
      <c r="D40" s="1">
        <v>1978460000</v>
      </c>
      <c r="E40" s="1">
        <v>0</v>
      </c>
      <c r="F40" s="1">
        <v>0</v>
      </c>
      <c r="G40" s="1">
        <v>2</v>
      </c>
      <c r="H40" s="1">
        <v>5565930000000</v>
      </c>
      <c r="I40" s="1">
        <v>4730720000000</v>
      </c>
      <c r="J40" s="1">
        <v>4790880000000</v>
      </c>
      <c r="K40" s="1">
        <v>4837500000000</v>
      </c>
      <c r="L40" s="1">
        <v>68092600000</v>
      </c>
      <c r="AN40" s="1">
        <f t="shared" si="0"/>
        <v>0.0379447</v>
      </c>
      <c r="AO40" s="1">
        <f t="shared" si="1"/>
        <v>19993100000000</v>
      </c>
      <c r="AP40" s="1"/>
      <c r="AQ40" s="1"/>
      <c r="AR40" s="1">
        <f t="shared" si="2"/>
        <v>68092600000</v>
      </c>
      <c r="AS40" s="1">
        <f t="shared" si="3"/>
        <v>68092600000</v>
      </c>
      <c r="AT40" s="1">
        <f t="shared" si="4"/>
        <v>68092600000</v>
      </c>
    </row>
    <row r="41" spans="1:46">
      <c r="A41" s="8">
        <v>0.0389672</v>
      </c>
      <c r="B41" s="1">
        <v>0.0402732</v>
      </c>
      <c r="C41" s="1">
        <v>20764200000000</v>
      </c>
      <c r="D41" s="1">
        <v>2474610000</v>
      </c>
      <c r="E41" s="1">
        <v>0</v>
      </c>
      <c r="F41" s="1">
        <v>0</v>
      </c>
      <c r="G41" s="1">
        <v>2</v>
      </c>
      <c r="H41" s="1">
        <v>5539780000000</v>
      </c>
      <c r="I41" s="1">
        <v>4740660000000</v>
      </c>
      <c r="J41" s="1">
        <v>5684500000000</v>
      </c>
      <c r="K41" s="1">
        <v>4735030000000</v>
      </c>
      <c r="L41" s="1">
        <v>64245700000</v>
      </c>
      <c r="AN41" s="1">
        <f t="shared" si="0"/>
        <v>0.0389672</v>
      </c>
      <c r="AO41" s="1">
        <f t="shared" si="1"/>
        <v>20764200000000</v>
      </c>
      <c r="AP41" s="1"/>
      <c r="AQ41" s="1"/>
      <c r="AR41" s="1">
        <f t="shared" si="2"/>
        <v>64245700000</v>
      </c>
      <c r="AS41" s="1">
        <f t="shared" si="3"/>
        <v>64245700000</v>
      </c>
      <c r="AT41" s="1">
        <f t="shared" si="4"/>
        <v>64245700000</v>
      </c>
    </row>
    <row r="42" spans="1:46">
      <c r="A42" s="8">
        <v>0.0400184</v>
      </c>
      <c r="B42" s="1">
        <v>0.0413058</v>
      </c>
      <c r="C42" s="1">
        <v>21440400000000</v>
      </c>
      <c r="D42" s="1">
        <v>879949000</v>
      </c>
      <c r="E42" s="1">
        <v>0</v>
      </c>
      <c r="F42" s="1">
        <v>0</v>
      </c>
      <c r="G42" s="1">
        <v>2</v>
      </c>
      <c r="H42" s="1">
        <v>5549820000000</v>
      </c>
      <c r="I42" s="1">
        <v>4741530000000</v>
      </c>
      <c r="J42" s="1">
        <v>6353870000000</v>
      </c>
      <c r="K42" s="1">
        <v>4739730000000</v>
      </c>
      <c r="L42" s="1">
        <v>55444300000</v>
      </c>
      <c r="AN42" s="1">
        <f t="shared" si="0"/>
        <v>0.0400184</v>
      </c>
      <c r="AO42" s="1">
        <f t="shared" si="1"/>
        <v>21440400000000</v>
      </c>
      <c r="AP42" s="1"/>
      <c r="AQ42" s="1"/>
      <c r="AR42" s="1">
        <f t="shared" si="2"/>
        <v>55444300000</v>
      </c>
      <c r="AS42" s="1">
        <f t="shared" si="3"/>
        <v>55444300000</v>
      </c>
      <c r="AT42" s="1">
        <f t="shared" si="4"/>
        <v>55444300000</v>
      </c>
    </row>
    <row r="43" spans="1:46">
      <c r="A43" s="8">
        <v>0.0410066</v>
      </c>
      <c r="B43" s="1">
        <v>0.0422967</v>
      </c>
      <c r="C43" s="1">
        <v>21470400000000</v>
      </c>
      <c r="D43" s="1">
        <v>2737450000</v>
      </c>
      <c r="E43" s="1">
        <v>0</v>
      </c>
      <c r="F43" s="1">
        <v>0</v>
      </c>
      <c r="G43" s="1">
        <v>2</v>
      </c>
      <c r="H43" s="1">
        <v>5524920000000</v>
      </c>
      <c r="I43" s="1">
        <v>4760530000000</v>
      </c>
      <c r="J43" s="1">
        <v>6349150000000</v>
      </c>
      <c r="K43" s="1">
        <v>4783370000000</v>
      </c>
      <c r="L43" s="1">
        <v>52423100000</v>
      </c>
      <c r="AN43" s="1">
        <f t="shared" si="0"/>
        <v>0.0410066</v>
      </c>
      <c r="AO43" s="1">
        <f t="shared" si="1"/>
        <v>21470400000000</v>
      </c>
      <c r="AP43" s="1"/>
      <c r="AQ43" s="1"/>
      <c r="AR43" s="1">
        <f t="shared" si="2"/>
        <v>52423100000</v>
      </c>
      <c r="AS43" s="1">
        <f t="shared" si="3"/>
        <v>52423100000</v>
      </c>
      <c r="AT43" s="1">
        <f t="shared" si="4"/>
        <v>52423100000</v>
      </c>
    </row>
    <row r="44" spans="1:46">
      <c r="A44" s="8">
        <v>0.0420503</v>
      </c>
      <c r="B44" s="1">
        <v>0.0433381</v>
      </c>
      <c r="C44" s="1">
        <v>21613900000000</v>
      </c>
      <c r="D44" s="1">
        <v>1381610000</v>
      </c>
      <c r="E44" s="1">
        <v>0</v>
      </c>
      <c r="F44" s="1">
        <v>0</v>
      </c>
      <c r="G44" s="1">
        <v>2</v>
      </c>
      <c r="H44" s="1">
        <v>5621180000000</v>
      </c>
      <c r="I44" s="1">
        <v>4752560000000</v>
      </c>
      <c r="J44" s="1">
        <v>6324450000000</v>
      </c>
      <c r="K44" s="1">
        <v>4848000000000</v>
      </c>
      <c r="L44" s="1">
        <v>67694800000</v>
      </c>
      <c r="AN44" s="1">
        <f t="shared" si="0"/>
        <v>0.0420503</v>
      </c>
      <c r="AO44" s="1">
        <f t="shared" si="1"/>
        <v>21613900000000</v>
      </c>
      <c r="AP44" s="1"/>
      <c r="AQ44" s="1"/>
      <c r="AR44" s="1">
        <f t="shared" si="2"/>
        <v>67694800000</v>
      </c>
      <c r="AS44" s="1">
        <f t="shared" si="3"/>
        <v>67694800000</v>
      </c>
      <c r="AT44" s="1">
        <f t="shared" si="4"/>
        <v>67694800000</v>
      </c>
    </row>
    <row r="45" spans="1:46">
      <c r="A45" s="8">
        <v>0.0430275</v>
      </c>
      <c r="B45" s="1">
        <v>0.0443232</v>
      </c>
      <c r="C45" s="1">
        <v>20794100000000</v>
      </c>
      <c r="D45" s="1">
        <v>2065010000</v>
      </c>
      <c r="E45" s="1">
        <v>0</v>
      </c>
      <c r="F45" s="1">
        <v>0</v>
      </c>
      <c r="G45" s="1">
        <v>2</v>
      </c>
      <c r="H45" s="1">
        <v>5663640000000</v>
      </c>
      <c r="I45" s="1">
        <v>4727600000000</v>
      </c>
      <c r="J45" s="1">
        <v>5584950000000</v>
      </c>
      <c r="K45" s="1">
        <v>4764960000000</v>
      </c>
      <c r="L45" s="1">
        <v>52965600000</v>
      </c>
      <c r="AN45" s="1">
        <f t="shared" si="0"/>
        <v>0.0430275</v>
      </c>
      <c r="AO45" s="1">
        <f t="shared" si="1"/>
        <v>20794100000000</v>
      </c>
      <c r="AP45" s="1"/>
      <c r="AQ45" s="1"/>
      <c r="AR45" s="1">
        <f t="shared" si="2"/>
        <v>52965600000</v>
      </c>
      <c r="AS45" s="1">
        <f t="shared" si="3"/>
        <v>52965600000</v>
      </c>
      <c r="AT45" s="1">
        <f t="shared" si="4"/>
        <v>52965600000</v>
      </c>
    </row>
    <row r="46" spans="1:46">
      <c r="A46" s="8">
        <v>0.0440761</v>
      </c>
      <c r="B46" s="1">
        <v>0.0454015</v>
      </c>
      <c r="C46" s="1">
        <v>20285900000000</v>
      </c>
      <c r="D46" s="1">
        <v>2298900000</v>
      </c>
      <c r="E46" s="1">
        <v>0</v>
      </c>
      <c r="F46" s="1">
        <v>0</v>
      </c>
      <c r="G46" s="1">
        <v>2</v>
      </c>
      <c r="H46" s="1">
        <v>5548300000000</v>
      </c>
      <c r="I46" s="1">
        <v>4734940000000</v>
      </c>
      <c r="J46" s="1">
        <v>5055370000000</v>
      </c>
      <c r="K46" s="1">
        <v>4880520000000</v>
      </c>
      <c r="L46" s="1">
        <v>66743900000</v>
      </c>
      <c r="AN46" s="1">
        <f t="shared" si="0"/>
        <v>0.0440761</v>
      </c>
      <c r="AO46" s="1">
        <f t="shared" si="1"/>
        <v>20285900000000</v>
      </c>
      <c r="AP46" s="1"/>
      <c r="AQ46" s="1"/>
      <c r="AR46" s="1">
        <f t="shared" si="2"/>
        <v>66743900000</v>
      </c>
      <c r="AS46" s="1">
        <f t="shared" si="3"/>
        <v>66743900000</v>
      </c>
      <c r="AT46" s="1">
        <f t="shared" si="4"/>
        <v>66743900000</v>
      </c>
    </row>
    <row r="47" spans="1:46">
      <c r="A47" s="8">
        <v>0.0449147</v>
      </c>
      <c r="B47" s="1">
        <v>0.0462107</v>
      </c>
      <c r="C47" s="1">
        <v>20507300000000</v>
      </c>
      <c r="D47" s="1">
        <v>3230680000</v>
      </c>
      <c r="E47" s="1">
        <v>0</v>
      </c>
      <c r="F47" s="1">
        <v>0</v>
      </c>
      <c r="G47" s="1">
        <v>2</v>
      </c>
      <c r="H47" s="1">
        <v>5560540000000</v>
      </c>
      <c r="I47" s="1">
        <v>4752280000000</v>
      </c>
      <c r="J47" s="1">
        <v>5350240000000</v>
      </c>
      <c r="K47" s="1">
        <v>4787060000000</v>
      </c>
      <c r="L47" s="1">
        <v>57145600000</v>
      </c>
      <c r="AN47" s="1">
        <f t="shared" si="0"/>
        <v>0.0449147</v>
      </c>
      <c r="AO47" s="1">
        <f t="shared" si="1"/>
        <v>20507300000000</v>
      </c>
      <c r="AP47" s="1"/>
      <c r="AQ47" s="1"/>
      <c r="AR47" s="1">
        <f t="shared" si="2"/>
        <v>57145600000</v>
      </c>
      <c r="AS47" s="1">
        <f t="shared" si="3"/>
        <v>57145600000</v>
      </c>
      <c r="AT47" s="1">
        <f t="shared" si="4"/>
        <v>57145600000</v>
      </c>
    </row>
    <row r="48" spans="1:46">
      <c r="A48" s="8">
        <v>0.0460898</v>
      </c>
      <c r="B48" s="1">
        <v>0.0473747</v>
      </c>
      <c r="C48" s="1">
        <v>21996200000000</v>
      </c>
      <c r="D48" s="1">
        <v>3804830000</v>
      </c>
      <c r="E48" s="1">
        <v>0</v>
      </c>
      <c r="F48" s="1">
        <v>0</v>
      </c>
      <c r="G48" s="1">
        <v>2</v>
      </c>
      <c r="H48" s="1">
        <v>5668610000000</v>
      </c>
      <c r="I48" s="1">
        <v>6043330000000</v>
      </c>
      <c r="J48" s="1">
        <v>4751090000000</v>
      </c>
      <c r="K48" s="1">
        <v>5447020000000</v>
      </c>
      <c r="L48" s="1">
        <v>86185800000</v>
      </c>
      <c r="AN48" s="1">
        <f t="shared" si="0"/>
        <v>0.0460898</v>
      </c>
      <c r="AO48" s="1">
        <f t="shared" si="1"/>
        <v>21996200000000</v>
      </c>
      <c r="AP48" s="1"/>
      <c r="AQ48" s="1"/>
      <c r="AR48" s="1">
        <f t="shared" si="2"/>
        <v>86185800000</v>
      </c>
      <c r="AS48" s="1">
        <f t="shared" si="3"/>
        <v>86185800000</v>
      </c>
      <c r="AT48" s="1">
        <f t="shared" si="4"/>
        <v>86185800000</v>
      </c>
    </row>
    <row r="49" spans="1:46">
      <c r="A49" s="8">
        <v>0.0470384</v>
      </c>
      <c r="B49" s="1">
        <v>0.0483188</v>
      </c>
      <c r="C49" s="1">
        <v>22532400000000</v>
      </c>
      <c r="D49" s="1">
        <v>1179660000</v>
      </c>
      <c r="E49" s="1">
        <v>0</v>
      </c>
      <c r="F49" s="1">
        <v>0</v>
      </c>
      <c r="G49" s="1">
        <v>2</v>
      </c>
      <c r="H49" s="1">
        <v>5636980000000</v>
      </c>
      <c r="I49" s="1">
        <v>6412020000000</v>
      </c>
      <c r="J49" s="1">
        <v>4830700000000</v>
      </c>
      <c r="K49" s="1">
        <v>5556800000000</v>
      </c>
      <c r="L49" s="1">
        <v>95942700000</v>
      </c>
      <c r="AN49" s="1">
        <f t="shared" si="0"/>
        <v>0.0470384</v>
      </c>
      <c r="AO49" s="1">
        <f t="shared" si="1"/>
        <v>22532400000000</v>
      </c>
      <c r="AP49" s="1"/>
      <c r="AQ49" s="1"/>
      <c r="AR49" s="1">
        <f t="shared" si="2"/>
        <v>95942700000</v>
      </c>
      <c r="AS49" s="1">
        <f t="shared" si="3"/>
        <v>95942700000</v>
      </c>
      <c r="AT49" s="1">
        <f t="shared" si="4"/>
        <v>95942700000</v>
      </c>
    </row>
    <row r="50" spans="1:46">
      <c r="A50" s="8">
        <v>0.0480241</v>
      </c>
      <c r="B50" s="1">
        <v>0.0493124</v>
      </c>
      <c r="C50" s="1">
        <v>20968400000000</v>
      </c>
      <c r="D50" s="1">
        <v>495077000</v>
      </c>
      <c r="E50" s="1">
        <v>0</v>
      </c>
      <c r="F50" s="1">
        <v>0</v>
      </c>
      <c r="G50" s="1">
        <v>2</v>
      </c>
      <c r="H50" s="1">
        <v>5565730000000</v>
      </c>
      <c r="I50" s="1">
        <v>5236870000000</v>
      </c>
      <c r="J50" s="1">
        <v>5166790000000</v>
      </c>
      <c r="K50" s="1">
        <v>4926690000000</v>
      </c>
      <c r="L50" s="1">
        <v>72276500000</v>
      </c>
      <c r="AN50" s="1">
        <f t="shared" ref="AN50:AN51" si="5">A50</f>
        <v>0.0480241</v>
      </c>
      <c r="AO50" s="1">
        <f t="shared" ref="AO50:AO51" si="6">AVERAGE(C50,P50,AC50)</f>
        <v>20968400000000</v>
      </c>
      <c r="AP50" s="1"/>
      <c r="AQ50" s="1"/>
      <c r="AR50" s="1">
        <f t="shared" ref="AR50:AR51" si="7">AVERAGE(L50,Y50,AL50)</f>
        <v>72276500000</v>
      </c>
      <c r="AS50" s="1">
        <f t="shared" ref="AS50:AS51" si="8">MIN(L50,Y50,AL50)</f>
        <v>72276500000</v>
      </c>
      <c r="AT50" s="1">
        <f t="shared" ref="AT50:AT51" si="9">MAX(L50,Y50,AL50)</f>
        <v>72276500000</v>
      </c>
    </row>
    <row r="51" spans="1:46">
      <c r="A51" s="8">
        <v>0.0490752</v>
      </c>
      <c r="B51" s="1">
        <v>0.0503645</v>
      </c>
      <c r="C51" s="1">
        <v>20474800000000</v>
      </c>
      <c r="D51" s="1">
        <v>2317030000</v>
      </c>
      <c r="E51" s="1">
        <v>0</v>
      </c>
      <c r="F51" s="1">
        <v>0</v>
      </c>
      <c r="G51" s="1">
        <v>2</v>
      </c>
      <c r="H51" s="1">
        <v>5527730000000</v>
      </c>
      <c r="I51" s="1">
        <v>4751100000000</v>
      </c>
      <c r="J51" s="1">
        <v>5339670000000</v>
      </c>
      <c r="K51" s="1">
        <v>4805770000000</v>
      </c>
      <c r="L51" s="1">
        <v>50535400000</v>
      </c>
      <c r="AN51" s="1">
        <f t="shared" si="5"/>
        <v>0.0490752</v>
      </c>
      <c r="AO51" s="1">
        <f t="shared" si="6"/>
        <v>20474800000000</v>
      </c>
      <c r="AP51" s="1"/>
      <c r="AQ51" s="1"/>
      <c r="AR51" s="1">
        <f t="shared" si="7"/>
        <v>50535400000</v>
      </c>
      <c r="AS51" s="1">
        <f t="shared" si="8"/>
        <v>50535400000</v>
      </c>
      <c r="AT51" s="1">
        <f t="shared" si="9"/>
        <v>50535400000</v>
      </c>
    </row>
    <row r="52" spans="1:46">
      <c r="A52" s="8">
        <v>0.0500115</v>
      </c>
      <c r="B52" s="1">
        <v>0.0513283</v>
      </c>
      <c r="C52" s="1">
        <v>19766000000000</v>
      </c>
      <c r="D52" s="1">
        <v>1774090000</v>
      </c>
      <c r="E52" s="1">
        <v>0</v>
      </c>
      <c r="F52" s="1">
        <v>0</v>
      </c>
      <c r="G52" s="1">
        <v>2</v>
      </c>
      <c r="H52" s="1">
        <v>5512120000000</v>
      </c>
      <c r="I52" s="1">
        <v>4733420000000</v>
      </c>
      <c r="J52" s="1">
        <v>4746240000000</v>
      </c>
      <c r="K52" s="1">
        <v>4737240000000</v>
      </c>
      <c r="L52" s="1">
        <v>37002300000</v>
      </c>
      <c r="AN52" s="1">
        <f t="shared" ref="AN52" si="10">A52</f>
        <v>0.0500115</v>
      </c>
      <c r="AO52" s="1">
        <f t="shared" ref="AO52" si="11">AVERAGE(C52,P52,AC52)</f>
        <v>19766000000000</v>
      </c>
      <c r="AP52" s="1"/>
      <c r="AQ52" s="1"/>
      <c r="AR52" s="1">
        <f t="shared" ref="AR52" si="12">AVERAGE(L52,Y52,AL52)</f>
        <v>37002300000</v>
      </c>
      <c r="AS52" s="1">
        <f t="shared" ref="AS52" si="13">MIN(L52,Y52,AL52)</f>
        <v>37002300000</v>
      </c>
      <c r="AT52" s="1">
        <f t="shared" ref="AT52" si="14">MAX(L52,Y52,AL52)</f>
        <v>37002300000</v>
      </c>
    </row>
    <row r="53" spans="1:12">
      <c r="A53" s="8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8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8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8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8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8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8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8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8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8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8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8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8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8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8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8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8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8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8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8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8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8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8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8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8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8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8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8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8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8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8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8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8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8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</sheetData>
  <mergeCells count="3">
    <mergeCell ref="A1:L1"/>
    <mergeCell ref="N1:Y1"/>
    <mergeCell ref="AA1:AL1"/>
  </mergeCells>
  <pageMargins left="0.7" right="0.7" top="0.75" bottom="0.75" header="0.3" footer="0.3"/>
  <pageSetup paperSize="1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8"/>
  <sheetViews>
    <sheetView tabSelected="1" workbookViewId="0">
      <selection activeCell="E2" sqref="E2:E15"/>
    </sheetView>
  </sheetViews>
  <sheetFormatPr defaultColWidth="9" defaultRowHeight="15"/>
  <sheetData>
    <row r="1" spans="1:13">
      <c r="A1" t="s">
        <v>22</v>
      </c>
      <c r="B1" t="s">
        <v>4</v>
      </c>
      <c r="C1" t="s">
        <v>5</v>
      </c>
      <c r="D1" t="s">
        <v>6</v>
      </c>
      <c r="E1" s="2" t="s">
        <v>7</v>
      </c>
      <c r="F1" s="2" t="s">
        <v>8</v>
      </c>
      <c r="G1" t="s">
        <v>9</v>
      </c>
      <c r="H1" t="s">
        <v>10</v>
      </c>
      <c r="I1" t="s">
        <v>11</v>
      </c>
      <c r="J1" s="2" t="s">
        <v>12</v>
      </c>
      <c r="K1" t="s">
        <v>22</v>
      </c>
      <c r="L1" s="3" t="s">
        <v>23</v>
      </c>
      <c r="M1" s="5" t="s">
        <v>24</v>
      </c>
    </row>
    <row r="2" spans="1:13">
      <c r="A2" t="s">
        <v>25</v>
      </c>
      <c r="B2">
        <v>117</v>
      </c>
      <c r="C2" s="1">
        <v>3600000000000</v>
      </c>
      <c r="D2" s="1">
        <v>20900000000000</v>
      </c>
      <c r="E2" s="2">
        <f>0.5*80.9*0.248*SQRT(C2)/1000000</f>
        <v>19.0336227454471</v>
      </c>
      <c r="F2" s="2">
        <f>0.05*80.9*0.248*SQRT(D2)/1000000</f>
        <v>4.58609819989062</v>
      </c>
      <c r="G2">
        <f>SQRT(E2^2+F2^2)</f>
        <v>19.5783321944194</v>
      </c>
      <c r="H2">
        <f>B2*0.4395</f>
        <v>51.4215</v>
      </c>
      <c r="I2">
        <f>H2/G2</f>
        <v>2.62644945899207</v>
      </c>
      <c r="J2" s="2">
        <f>C2/D2</f>
        <v>0.172248803827751</v>
      </c>
      <c r="K2">
        <v>10</v>
      </c>
      <c r="L2" s="3">
        <f t="shared" ref="L2:L15" si="0">H2-G2</f>
        <v>31.8431678055806</v>
      </c>
      <c r="M2" s="5">
        <f t="shared" ref="M2:M15" si="1">L2*1000000/SQRT(D2)</f>
        <v>6.96535286065355</v>
      </c>
    </row>
    <row r="3" spans="1:13">
      <c r="A3" t="s">
        <v>26</v>
      </c>
      <c r="B3">
        <v>119</v>
      </c>
      <c r="C3" s="1">
        <v>3790000000000</v>
      </c>
      <c r="D3" s="1">
        <v>21000000000000</v>
      </c>
      <c r="E3" s="2">
        <f t="shared" ref="E3:E15" si="2">0.5*80.9*0.248*SQRT(C3)/1000000</f>
        <v>19.529440968507</v>
      </c>
      <c r="F3" s="2">
        <f t="shared" ref="F3:F15" si="3">0.05*80.9*0.248*SQRT(D3)/1000000</f>
        <v>4.5970566341519</v>
      </c>
      <c r="G3">
        <f t="shared" ref="G3:G5" si="4">SQRT(E3^2+F3^2)</f>
        <v>20.0632</v>
      </c>
      <c r="H3">
        <f t="shared" ref="H3:H5" si="5">B3*0.4395</f>
        <v>52.3005</v>
      </c>
      <c r="I3">
        <f t="shared" ref="I3:I5" si="6">H3/G3</f>
        <v>2.60678755133777</v>
      </c>
      <c r="J3" s="2">
        <f t="shared" ref="J3:J5" si="7">C3/D3</f>
        <v>0.18047619047619</v>
      </c>
      <c r="K3">
        <v>10</v>
      </c>
      <c r="L3" s="3">
        <f t="shared" si="0"/>
        <v>32.2373</v>
      </c>
      <c r="M3" s="5">
        <f t="shared" si="1"/>
        <v>7.03475559290476</v>
      </c>
    </row>
    <row r="4" spans="1:13">
      <c r="A4" t="s">
        <v>27</v>
      </c>
      <c r="B4">
        <v>115</v>
      </c>
      <c r="C4" s="1">
        <v>3560000000000</v>
      </c>
      <c r="D4" s="1">
        <v>20800000000000</v>
      </c>
      <c r="E4" s="2">
        <f t="shared" si="2"/>
        <v>18.9275850248678</v>
      </c>
      <c r="F4" s="2">
        <f t="shared" si="3"/>
        <v>4.57511351776981</v>
      </c>
      <c r="G4">
        <f t="shared" si="4"/>
        <v>19.4726767182655</v>
      </c>
      <c r="H4">
        <f t="shared" si="5"/>
        <v>50.5425</v>
      </c>
      <c r="I4">
        <f t="shared" si="6"/>
        <v>2.59555995979694</v>
      </c>
      <c r="J4" s="2">
        <f t="shared" si="7"/>
        <v>0.171153846153846</v>
      </c>
      <c r="K4">
        <v>10</v>
      </c>
      <c r="L4" s="3">
        <f t="shared" si="0"/>
        <v>31.0698232817345</v>
      </c>
      <c r="M4" s="5">
        <f t="shared" si="1"/>
        <v>6.81250941692437</v>
      </c>
    </row>
    <row r="5" spans="1:13">
      <c r="A5" t="s">
        <v>28</v>
      </c>
      <c r="B5">
        <v>128</v>
      </c>
      <c r="C5" s="1">
        <v>3190000000000</v>
      </c>
      <c r="D5" s="1">
        <v>21600000000000</v>
      </c>
      <c r="E5" s="2">
        <f t="shared" si="2"/>
        <v>17.9170105041662</v>
      </c>
      <c r="F5" s="2">
        <f t="shared" si="3"/>
        <v>4.66226636829772</v>
      </c>
      <c r="G5">
        <f t="shared" si="4"/>
        <v>18.5136704382292</v>
      </c>
      <c r="H5">
        <f t="shared" si="5"/>
        <v>56.256</v>
      </c>
      <c r="I5">
        <f t="shared" si="6"/>
        <v>3.03861949945032</v>
      </c>
      <c r="J5" s="2">
        <f t="shared" si="7"/>
        <v>0.147685185185185</v>
      </c>
      <c r="K5">
        <v>20</v>
      </c>
      <c r="L5" s="3">
        <f t="shared" si="0"/>
        <v>37.7423295617708</v>
      </c>
      <c r="M5" s="5">
        <f t="shared" si="1"/>
        <v>8.12085632443391</v>
      </c>
    </row>
    <row r="6" spans="1:13">
      <c r="A6" t="s">
        <v>29</v>
      </c>
      <c r="B6">
        <v>128</v>
      </c>
      <c r="C6" s="1">
        <v>3470000000000</v>
      </c>
      <c r="D6" s="1">
        <v>21500000000000</v>
      </c>
      <c r="E6" s="2">
        <f t="shared" si="2"/>
        <v>18.6868002879894</v>
      </c>
      <c r="F6" s="2">
        <f t="shared" si="3"/>
        <v>4.65146156497074</v>
      </c>
      <c r="G6">
        <f t="shared" ref="G6:G8" si="8">SQRT(E6^2+F6^2)</f>
        <v>19.2570142985251</v>
      </c>
      <c r="H6">
        <f t="shared" ref="H6:H8" si="9">B6*0.4395</f>
        <v>56.256</v>
      </c>
      <c r="I6">
        <f t="shared" ref="I6:I8" si="10">H6/G6</f>
        <v>2.92132514043512</v>
      </c>
      <c r="J6" s="2">
        <f t="shared" ref="J6:J8" si="11">C6/D6</f>
        <v>0.161395348837209</v>
      </c>
      <c r="K6">
        <v>20</v>
      </c>
      <c r="L6" s="3">
        <f t="shared" si="0"/>
        <v>36.9989857014749</v>
      </c>
      <c r="M6" s="5">
        <f t="shared" si="1"/>
        <v>7.97940646780881</v>
      </c>
    </row>
    <row r="7" spans="1:13">
      <c r="A7" t="s">
        <v>30</v>
      </c>
      <c r="B7">
        <v>129</v>
      </c>
      <c r="C7" s="1">
        <v>3230000000000</v>
      </c>
      <c r="D7" s="1">
        <v>21200000000000</v>
      </c>
      <c r="E7" s="2">
        <f t="shared" si="2"/>
        <v>18.0289929099992</v>
      </c>
      <c r="F7" s="2">
        <f t="shared" si="3"/>
        <v>4.61889550593213</v>
      </c>
      <c r="G7">
        <f t="shared" si="8"/>
        <v>18.6112541502049</v>
      </c>
      <c r="H7">
        <f t="shared" si="9"/>
        <v>56.6955</v>
      </c>
      <c r="I7">
        <f t="shared" si="10"/>
        <v>3.0463019602242</v>
      </c>
      <c r="J7" s="2">
        <f t="shared" si="11"/>
        <v>0.152358490566038</v>
      </c>
      <c r="K7">
        <v>20</v>
      </c>
      <c r="L7" s="3">
        <f t="shared" si="0"/>
        <v>38.0842458497951</v>
      </c>
      <c r="M7" s="5">
        <f t="shared" si="1"/>
        <v>8.2713696418578</v>
      </c>
    </row>
    <row r="8" spans="1:13">
      <c r="A8" t="s">
        <v>31</v>
      </c>
      <c r="B8">
        <v>138</v>
      </c>
      <c r="C8" s="1">
        <v>2800000000000</v>
      </c>
      <c r="D8" s="1">
        <v>22700000000000</v>
      </c>
      <c r="E8" s="2">
        <f t="shared" si="2"/>
        <v>16.7860774443585</v>
      </c>
      <c r="F8" s="2">
        <f t="shared" si="3"/>
        <v>4.7795073672001</v>
      </c>
      <c r="G8">
        <f t="shared" si="8"/>
        <v>17.4532543280937</v>
      </c>
      <c r="H8">
        <f t="shared" si="9"/>
        <v>60.651</v>
      </c>
      <c r="I8">
        <f t="shared" si="10"/>
        <v>3.47505392747145</v>
      </c>
      <c r="J8" s="2">
        <f t="shared" si="11"/>
        <v>0.123348017621145</v>
      </c>
      <c r="K8">
        <v>40</v>
      </c>
      <c r="L8" s="3">
        <f t="shared" si="0"/>
        <v>43.1977456719063</v>
      </c>
      <c r="M8" s="5">
        <f t="shared" si="1"/>
        <v>9.06667721565107</v>
      </c>
    </row>
    <row r="9" spans="1:13">
      <c r="A9" t="s">
        <v>32</v>
      </c>
      <c r="B9">
        <v>136</v>
      </c>
      <c r="C9" s="1">
        <v>2920000000000</v>
      </c>
      <c r="D9" s="1">
        <v>22500000000000</v>
      </c>
      <c r="E9" s="2">
        <f t="shared" si="2"/>
        <v>17.1420055943055</v>
      </c>
      <c r="F9" s="2">
        <f t="shared" si="3"/>
        <v>4.75840568636177</v>
      </c>
      <c r="G9">
        <f t="shared" ref="G9:G11" si="12">SQRT(E9^2+F9^2)</f>
        <v>17.7901877581773</v>
      </c>
      <c r="H9">
        <f t="shared" ref="H9:H11" si="13">B9*0.4395</f>
        <v>59.772</v>
      </c>
      <c r="I9">
        <f t="shared" ref="I9:I11" si="14">H9/G9</f>
        <v>3.35982963263138</v>
      </c>
      <c r="J9" s="2">
        <f t="shared" ref="J9:J11" si="15">C9/D9</f>
        <v>0.129777777777778</v>
      </c>
      <c r="K9">
        <v>40</v>
      </c>
      <c r="L9" s="3">
        <f t="shared" si="0"/>
        <v>41.9818122418227</v>
      </c>
      <c r="M9" s="5">
        <f t="shared" si="1"/>
        <v>8.85054313237996</v>
      </c>
    </row>
    <row r="10" spans="1:13">
      <c r="A10" t="s">
        <v>33</v>
      </c>
      <c r="B10">
        <v>133</v>
      </c>
      <c r="C10" s="1">
        <v>2190000000000</v>
      </c>
      <c r="D10" s="1">
        <v>21200000000000</v>
      </c>
      <c r="E10" s="2">
        <f t="shared" si="2"/>
        <v>14.8454123164835</v>
      </c>
      <c r="F10" s="2">
        <f t="shared" si="3"/>
        <v>4.61889550593213</v>
      </c>
      <c r="G10">
        <f t="shared" si="12"/>
        <v>15.5473619158081</v>
      </c>
      <c r="H10">
        <f t="shared" si="13"/>
        <v>58.4535</v>
      </c>
      <c r="I10">
        <f t="shared" si="14"/>
        <v>3.75970536458447</v>
      </c>
      <c r="J10" s="2">
        <f t="shared" si="15"/>
        <v>0.103301886792453</v>
      </c>
      <c r="K10">
        <v>40</v>
      </c>
      <c r="L10" s="3">
        <f t="shared" si="0"/>
        <v>42.9061380841919</v>
      </c>
      <c r="M10" s="5">
        <f t="shared" si="1"/>
        <v>9.31861771396619</v>
      </c>
    </row>
    <row r="11" spans="1:13">
      <c r="A11" t="s">
        <v>34</v>
      </c>
      <c r="B11">
        <v>147</v>
      </c>
      <c r="C11" s="1">
        <v>284000000000</v>
      </c>
      <c r="D11" s="1">
        <v>20000000000000</v>
      </c>
      <c r="E11" s="2">
        <f t="shared" si="2"/>
        <v>5.34600519930911</v>
      </c>
      <c r="F11" s="2">
        <f t="shared" si="3"/>
        <v>4.48626790461738</v>
      </c>
      <c r="G11">
        <f t="shared" si="12"/>
        <v>6.97899500666393</v>
      </c>
      <c r="H11">
        <f t="shared" si="13"/>
        <v>64.6065</v>
      </c>
      <c r="I11">
        <f t="shared" si="14"/>
        <v>9.25727843884545</v>
      </c>
      <c r="J11" s="2">
        <f t="shared" si="15"/>
        <v>0.0142</v>
      </c>
      <c r="K11">
        <v>100</v>
      </c>
      <c r="L11" s="3">
        <f t="shared" si="0"/>
        <v>57.6275049933361</v>
      </c>
      <c r="M11" s="5">
        <f t="shared" si="1"/>
        <v>12.8859018538808</v>
      </c>
    </row>
    <row r="12" spans="1:13">
      <c r="A12" t="s">
        <v>35</v>
      </c>
      <c r="B12">
        <v>147</v>
      </c>
      <c r="C12" s="1">
        <v>300000000000</v>
      </c>
      <c r="D12" s="1">
        <v>20100000000000</v>
      </c>
      <c r="E12" s="2">
        <f t="shared" si="2"/>
        <v>5.49453360786883</v>
      </c>
      <c r="F12" s="2">
        <f t="shared" si="3"/>
        <v>4.49746958973154</v>
      </c>
      <c r="G12">
        <f t="shared" ref="G12:G14" si="16">SQRT(E12^2+F12^2)</f>
        <v>7.10050225537321</v>
      </c>
      <c r="H12">
        <f t="shared" ref="H12:H14" si="17">B12*0.4395</f>
        <v>64.6065</v>
      </c>
      <c r="I12">
        <f t="shared" ref="I12:I14" si="18">H12/G12</f>
        <v>9.09886338689772</v>
      </c>
      <c r="J12" s="2">
        <f t="shared" ref="J12:J14" si="19">C12/D12</f>
        <v>0.0149253731343284</v>
      </c>
      <c r="K12">
        <v>100</v>
      </c>
      <c r="L12" s="3">
        <f t="shared" si="0"/>
        <v>57.5059977446268</v>
      </c>
      <c r="M12" s="5">
        <f t="shared" si="1"/>
        <v>12.8267052275818</v>
      </c>
    </row>
    <row r="13" spans="1:13">
      <c r="A13" t="s">
        <v>36</v>
      </c>
      <c r="B13">
        <v>148</v>
      </c>
      <c r="C13" s="1">
        <v>317000000000</v>
      </c>
      <c r="D13" s="1">
        <v>20100000000000</v>
      </c>
      <c r="E13" s="2">
        <f t="shared" si="2"/>
        <v>5.64806697406467</v>
      </c>
      <c r="F13" s="2">
        <f t="shared" si="3"/>
        <v>4.49746958973154</v>
      </c>
      <c r="G13">
        <f t="shared" si="16"/>
        <v>7.21996490670696</v>
      </c>
      <c r="H13">
        <f t="shared" si="17"/>
        <v>65.046</v>
      </c>
      <c r="I13">
        <f t="shared" si="18"/>
        <v>9.00918506398498</v>
      </c>
      <c r="J13" s="2">
        <f t="shared" si="19"/>
        <v>0.015771144278607</v>
      </c>
      <c r="K13">
        <v>100</v>
      </c>
      <c r="L13" s="3">
        <f t="shared" si="0"/>
        <v>57.8260350932931</v>
      </c>
      <c r="M13" s="5">
        <f t="shared" si="1"/>
        <v>12.8980895160762</v>
      </c>
    </row>
    <row r="14" spans="1:13">
      <c r="A14" t="s">
        <v>37</v>
      </c>
      <c r="B14">
        <v>277</v>
      </c>
      <c r="C14" s="1">
        <v>68400000000</v>
      </c>
      <c r="D14" s="1">
        <v>21100000000000</v>
      </c>
      <c r="E14" s="2">
        <f t="shared" si="2"/>
        <v>2.62360383852136</v>
      </c>
      <c r="F14" s="2">
        <f t="shared" si="3"/>
        <v>4.60798900781675</v>
      </c>
      <c r="G14">
        <f t="shared" si="16"/>
        <v>5.30253333772302</v>
      </c>
      <c r="H14">
        <f t="shared" si="17"/>
        <v>121.7415</v>
      </c>
      <c r="I14">
        <f t="shared" si="18"/>
        <v>22.9591201499692</v>
      </c>
      <c r="J14" s="4">
        <f t="shared" si="19"/>
        <v>0.00324170616113744</v>
      </c>
      <c r="K14">
        <v>1000</v>
      </c>
      <c r="L14" s="3">
        <f t="shared" si="0"/>
        <v>116.438966662277</v>
      </c>
      <c r="M14" s="5">
        <f t="shared" si="1"/>
        <v>25.3487830805986</v>
      </c>
    </row>
    <row r="15" spans="1:13">
      <c r="A15" t="s">
        <v>38</v>
      </c>
      <c r="B15">
        <v>295</v>
      </c>
      <c r="C15" s="1">
        <v>3880000000000</v>
      </c>
      <c r="D15" s="1">
        <v>84500000000000</v>
      </c>
      <c r="E15" s="2">
        <f t="shared" si="2"/>
        <v>19.7599603848996</v>
      </c>
      <c r="F15" s="2">
        <f t="shared" si="3"/>
        <v>9.22143610199626</v>
      </c>
      <c r="G15">
        <f t="shared" ref="G15" si="20">SQRT(E15^2+F15^2)</f>
        <v>21.8057542450611</v>
      </c>
      <c r="H15">
        <f t="shared" ref="H15" si="21">B15*0.4395</f>
        <v>129.6525</v>
      </c>
      <c r="I15">
        <f t="shared" ref="I15" si="22">H15/G15</f>
        <v>5.94579295643331</v>
      </c>
      <c r="J15" s="4">
        <f t="shared" ref="J15" si="23">C15/D15</f>
        <v>0.0459171597633136</v>
      </c>
      <c r="K15" s="1">
        <v>10000</v>
      </c>
      <c r="L15" s="3">
        <f t="shared" si="0"/>
        <v>107.846745754939</v>
      </c>
      <c r="M15" s="5">
        <f t="shared" si="1"/>
        <v>11.7321792695721</v>
      </c>
    </row>
    <row r="27" spans="6:7">
      <c r="F27" s="6"/>
      <c r="G27" s="1"/>
    </row>
    <row r="28" spans="6:7">
      <c r="F28" s="6"/>
      <c r="G28" s="1"/>
    </row>
    <row r="29" spans="4:7">
      <c r="D29" s="6"/>
      <c r="E29" s="1"/>
      <c r="F29" s="6"/>
      <c r="G29" s="1"/>
    </row>
    <row r="30" spans="4:7">
      <c r="D30" s="6"/>
      <c r="E30" s="1"/>
      <c r="F30" s="6"/>
      <c r="G30" s="1"/>
    </row>
    <row r="31" spans="4:7">
      <c r="D31" s="6"/>
      <c r="E31" s="1"/>
      <c r="F31" s="6"/>
      <c r="G31" s="1"/>
    </row>
    <row r="32" spans="4:7">
      <c r="D32" s="6"/>
      <c r="E32" s="1"/>
      <c r="F32" s="6"/>
      <c r="G32" s="1"/>
    </row>
    <row r="33" spans="4:7">
      <c r="D33" s="6"/>
      <c r="E33" s="1"/>
      <c r="F33" s="6"/>
      <c r="G33" s="1"/>
    </row>
    <row r="34" spans="4:7">
      <c r="D34" s="6"/>
      <c r="E34" s="1"/>
      <c r="F34" s="6"/>
      <c r="G34" s="1"/>
    </row>
    <row r="35" spans="4:5">
      <c r="D35" s="6"/>
      <c r="E35" s="1"/>
    </row>
    <row r="36" spans="4:5">
      <c r="D36" s="6"/>
      <c r="E36" s="1"/>
    </row>
    <row r="37" spans="4:7">
      <c r="D37" s="6"/>
      <c r="E37" s="1"/>
      <c r="F37" s="6"/>
      <c r="G37" s="1"/>
    </row>
    <row r="38" spans="4:7">
      <c r="D38" s="6"/>
      <c r="E38" s="1"/>
      <c r="F38" s="6"/>
      <c r="G38" s="1"/>
    </row>
    <row r="39" spans="4:7">
      <c r="D39" s="6"/>
      <c r="E39" s="1"/>
      <c r="F39" s="6"/>
      <c r="G39" s="1"/>
    </row>
    <row r="40" spans="4:7">
      <c r="D40" s="6"/>
      <c r="E40" s="1"/>
      <c r="F40" s="6"/>
      <c r="G40" s="1"/>
    </row>
    <row r="41" spans="4:7">
      <c r="D41" s="6"/>
      <c r="E41" s="1"/>
      <c r="F41" s="6"/>
      <c r="G41" s="1"/>
    </row>
    <row r="42" spans="4:7">
      <c r="D42" s="6"/>
      <c r="E42" s="1"/>
      <c r="F42" s="6"/>
      <c r="G42" s="1"/>
    </row>
    <row r="43" spans="6:7">
      <c r="F43" s="6"/>
      <c r="G43" s="1"/>
    </row>
    <row r="44" spans="4:7">
      <c r="D44" s="6"/>
      <c r="E44" s="1"/>
      <c r="F44" s="6"/>
      <c r="G44" s="1"/>
    </row>
    <row r="45" spans="4:7">
      <c r="D45" s="6"/>
      <c r="E45" s="1"/>
      <c r="F45" s="6"/>
      <c r="G45" s="1"/>
    </row>
    <row r="46" spans="4:5">
      <c r="D46" s="6"/>
      <c r="E46" s="1"/>
    </row>
    <row r="47" spans="4:5">
      <c r="D47" s="6"/>
      <c r="E47" s="1"/>
    </row>
    <row r="48" spans="4:5">
      <c r="D48" s="6"/>
      <c r="E48" s="1"/>
    </row>
    <row r="49" spans="4:7">
      <c r="D49" s="6"/>
      <c r="E49" s="1"/>
      <c r="F49" s="6"/>
      <c r="G49" s="1"/>
    </row>
    <row r="50" spans="4:7">
      <c r="D50" s="6"/>
      <c r="E50" s="1"/>
      <c r="F50" s="6"/>
      <c r="G50" s="1"/>
    </row>
    <row r="51" spans="4:7">
      <c r="D51" s="6"/>
      <c r="E51" s="1"/>
      <c r="F51" s="6"/>
      <c r="G51" s="1"/>
    </row>
    <row r="52" spans="4:7">
      <c r="D52" s="6"/>
      <c r="E52" s="1"/>
      <c r="F52" s="6"/>
      <c r="G52" s="1"/>
    </row>
    <row r="53" spans="4:7">
      <c r="D53" s="6"/>
      <c r="E53" s="1"/>
      <c r="F53" s="6"/>
      <c r="G53" s="1"/>
    </row>
    <row r="54" spans="4:7">
      <c r="D54" s="6"/>
      <c r="E54" s="1"/>
      <c r="F54" s="6"/>
      <c r="G54" s="1"/>
    </row>
    <row r="55" spans="4:7">
      <c r="D55" s="6"/>
      <c r="E55" s="1"/>
      <c r="F55" s="6"/>
      <c r="G55" s="1"/>
    </row>
    <row r="56" spans="6:7">
      <c r="F56" s="6"/>
      <c r="G56" s="1"/>
    </row>
    <row r="57" spans="6:7">
      <c r="F57" s="6"/>
      <c r="G57" s="1"/>
    </row>
    <row r="58" spans="4:7">
      <c r="D58" s="6"/>
      <c r="E58" s="1"/>
      <c r="F58" s="6"/>
      <c r="G58" s="1"/>
    </row>
    <row r="59" spans="4:7">
      <c r="D59" s="6"/>
      <c r="E59" s="1"/>
      <c r="F59" s="6"/>
      <c r="G59" s="1"/>
    </row>
    <row r="60" spans="4:7">
      <c r="D60" s="6"/>
      <c r="E60" s="1"/>
      <c r="F60" s="6"/>
      <c r="G60" s="1"/>
    </row>
    <row r="61" spans="4:5">
      <c r="D61" s="6"/>
      <c r="E61" s="1"/>
    </row>
    <row r="62" spans="4:5">
      <c r="D62" s="6"/>
      <c r="E62" s="1"/>
    </row>
    <row r="63" spans="4:5">
      <c r="D63" s="6"/>
      <c r="E63" s="1"/>
    </row>
    <row r="64" spans="4:5">
      <c r="D64" s="6"/>
      <c r="E64" s="1"/>
    </row>
    <row r="65" spans="4:5">
      <c r="D65" s="6"/>
      <c r="E65" s="1"/>
    </row>
    <row r="66" spans="4:5">
      <c r="D66" s="6"/>
      <c r="E66" s="1"/>
    </row>
    <row r="67" spans="4:5">
      <c r="D67" s="6"/>
      <c r="E67" s="1"/>
    </row>
    <row r="68" spans="4:5">
      <c r="D68" s="6"/>
      <c r="E68" s="1"/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6"/>
  <sheetViews>
    <sheetView zoomScale="280" zoomScaleNormal="280" workbookViewId="0">
      <selection activeCell="L1" sqref="L1:M15"/>
    </sheetView>
  </sheetViews>
  <sheetFormatPr defaultColWidth="8.88888888888889" defaultRowHeight="15"/>
  <cols>
    <col min="2" max="2" width="10.2222222222222"/>
    <col min="8" max="8" width="11.3333333333333"/>
    <col min="13" max="13" width="12.4444444444444"/>
  </cols>
  <sheetData>
    <row r="1" spans="1:13">
      <c r="A1" t="s">
        <v>22</v>
      </c>
      <c r="B1" t="s">
        <v>4</v>
      </c>
      <c r="C1" t="s">
        <v>5</v>
      </c>
      <c r="D1" t="s">
        <v>6</v>
      </c>
      <c r="E1" s="2" t="s">
        <v>7</v>
      </c>
      <c r="F1" s="2" t="s">
        <v>8</v>
      </c>
      <c r="G1" t="s">
        <v>9</v>
      </c>
      <c r="H1" t="s">
        <v>10</v>
      </c>
      <c r="I1" t="s">
        <v>11</v>
      </c>
      <c r="J1" s="2" t="s">
        <v>12</v>
      </c>
      <c r="K1" t="s">
        <v>22</v>
      </c>
      <c r="L1" s="3" t="s">
        <v>23</v>
      </c>
      <c r="M1" s="5" t="s">
        <v>24</v>
      </c>
    </row>
    <row r="2" spans="1:13">
      <c r="A2" t="s">
        <v>25</v>
      </c>
      <c r="B2">
        <f>AVERAGE('300K_SR10_Stress'!B$12:B$16)/1000000</f>
        <v>122.9476</v>
      </c>
      <c r="C2" s="1">
        <f>AVERAGE('300K_SR10'!L$12:L$16)</f>
        <v>3771796000000</v>
      </c>
      <c r="D2" s="1">
        <f>AVERAGE('300K_SR10'!C$12:C$16)</f>
        <v>21179000000000</v>
      </c>
      <c r="E2" s="2">
        <f t="shared" ref="E2:E15" si="0">0.35*80.9*0.248*SQRT(C2)/1000000</f>
        <v>13.6377380567285</v>
      </c>
      <c r="F2" s="2">
        <f t="shared" ref="F2:F15" si="1">0.1*80.9*0.248*SQRT(D2)/1000000</f>
        <v>9.2332145572433</v>
      </c>
      <c r="G2">
        <f t="shared" ref="G2:G15" si="2">SQRT(E2^2+F2^2)</f>
        <v>16.4693700657928</v>
      </c>
      <c r="H2">
        <f>B2*0.4395</f>
        <v>54.0354702</v>
      </c>
      <c r="I2">
        <f t="shared" ref="I2:I15" si="3">H2/G2</f>
        <v>3.28096763775032</v>
      </c>
      <c r="J2" s="2">
        <f t="shared" ref="J2:J15" si="4">C2/D2</f>
        <v>0.178091316870485</v>
      </c>
      <c r="K2">
        <v>10</v>
      </c>
      <c r="L2" s="3">
        <f t="shared" ref="L2:L9" si="5">H2-G2</f>
        <v>37.5661001342072</v>
      </c>
      <c r="M2" s="5">
        <f t="shared" ref="M2:M9" si="6">L2*1000000/SQRT(D2)</f>
        <v>8.16287952088543</v>
      </c>
    </row>
    <row r="3" spans="1:13">
      <c r="A3" t="s">
        <v>26</v>
      </c>
      <c r="B3">
        <f>AVERAGE('300K_SR10_Stress'!E$12:E$16)/1000000</f>
        <v>120.2478</v>
      </c>
      <c r="C3" s="1">
        <f>AVERAGE('300K_SR10'!Y$12:Y$16)</f>
        <v>4187896000000</v>
      </c>
      <c r="D3" s="1">
        <f>AVERAGE('300K_SR10'!P$12:P$16)</f>
        <v>21104240000000</v>
      </c>
      <c r="E3" s="2">
        <f t="shared" si="0"/>
        <v>14.3703117832335</v>
      </c>
      <c r="F3" s="2">
        <f t="shared" si="1"/>
        <v>9.21690393468413</v>
      </c>
      <c r="G3">
        <f t="shared" si="2"/>
        <v>17.0721170007863</v>
      </c>
      <c r="H3">
        <f>B3*0.4395</f>
        <v>52.8489081</v>
      </c>
      <c r="I3">
        <f t="shared" si="3"/>
        <v>3.09562710339707</v>
      </c>
      <c r="J3" s="2">
        <f t="shared" si="4"/>
        <v>0.198438607597336</v>
      </c>
      <c r="K3">
        <v>10</v>
      </c>
      <c r="L3" s="3">
        <f t="shared" si="5"/>
        <v>35.7767910992137</v>
      </c>
      <c r="M3" s="5">
        <f t="shared" si="6"/>
        <v>7.78783114447578</v>
      </c>
    </row>
    <row r="4" spans="1:13">
      <c r="A4" t="s">
        <v>27</v>
      </c>
      <c r="B4">
        <f>AVERAGE('300K_SR10_Stress'!H$12:H$16)/1000000</f>
        <v>119.945</v>
      </c>
      <c r="C4" s="1">
        <f>AVERAGE('300K_SR10'!AL$12:AL$16)</f>
        <v>3812858000000</v>
      </c>
      <c r="D4" s="1">
        <f>AVERAGE('300K_SR10'!AC$12:AC$16)</f>
        <v>20864620000000</v>
      </c>
      <c r="E4" s="2">
        <f t="shared" si="0"/>
        <v>13.7117713471129</v>
      </c>
      <c r="F4" s="2">
        <f t="shared" si="1"/>
        <v>9.16442965910034</v>
      </c>
      <c r="G4">
        <f t="shared" si="2"/>
        <v>16.4924056599426</v>
      </c>
      <c r="H4">
        <f>B4*0.4395</f>
        <v>52.7158275</v>
      </c>
      <c r="I4">
        <f t="shared" si="3"/>
        <v>3.1963698072282</v>
      </c>
      <c r="J4" s="2">
        <f t="shared" si="4"/>
        <v>0.182742748250387</v>
      </c>
      <c r="K4">
        <v>10</v>
      </c>
      <c r="L4" s="3">
        <f t="shared" si="5"/>
        <v>36.2234218400574</v>
      </c>
      <c r="M4" s="5">
        <f t="shared" si="6"/>
        <v>7.93020170480292</v>
      </c>
    </row>
    <row r="5" spans="1:13">
      <c r="A5" t="s">
        <v>28</v>
      </c>
      <c r="B5">
        <f>AVERAGE('300K_SR20_Stress'!B$12:B$16)/1000000</f>
        <v>128.0032</v>
      </c>
      <c r="C5" s="1">
        <f>AVERAGE('300K_SR20'!L$12:L$16)</f>
        <v>3350610000000</v>
      </c>
      <c r="D5" s="1">
        <f>AVERAGE('300K_SR20'!C$12:C$16)</f>
        <v>21548780000000</v>
      </c>
      <c r="E5" s="2">
        <f t="shared" si="0"/>
        <v>12.8537600078541</v>
      </c>
      <c r="F5" s="2">
        <f t="shared" si="1"/>
        <v>9.31347055980692</v>
      </c>
      <c r="G5">
        <f t="shared" si="2"/>
        <v>15.8732441614151</v>
      </c>
      <c r="H5">
        <f t="shared" ref="H2:H15" si="7">B5*0.4395</f>
        <v>56.2574064</v>
      </c>
      <c r="I5">
        <f t="shared" si="3"/>
        <v>3.5441656304104</v>
      </c>
      <c r="J5" s="2">
        <f t="shared" si="4"/>
        <v>0.155489545115779</v>
      </c>
      <c r="K5">
        <v>20</v>
      </c>
      <c r="L5" s="3">
        <f t="shared" si="5"/>
        <v>40.3841622385849</v>
      </c>
      <c r="M5" s="5">
        <f t="shared" si="6"/>
        <v>8.69960900850234</v>
      </c>
    </row>
    <row r="6" spans="1:13">
      <c r="A6" t="s">
        <v>29</v>
      </c>
      <c r="B6">
        <f>AVERAGE('300K_SR20_Stress'!E$12:E$16)/1000000</f>
        <v>126.9294</v>
      </c>
      <c r="C6" s="1">
        <f>AVERAGE('300K_SR20'!Y$12:Y$16)</f>
        <v>3222902000000</v>
      </c>
      <c r="D6" s="1">
        <f>AVERAGE('300K_SR20'!P$12:P$16)</f>
        <v>21498600000000</v>
      </c>
      <c r="E6" s="2">
        <f t="shared" si="0"/>
        <v>12.6064207148286</v>
      </c>
      <c r="F6" s="2">
        <f t="shared" si="1"/>
        <v>9.30262023914126</v>
      </c>
      <c r="G6">
        <f t="shared" si="2"/>
        <v>15.667181831872</v>
      </c>
      <c r="H6">
        <f t="shared" si="7"/>
        <v>55.7854713</v>
      </c>
      <c r="I6">
        <f t="shared" si="3"/>
        <v>3.56065767913121</v>
      </c>
      <c r="J6" s="2">
        <f t="shared" si="4"/>
        <v>0.149912180328021</v>
      </c>
      <c r="K6">
        <v>20</v>
      </c>
      <c r="L6" s="3">
        <f t="shared" si="5"/>
        <v>40.118289468128</v>
      </c>
      <c r="M6" s="5">
        <f t="shared" si="6"/>
        <v>8.65241453015873</v>
      </c>
    </row>
    <row r="7" spans="1:13">
      <c r="A7" t="s">
        <v>30</v>
      </c>
      <c r="B7">
        <f>AVERAGE('300K_SR20_Stress'!H$12:H$16)/1000000</f>
        <v>126.4132</v>
      </c>
      <c r="C7" s="1">
        <f>AVERAGE('300K_SR20'!AL$12:AL$16)</f>
        <v>3127060000000</v>
      </c>
      <c r="D7" s="1">
        <f>AVERAGE('300K_SR20'!AC$12:AC$16)</f>
        <v>21484260000000</v>
      </c>
      <c r="E7" s="2">
        <f t="shared" si="0"/>
        <v>12.4175624819747</v>
      </c>
      <c r="F7" s="2">
        <f t="shared" si="1"/>
        <v>9.29951720390401</v>
      </c>
      <c r="G7">
        <f t="shared" si="2"/>
        <v>15.5137641537911</v>
      </c>
      <c r="H7">
        <f t="shared" si="7"/>
        <v>55.5586014</v>
      </c>
      <c r="I7">
        <f t="shared" si="3"/>
        <v>3.58124571504609</v>
      </c>
      <c r="J7" s="2">
        <f t="shared" si="4"/>
        <v>0.145551208186831</v>
      </c>
      <c r="K7">
        <v>20</v>
      </c>
      <c r="L7" s="3">
        <f t="shared" si="5"/>
        <v>40.0448372462089</v>
      </c>
      <c r="M7" s="5">
        <f t="shared" si="6"/>
        <v>8.63945472675564</v>
      </c>
    </row>
    <row r="8" spans="1:13">
      <c r="A8" t="s">
        <v>31</v>
      </c>
      <c r="B8">
        <f>AVERAGE('300K_SR40_Stress'!B$12:B$16)/1000000</f>
        <v>130.7302</v>
      </c>
      <c r="C8" s="1">
        <f>AVERAGE('300K_SR40'!L$12:L$16)</f>
        <v>2864726000000</v>
      </c>
      <c r="D8" s="1">
        <f>AVERAGE('300K_SR40'!C$12:C$16)</f>
        <v>23917740000000</v>
      </c>
      <c r="E8" s="2">
        <f t="shared" si="0"/>
        <v>11.885290238024</v>
      </c>
      <c r="F8" s="2">
        <f t="shared" si="1"/>
        <v>9.81206175067902</v>
      </c>
      <c r="G8">
        <f t="shared" si="2"/>
        <v>15.4122250126712</v>
      </c>
      <c r="H8">
        <f t="shared" si="7"/>
        <v>57.4559229</v>
      </c>
      <c r="I8">
        <f t="shared" si="3"/>
        <v>3.72794472263171</v>
      </c>
      <c r="J8" s="2">
        <f t="shared" si="4"/>
        <v>0.119774109092247</v>
      </c>
      <c r="K8">
        <v>40</v>
      </c>
      <c r="L8" s="3">
        <f t="shared" si="5"/>
        <v>42.0436978873288</v>
      </c>
      <c r="M8" s="5">
        <f t="shared" si="6"/>
        <v>8.5968794417206</v>
      </c>
    </row>
    <row r="9" spans="1:13">
      <c r="A9" t="s">
        <v>32</v>
      </c>
      <c r="B9">
        <f>AVERAGE('300K_SR40_Stress'!E$12:E$16)/1000000</f>
        <v>135.3978</v>
      </c>
      <c r="C9" s="1">
        <f>AVERAGE('300K_SR40'!Y$12:Y$16)</f>
        <v>2221018000000</v>
      </c>
      <c r="D9" s="1">
        <f>AVERAGE('300K_SR40'!P$12:P$16)</f>
        <v>21602480000000</v>
      </c>
      <c r="E9" s="2">
        <f t="shared" si="0"/>
        <v>10.4651217664158</v>
      </c>
      <c r="F9" s="2">
        <f t="shared" si="1"/>
        <v>9.325068018481</v>
      </c>
      <c r="G9">
        <f t="shared" si="2"/>
        <v>14.0169778174615</v>
      </c>
      <c r="H9">
        <f t="shared" si="7"/>
        <v>59.5073331</v>
      </c>
      <c r="I9">
        <f t="shared" si="3"/>
        <v>4.24537542078931</v>
      </c>
      <c r="J9" s="2">
        <f t="shared" si="4"/>
        <v>0.102813102940033</v>
      </c>
      <c r="K9">
        <v>40</v>
      </c>
      <c r="L9" s="3">
        <f t="shared" si="5"/>
        <v>45.4903552825385</v>
      </c>
      <c r="M9" s="5">
        <f t="shared" si="6"/>
        <v>9.78740417009094</v>
      </c>
    </row>
    <row r="10" spans="1:13">
      <c r="A10" t="s">
        <v>33</v>
      </c>
      <c r="B10">
        <f>AVERAGE('300K_SR40_Stress'!H$12:H$16)/1000000</f>
        <v>129.4478</v>
      </c>
      <c r="C10" s="1">
        <f>AVERAGE('300K_SR40'!AL$12:AL$16)</f>
        <v>1440110000000</v>
      </c>
      <c r="D10" s="1">
        <f>AVERAGE('300K_SR40'!AC$12:AC$16)</f>
        <v>20987460000000</v>
      </c>
      <c r="E10" s="2">
        <f t="shared" si="0"/>
        <v>8.42686584102051</v>
      </c>
      <c r="F10" s="2">
        <f t="shared" si="1"/>
        <v>9.19136775884429</v>
      </c>
      <c r="G10">
        <f t="shared" si="2"/>
        <v>12.469695633049</v>
      </c>
      <c r="H10">
        <f t="shared" si="7"/>
        <v>56.8923081</v>
      </c>
      <c r="I10">
        <f t="shared" si="3"/>
        <v>4.56244561007694</v>
      </c>
      <c r="J10" s="2">
        <f t="shared" si="4"/>
        <v>0.0686176412009838</v>
      </c>
      <c r="K10">
        <v>40</v>
      </c>
      <c r="L10" s="3">
        <f t="shared" ref="L10:L15" si="8">H10-G10</f>
        <v>44.422612466951</v>
      </c>
      <c r="M10" s="5">
        <f t="shared" ref="M10:M15" si="9">L10*1000000/SQRT(D10)</f>
        <v>9.69670436251804</v>
      </c>
    </row>
    <row r="11" spans="1:13">
      <c r="A11" t="s">
        <v>34</v>
      </c>
      <c r="B11">
        <f>AVERAGE('300K_SR100_Stress'!B$12:B$16)/1000000</f>
        <v>145.9416</v>
      </c>
      <c r="C11" s="1">
        <f>AVERAGE('300K_SR100'!L$12:L$16)</f>
        <v>239607400000</v>
      </c>
      <c r="D11" s="1">
        <f>AVERAGE('300K_SR100'!C$12:C$16)</f>
        <v>20052500000000</v>
      </c>
      <c r="E11" s="2">
        <f t="shared" si="0"/>
        <v>3.43730729760826</v>
      </c>
      <c r="F11" s="2">
        <f t="shared" si="1"/>
        <v>8.98430454431371</v>
      </c>
      <c r="G11">
        <f t="shared" si="2"/>
        <v>9.61939756965929</v>
      </c>
      <c r="H11">
        <f t="shared" si="7"/>
        <v>64.1413332</v>
      </c>
      <c r="I11">
        <f t="shared" si="3"/>
        <v>6.66791581650698</v>
      </c>
      <c r="J11" s="2">
        <f t="shared" si="4"/>
        <v>0.0119490038648548</v>
      </c>
      <c r="K11">
        <v>100</v>
      </c>
      <c r="L11" s="3">
        <f t="shared" si="8"/>
        <v>54.5219356303407</v>
      </c>
      <c r="M11" s="5">
        <f t="shared" si="9"/>
        <v>12.1755055557526</v>
      </c>
    </row>
    <row r="12" spans="1:13">
      <c r="A12" t="s">
        <v>35</v>
      </c>
      <c r="B12">
        <f>AVERAGE('300K_SR100_Stress'!E$12:E$16)/1000000</f>
        <v>146.268</v>
      </c>
      <c r="C12" s="1">
        <f>AVERAGE('300K_SR100'!Y$12:Y$16)</f>
        <v>271516400000</v>
      </c>
      <c r="D12" s="1">
        <f>AVERAGE('300K_SR100'!P$12:P$16)</f>
        <v>20096640000000</v>
      </c>
      <c r="E12" s="2">
        <f t="shared" si="0"/>
        <v>3.65903261125205</v>
      </c>
      <c r="F12" s="2">
        <f t="shared" si="1"/>
        <v>8.99418733222928</v>
      </c>
      <c r="G12">
        <f t="shared" si="2"/>
        <v>9.70999101016266</v>
      </c>
      <c r="H12">
        <f t="shared" si="7"/>
        <v>64.284786</v>
      </c>
      <c r="I12">
        <f t="shared" si="3"/>
        <v>6.6204784260581</v>
      </c>
      <c r="J12" s="2">
        <f t="shared" si="4"/>
        <v>0.0135105370848062</v>
      </c>
      <c r="K12">
        <v>100</v>
      </c>
      <c r="L12" s="3">
        <f t="shared" si="8"/>
        <v>54.5747949898373</v>
      </c>
      <c r="M12" s="5">
        <f t="shared" si="9"/>
        <v>12.1739184030172</v>
      </c>
    </row>
    <row r="13" spans="1:13">
      <c r="A13" t="s">
        <v>36</v>
      </c>
      <c r="B13">
        <f>AVERAGE('300K_SR100_Stress'!H$12:H$16)/1000000</f>
        <v>146.2358</v>
      </c>
      <c r="C13" s="1">
        <f>AVERAGE('300K_SR100'!AL$12:AL$16)</f>
        <v>236374000000</v>
      </c>
      <c r="D13" s="1">
        <f>AVERAGE('300K_SR100'!AC$12:AC$16)</f>
        <v>19889620000000</v>
      </c>
      <c r="E13" s="2">
        <f t="shared" si="0"/>
        <v>3.41403602160178</v>
      </c>
      <c r="F13" s="2">
        <f t="shared" si="1"/>
        <v>8.9477418398587</v>
      </c>
      <c r="G13">
        <f t="shared" si="2"/>
        <v>9.57693719252415</v>
      </c>
      <c r="H13">
        <f t="shared" si="7"/>
        <v>64.2706341</v>
      </c>
      <c r="I13">
        <f t="shared" si="3"/>
        <v>6.71098001458862</v>
      </c>
      <c r="J13" s="2">
        <f t="shared" si="4"/>
        <v>0.0118842893931609</v>
      </c>
      <c r="K13">
        <v>100</v>
      </c>
      <c r="L13" s="3">
        <f t="shared" si="8"/>
        <v>54.6936969074758</v>
      </c>
      <c r="M13" s="5">
        <f t="shared" si="9"/>
        <v>12.2637711216241</v>
      </c>
    </row>
    <row r="14" spans="1:13">
      <c r="A14" t="s">
        <v>37</v>
      </c>
      <c r="B14">
        <f>AVERAGE('300K_SR1000_Stress'!B$12:B$16)/1000000</f>
        <v>266.244</v>
      </c>
      <c r="C14" s="1">
        <f>AVERAGE('300K_SR1000'!L$12:L$16)</f>
        <v>121542160000</v>
      </c>
      <c r="D14" s="1">
        <f>AVERAGE('300K_SR1000'!C$12:C$16)</f>
        <v>23375720000000</v>
      </c>
      <c r="E14" s="2">
        <f t="shared" si="0"/>
        <v>2.4481144756745</v>
      </c>
      <c r="F14" s="2">
        <f t="shared" si="1"/>
        <v>9.70024493937955</v>
      </c>
      <c r="G14">
        <f t="shared" si="2"/>
        <v>10.004399850564</v>
      </c>
      <c r="H14">
        <f t="shared" si="7"/>
        <v>117.014238</v>
      </c>
      <c r="I14">
        <f t="shared" si="3"/>
        <v>11.6962776126349</v>
      </c>
      <c r="J14" s="4">
        <f t="shared" si="4"/>
        <v>0.0051995044430717</v>
      </c>
      <c r="K14">
        <v>1000</v>
      </c>
      <c r="L14" s="3">
        <f t="shared" si="8"/>
        <v>107.009838149436</v>
      </c>
      <c r="M14" s="5">
        <f t="shared" si="9"/>
        <v>22.1330471362004</v>
      </c>
    </row>
    <row r="15" spans="1:13">
      <c r="A15" t="s">
        <v>38</v>
      </c>
      <c r="B15">
        <f>AVERAGE('300K_SR10000_Stress'!B$12:B$16)/1000000</f>
        <v>310.8336</v>
      </c>
      <c r="C15" s="1">
        <f>AVERAGE('300K_SR10000'!L$12:L$16)</f>
        <v>1367724000000</v>
      </c>
      <c r="D15" s="1">
        <f>AVERAGE('300K_SR10000'!C$12:C$16)</f>
        <v>72667220000000</v>
      </c>
      <c r="E15" s="2">
        <f t="shared" si="0"/>
        <v>8.2123505762975</v>
      </c>
      <c r="F15" s="2">
        <f t="shared" si="1"/>
        <v>17.1028889321298</v>
      </c>
      <c r="G15">
        <f t="shared" si="2"/>
        <v>18.9723881420548</v>
      </c>
      <c r="H15">
        <f t="shared" si="7"/>
        <v>136.6113672</v>
      </c>
      <c r="I15">
        <f t="shared" si="3"/>
        <v>7.20053617800402</v>
      </c>
      <c r="J15" s="4">
        <f t="shared" si="4"/>
        <v>0.0188217465867003</v>
      </c>
      <c r="K15" s="1">
        <v>10000</v>
      </c>
      <c r="L15" s="3">
        <f t="shared" si="8"/>
        <v>117.638979057945</v>
      </c>
      <c r="M15" s="5">
        <f t="shared" si="9"/>
        <v>13.8000917505897</v>
      </c>
    </row>
    <row r="16" spans="4:4">
      <c r="D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300K_SR10_Stress</vt:lpstr>
      <vt:lpstr>300K_SR10</vt:lpstr>
      <vt:lpstr>300K_SR20_Stress</vt:lpstr>
      <vt:lpstr>300K_SR20</vt:lpstr>
      <vt:lpstr>300K_SR40_Stress</vt:lpstr>
      <vt:lpstr>300K_SR40</vt:lpstr>
      <vt:lpstr>300K_SR100_Stress</vt:lpstr>
      <vt:lpstr>300K_SR100</vt:lpstr>
      <vt:lpstr>300K_SR10000_Stress</vt:lpstr>
      <vt:lpstr>300K_SR10000</vt:lpstr>
      <vt:lpstr>300K_SR1000_Stress</vt:lpstr>
      <vt:lpstr>300K_SR1000</vt:lpstr>
      <vt:lpstr>Graphs</vt:lpstr>
      <vt:lpstr>tauratio</vt:lpstr>
      <vt:lpstr>tauratio1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sv1_admin1</dc:creator>
  <cp:lastModifiedBy>vikramr</cp:lastModifiedBy>
  <dcterms:created xsi:type="dcterms:W3CDTF">2015-06-06T21:47:00Z</dcterms:created>
  <dcterms:modified xsi:type="dcterms:W3CDTF">2025-10-08T13:22:21Z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